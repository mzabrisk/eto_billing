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7" documentId="8_{AD42D40B-ED51-4BEE-A631-19CE55683620}" xr6:coauthVersionLast="47" xr6:coauthVersionMax="47" xr10:uidLastSave="{DDB16566-E4AD-4505-9B0B-1DF99E5719F7}"/>
  <bookViews>
    <workbookView xWindow="12" yWindow="0" windowWidth="13812" windowHeight="13776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  <sheet name="Sheet1" sheetId="6" r:id="rId5"/>
  </sheets>
  <definedNames>
    <definedName name="_xlnm._FilterDatabase" localSheetId="3" hidden="1">'Customer List'!$A$1:$L$205</definedName>
    <definedName name="_xlnm._FilterDatabase" localSheetId="1" hidden="1">'Raw Data'!$A$1:$W$11670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" l="1"/>
  <c r="K18" i="3"/>
  <c r="E44" i="4" a="1"/>
  <c r="E44" i="4" s="1"/>
  <c r="B20" i="4"/>
  <c r="B19" i="4"/>
  <c r="U3" i="5"/>
  <c r="V3" i="5" s="1"/>
  <c r="R3" i="5"/>
  <c r="P3" i="5"/>
  <c r="A3" i="5"/>
  <c r="U4" i="5"/>
  <c r="V4" i="5" s="1"/>
  <c r="U5" i="5"/>
  <c r="V5" i="5" s="1"/>
  <c r="K16" i="3"/>
  <c r="R4" i="5"/>
  <c r="R5" i="5"/>
  <c r="R6" i="5"/>
  <c r="R7" i="5"/>
  <c r="T7" i="5" s="1"/>
  <c r="R8" i="5"/>
  <c r="T8" i="5" s="1"/>
  <c r="R9" i="5"/>
  <c r="T9" i="5" s="1"/>
  <c r="R10" i="5"/>
  <c r="T10" i="5" s="1"/>
  <c r="R11" i="5"/>
  <c r="T11" i="5" s="1"/>
  <c r="R12" i="5"/>
  <c r="T12" i="5" s="1"/>
  <c r="R13" i="5"/>
  <c r="T13" i="5" s="1"/>
  <c r="R14" i="5"/>
  <c r="T14" i="5" s="1"/>
  <c r="R15" i="5"/>
  <c r="T15" i="5" s="1"/>
  <c r="R16" i="5"/>
  <c r="T16" i="5" s="1"/>
  <c r="R17" i="5"/>
  <c r="T17" i="5" s="1"/>
  <c r="R18" i="5"/>
  <c r="T18" i="5" s="1"/>
  <c r="R19" i="5"/>
  <c r="T19" i="5" s="1"/>
  <c r="R20" i="5"/>
  <c r="R21" i="5"/>
  <c r="T21" i="5" s="1"/>
  <c r="R22" i="5"/>
  <c r="T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R30" i="5"/>
  <c r="T30" i="5" s="1"/>
  <c r="R31" i="5"/>
  <c r="T31" i="5" s="1"/>
  <c r="R32" i="5"/>
  <c r="T32" i="5" s="1"/>
  <c r="R33" i="5"/>
  <c r="T33" i="5" s="1"/>
  <c r="R34" i="5"/>
  <c r="T34" i="5" s="1"/>
  <c r="R35" i="5"/>
  <c r="T35" i="5" s="1"/>
  <c r="R36" i="5"/>
  <c r="T36" i="5" s="1"/>
  <c r="R37" i="5"/>
  <c r="R38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9" i="5"/>
  <c r="U40" i="5"/>
  <c r="U41" i="5"/>
  <c r="U42" i="5"/>
  <c r="U43" i="5"/>
  <c r="U44" i="5"/>
  <c r="U45" i="5"/>
  <c r="U46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R39" i="5"/>
  <c r="T39" i="5" s="1"/>
  <c r="R40" i="5"/>
  <c r="T40" i="5" s="1"/>
  <c r="R41" i="5"/>
  <c r="T41" i="5" s="1"/>
  <c r="R42" i="5"/>
  <c r="T42" i="5" s="1"/>
  <c r="R43" i="5"/>
  <c r="T43" i="5" s="1"/>
  <c r="R44" i="5"/>
  <c r="T44" i="5" s="1"/>
  <c r="R45" i="5"/>
  <c r="T45" i="5" s="1"/>
  <c r="R46" i="5"/>
  <c r="T46" i="5" s="1"/>
  <c r="R47" i="5"/>
  <c r="T47" i="5" s="1"/>
  <c r="R48" i="5"/>
  <c r="T48" i="5" s="1"/>
  <c r="R49" i="5"/>
  <c r="T49" i="5" s="1"/>
  <c r="R50" i="5"/>
  <c r="T50" i="5" s="1"/>
  <c r="R51" i="5"/>
  <c r="T51" i="5" s="1"/>
  <c r="R52" i="5"/>
  <c r="R53" i="5"/>
  <c r="R54" i="5"/>
  <c r="T54" i="5" s="1"/>
  <c r="R55" i="5"/>
  <c r="T55" i="5" s="1"/>
  <c r="R56" i="5"/>
  <c r="T56" i="5" s="1"/>
  <c r="R57" i="5"/>
  <c r="T57" i="5" s="1"/>
  <c r="R58" i="5"/>
  <c r="T58" i="5" s="1"/>
  <c r="R59" i="5"/>
  <c r="T59" i="5" s="1"/>
  <c r="R60" i="5"/>
  <c r="T60" i="5" s="1"/>
  <c r="R61" i="5"/>
  <c r="T61" i="5" s="1"/>
  <c r="R62" i="5"/>
  <c r="T62" i="5" s="1"/>
  <c r="R63" i="5"/>
  <c r="T63" i="5" s="1"/>
  <c r="R64" i="5"/>
  <c r="T64" i="5" s="1"/>
  <c r="R65" i="5"/>
  <c r="T65" i="5" s="1"/>
  <c r="R66" i="5"/>
  <c r="R67" i="5"/>
  <c r="R68" i="5"/>
  <c r="R69" i="5"/>
  <c r="T69" i="5" s="1"/>
  <c r="R70" i="5"/>
  <c r="T70" i="5" s="1"/>
  <c r="R71" i="5"/>
  <c r="T71" i="5" s="1"/>
  <c r="R72" i="5"/>
  <c r="T72" i="5" s="1"/>
  <c r="R73" i="5"/>
  <c r="T73" i="5" s="1"/>
  <c r="R74" i="5"/>
  <c r="T74" i="5" s="1"/>
  <c r="R75" i="5"/>
  <c r="T75" i="5" s="1"/>
  <c r="P39" i="5"/>
  <c r="P40" i="5"/>
  <c r="P41" i="5"/>
  <c r="P42" i="5"/>
  <c r="P43" i="5"/>
  <c r="P4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T52" i="5"/>
  <c r="T53" i="5"/>
  <c r="T66" i="5"/>
  <c r="T67" i="5"/>
  <c r="T68" i="5"/>
  <c r="R76" i="5"/>
  <c r="T76" i="5" s="1"/>
  <c r="R77" i="5"/>
  <c r="T77" i="5" s="1"/>
  <c r="R78" i="5"/>
  <c r="T78" i="5" s="1"/>
  <c r="R79" i="5"/>
  <c r="T79" i="5" s="1"/>
  <c r="R80" i="5"/>
  <c r="T80" i="5" s="1"/>
  <c r="R81" i="5"/>
  <c r="T81" i="5" s="1"/>
  <c r="R82" i="5"/>
  <c r="T82" i="5" s="1"/>
  <c r="R83" i="5"/>
  <c r="T83" i="5" s="1"/>
  <c r="R84" i="5"/>
  <c r="T84" i="5" s="1"/>
  <c r="R85" i="5"/>
  <c r="T85" i="5" s="1"/>
  <c r="R86" i="5"/>
  <c r="T86" i="5" s="1"/>
  <c r="R87" i="5"/>
  <c r="T87" i="5" s="1"/>
  <c r="R88" i="5"/>
  <c r="T88" i="5" s="1"/>
  <c r="R89" i="5"/>
  <c r="T89" i="5" s="1"/>
  <c r="R90" i="5"/>
  <c r="T90" i="5" s="1"/>
  <c r="R91" i="5"/>
  <c r="T91" i="5" s="1"/>
  <c r="R92" i="5"/>
  <c r="T92" i="5" s="1"/>
  <c r="R93" i="5"/>
  <c r="T93" i="5" s="1"/>
  <c r="R94" i="5"/>
  <c r="T94" i="5" s="1"/>
  <c r="R95" i="5"/>
  <c r="T95" i="5" s="1"/>
  <c r="R96" i="5"/>
  <c r="T96" i="5" s="1"/>
  <c r="R97" i="5"/>
  <c r="T97" i="5" s="1"/>
  <c r="R98" i="5"/>
  <c r="T98" i="5" s="1"/>
  <c r="R99" i="5"/>
  <c r="T99" i="5" s="1"/>
  <c r="R100" i="5"/>
  <c r="T100" i="5" s="1"/>
  <c r="R101" i="5"/>
  <c r="T101" i="5" s="1"/>
  <c r="R102" i="5"/>
  <c r="T102" i="5" s="1"/>
  <c r="R103" i="5"/>
  <c r="T103" i="5" s="1"/>
  <c r="R104" i="5"/>
  <c r="T104" i="5" s="1"/>
  <c r="R105" i="5"/>
  <c r="T105" i="5" s="1"/>
  <c r="R106" i="5"/>
  <c r="T106" i="5" s="1"/>
  <c r="R107" i="5"/>
  <c r="T107" i="5" s="1"/>
  <c r="R108" i="5"/>
  <c r="T108" i="5" s="1"/>
  <c r="R109" i="5"/>
  <c r="T109" i="5" s="1"/>
  <c r="R110" i="5"/>
  <c r="T110" i="5" s="1"/>
  <c r="R111" i="5"/>
  <c r="T111" i="5" s="1"/>
  <c r="R112" i="5"/>
  <c r="T112" i="5" s="1"/>
  <c r="R113" i="5"/>
  <c r="T113" i="5" s="1"/>
  <c r="R114" i="5"/>
  <c r="T114" i="5" s="1"/>
  <c r="R115" i="5"/>
  <c r="T115" i="5" s="1"/>
  <c r="R116" i="5"/>
  <c r="T116" i="5" s="1"/>
  <c r="R117" i="5"/>
  <c r="T117" i="5" s="1"/>
  <c r="R118" i="5"/>
  <c r="T118" i="5" s="1"/>
  <c r="R119" i="5"/>
  <c r="T119" i="5" s="1"/>
  <c r="R120" i="5"/>
  <c r="T120" i="5" s="1"/>
  <c r="R121" i="5"/>
  <c r="T121" i="5" s="1"/>
  <c r="R122" i="5"/>
  <c r="T122" i="5" s="1"/>
  <c r="R123" i="5"/>
  <c r="T123" i="5" s="1"/>
  <c r="R124" i="5"/>
  <c r="T124" i="5" s="1"/>
  <c r="R125" i="5"/>
  <c r="T125" i="5" s="1"/>
  <c r="R126" i="5"/>
  <c r="T126" i="5" s="1"/>
  <c r="R127" i="5"/>
  <c r="T127" i="5" s="1"/>
  <c r="R128" i="5"/>
  <c r="T128" i="5" s="1"/>
  <c r="R129" i="5"/>
  <c r="T129" i="5" s="1"/>
  <c r="R130" i="5"/>
  <c r="T130" i="5" s="1"/>
  <c r="R131" i="5"/>
  <c r="T131" i="5" s="1"/>
  <c r="R132" i="5"/>
  <c r="T132" i="5" s="1"/>
  <c r="R133" i="5"/>
  <c r="T133" i="5" s="1"/>
  <c r="R134" i="5"/>
  <c r="T134" i="5" s="1"/>
  <c r="R135" i="5"/>
  <c r="T135" i="5" s="1"/>
  <c r="R136" i="5"/>
  <c r="T136" i="5" s="1"/>
  <c r="R137" i="5"/>
  <c r="T137" i="5" s="1"/>
  <c r="R138" i="5"/>
  <c r="T138" i="5" s="1"/>
  <c r="R139" i="5"/>
  <c r="T139" i="5" s="1"/>
  <c r="R140" i="5"/>
  <c r="T140" i="5" s="1"/>
  <c r="R141" i="5"/>
  <c r="T141" i="5" s="1"/>
  <c r="R142" i="5"/>
  <c r="T142" i="5" s="1"/>
  <c r="R143" i="5"/>
  <c r="T143" i="5" s="1"/>
  <c r="R144" i="5"/>
  <c r="T144" i="5" s="1"/>
  <c r="R145" i="5"/>
  <c r="T145" i="5" s="1"/>
  <c r="R146" i="5"/>
  <c r="T146" i="5" s="1"/>
  <c r="R147" i="5"/>
  <c r="T147" i="5" s="1"/>
  <c r="R148" i="5"/>
  <c r="T148" i="5" s="1"/>
  <c r="R149" i="5"/>
  <c r="T149" i="5" s="1"/>
  <c r="R150" i="5"/>
  <c r="T150" i="5" s="1"/>
  <c r="R151" i="5"/>
  <c r="T151" i="5" s="1"/>
  <c r="R152" i="5"/>
  <c r="T152" i="5" s="1"/>
  <c r="R153" i="5"/>
  <c r="T153" i="5" s="1"/>
  <c r="R154" i="5"/>
  <c r="T154" i="5" s="1"/>
  <c r="R155" i="5"/>
  <c r="T155" i="5" s="1"/>
  <c r="R156" i="5"/>
  <c r="T156" i="5" s="1"/>
  <c r="R157" i="5"/>
  <c r="T157" i="5" s="1"/>
  <c r="R158" i="5"/>
  <c r="T158" i="5" s="1"/>
  <c r="R159" i="5"/>
  <c r="T159" i="5" s="1"/>
  <c r="R160" i="5"/>
  <c r="T160" i="5" s="1"/>
  <c r="R161" i="5"/>
  <c r="T161" i="5" s="1"/>
  <c r="R162" i="5"/>
  <c r="T162" i="5" s="1"/>
  <c r="R163" i="5"/>
  <c r="T163" i="5" s="1"/>
  <c r="R164" i="5"/>
  <c r="T164" i="5" s="1"/>
  <c r="R165" i="5"/>
  <c r="T165" i="5" s="1"/>
  <c r="R166" i="5"/>
  <c r="T166" i="5" s="1"/>
  <c r="R167" i="5"/>
  <c r="T167" i="5" s="1"/>
  <c r="R168" i="5"/>
  <c r="T168" i="5" s="1"/>
  <c r="R169" i="5"/>
  <c r="T169" i="5" s="1"/>
  <c r="R170" i="5"/>
  <c r="T170" i="5" s="1"/>
  <c r="R171" i="5"/>
  <c r="T171" i="5" s="1"/>
  <c r="R172" i="5"/>
  <c r="T172" i="5" s="1"/>
  <c r="R173" i="5"/>
  <c r="T173" i="5" s="1"/>
  <c r="R174" i="5"/>
  <c r="T174" i="5" s="1"/>
  <c r="R175" i="5"/>
  <c r="T175" i="5" s="1"/>
  <c r="R176" i="5"/>
  <c r="T176" i="5" s="1"/>
  <c r="R177" i="5"/>
  <c r="T177" i="5" s="1"/>
  <c r="R178" i="5"/>
  <c r="T178" i="5" s="1"/>
  <c r="R179" i="5"/>
  <c r="T179" i="5" s="1"/>
  <c r="R180" i="5"/>
  <c r="T180" i="5" s="1"/>
  <c r="R181" i="5"/>
  <c r="T181" i="5" s="1"/>
  <c r="R182" i="5"/>
  <c r="T182" i="5" s="1"/>
  <c r="R183" i="5"/>
  <c r="T183" i="5" s="1"/>
  <c r="R184" i="5"/>
  <c r="T184" i="5" s="1"/>
  <c r="R185" i="5"/>
  <c r="T185" i="5" s="1"/>
  <c r="R186" i="5"/>
  <c r="T186" i="5" s="1"/>
  <c r="R187" i="5"/>
  <c r="T187" i="5" s="1"/>
  <c r="R188" i="5"/>
  <c r="T188" i="5" s="1"/>
  <c r="R189" i="5"/>
  <c r="T189" i="5" s="1"/>
  <c r="R190" i="5"/>
  <c r="T190" i="5" s="1"/>
  <c r="R191" i="5"/>
  <c r="T191" i="5" s="1"/>
  <c r="R192" i="5"/>
  <c r="T192" i="5" s="1"/>
  <c r="R193" i="5"/>
  <c r="T193" i="5" s="1"/>
  <c r="R194" i="5"/>
  <c r="T194" i="5" s="1"/>
  <c r="R195" i="5"/>
  <c r="T195" i="5" s="1"/>
  <c r="R196" i="5"/>
  <c r="T196" i="5" s="1"/>
  <c r="R197" i="5"/>
  <c r="T197" i="5" s="1"/>
  <c r="R198" i="5"/>
  <c r="T198" i="5" s="1"/>
  <c r="R199" i="5"/>
  <c r="T199" i="5" s="1"/>
  <c r="R200" i="5"/>
  <c r="T200" i="5" s="1"/>
  <c r="R201" i="5"/>
  <c r="T201" i="5" s="1"/>
  <c r="R202" i="5"/>
  <c r="T202" i="5" s="1"/>
  <c r="R203" i="5"/>
  <c r="T203" i="5" s="1"/>
  <c r="R204" i="5"/>
  <c r="T204" i="5" s="1"/>
  <c r="R205" i="5"/>
  <c r="T205" i="5" s="1"/>
  <c r="R206" i="5"/>
  <c r="T206" i="5" s="1"/>
  <c r="R207" i="5"/>
  <c r="T207" i="5" s="1"/>
  <c r="R208" i="5"/>
  <c r="T208" i="5" s="1"/>
  <c r="R209" i="5"/>
  <c r="T209" i="5" s="1"/>
  <c r="R210" i="5"/>
  <c r="T210" i="5" s="1"/>
  <c r="R211" i="5"/>
  <c r="T211" i="5" s="1"/>
  <c r="R212" i="5"/>
  <c r="T212" i="5" s="1"/>
  <c r="R213" i="5"/>
  <c r="T213" i="5" s="1"/>
  <c r="R214" i="5"/>
  <c r="T214" i="5" s="1"/>
  <c r="R215" i="5"/>
  <c r="T215" i="5" s="1"/>
  <c r="R216" i="5"/>
  <c r="T216" i="5" s="1"/>
  <c r="R217" i="5"/>
  <c r="T217" i="5" s="1"/>
  <c r="R218" i="5"/>
  <c r="T218" i="5" s="1"/>
  <c r="R219" i="5"/>
  <c r="T219" i="5" s="1"/>
  <c r="R220" i="5"/>
  <c r="T220" i="5" s="1"/>
  <c r="R221" i="5"/>
  <c r="T221" i="5" s="1"/>
  <c r="R222" i="5"/>
  <c r="T222" i="5" s="1"/>
  <c r="R223" i="5"/>
  <c r="T223" i="5" s="1"/>
  <c r="R224" i="5"/>
  <c r="T224" i="5" s="1"/>
  <c r="R225" i="5"/>
  <c r="T225" i="5" s="1"/>
  <c r="R226" i="5"/>
  <c r="T226" i="5" s="1"/>
  <c r="R227" i="5"/>
  <c r="T227" i="5" s="1"/>
  <c r="R228" i="5"/>
  <c r="T228" i="5" s="1"/>
  <c r="R229" i="5"/>
  <c r="T229" i="5" s="1"/>
  <c r="R230" i="5"/>
  <c r="T230" i="5" s="1"/>
  <c r="R231" i="5"/>
  <c r="T231" i="5" s="1"/>
  <c r="R232" i="5"/>
  <c r="T232" i="5" s="1"/>
  <c r="R233" i="5"/>
  <c r="T233" i="5" s="1"/>
  <c r="R234" i="5"/>
  <c r="T234" i="5" s="1"/>
  <c r="R235" i="5"/>
  <c r="T235" i="5" s="1"/>
  <c r="R236" i="5"/>
  <c r="T236" i="5" s="1"/>
  <c r="R237" i="5"/>
  <c r="T237" i="5" s="1"/>
  <c r="R238" i="5"/>
  <c r="T238" i="5" s="1"/>
  <c r="R239" i="5"/>
  <c r="T239" i="5" s="1"/>
  <c r="R240" i="5"/>
  <c r="T240" i="5" s="1"/>
  <c r="R241" i="5"/>
  <c r="T241" i="5" s="1"/>
  <c r="R242" i="5"/>
  <c r="T242" i="5" s="1"/>
  <c r="R243" i="5"/>
  <c r="T243" i="5" s="1"/>
  <c r="R244" i="5"/>
  <c r="T244" i="5" s="1"/>
  <c r="R245" i="5"/>
  <c r="T245" i="5" s="1"/>
  <c r="R246" i="5"/>
  <c r="T246" i="5" s="1"/>
  <c r="R247" i="5"/>
  <c r="T247" i="5" s="1"/>
  <c r="R248" i="5"/>
  <c r="T248" i="5" s="1"/>
  <c r="R249" i="5"/>
  <c r="T249" i="5" s="1"/>
  <c r="R250" i="5"/>
  <c r="T250" i="5" s="1"/>
  <c r="R251" i="5"/>
  <c r="T251" i="5" s="1"/>
  <c r="R252" i="5"/>
  <c r="T252" i="5" s="1"/>
  <c r="R253" i="5"/>
  <c r="T253" i="5" s="1"/>
  <c r="R254" i="5"/>
  <c r="T254" i="5" s="1"/>
  <c r="R255" i="5"/>
  <c r="T255" i="5" s="1"/>
  <c r="R256" i="5"/>
  <c r="T256" i="5" s="1"/>
  <c r="R257" i="5"/>
  <c r="T257" i="5" s="1"/>
  <c r="R258" i="5"/>
  <c r="T258" i="5" s="1"/>
  <c r="R259" i="5"/>
  <c r="T259" i="5" s="1"/>
  <c r="R260" i="5"/>
  <c r="T260" i="5" s="1"/>
  <c r="R261" i="5"/>
  <c r="T261" i="5" s="1"/>
  <c r="R262" i="5"/>
  <c r="T262" i="5" s="1"/>
  <c r="R263" i="5"/>
  <c r="T263" i="5" s="1"/>
  <c r="R264" i="5"/>
  <c r="T264" i="5" s="1"/>
  <c r="R265" i="5"/>
  <c r="T265" i="5" s="1"/>
  <c r="R266" i="5"/>
  <c r="T266" i="5" s="1"/>
  <c r="R267" i="5"/>
  <c r="T267" i="5" s="1"/>
  <c r="R268" i="5"/>
  <c r="T268" i="5" s="1"/>
  <c r="R269" i="5"/>
  <c r="T269" i="5" s="1"/>
  <c r="R270" i="5"/>
  <c r="T270" i="5" s="1"/>
  <c r="R271" i="5"/>
  <c r="T271" i="5" s="1"/>
  <c r="R272" i="5"/>
  <c r="T272" i="5" s="1"/>
  <c r="R273" i="5"/>
  <c r="T273" i="5" s="1"/>
  <c r="R274" i="5"/>
  <c r="T274" i="5" s="1"/>
  <c r="R275" i="5"/>
  <c r="T275" i="5" s="1"/>
  <c r="R276" i="5"/>
  <c r="T276" i="5" s="1"/>
  <c r="R277" i="5"/>
  <c r="T277" i="5" s="1"/>
  <c r="R278" i="5"/>
  <c r="T278" i="5" s="1"/>
  <c r="R279" i="5"/>
  <c r="T279" i="5" s="1"/>
  <c r="R280" i="5"/>
  <c r="T280" i="5" s="1"/>
  <c r="R281" i="5"/>
  <c r="T281" i="5" s="1"/>
  <c r="R282" i="5"/>
  <c r="T282" i="5" s="1"/>
  <c r="R283" i="5"/>
  <c r="T283" i="5" s="1"/>
  <c r="R284" i="5"/>
  <c r="T284" i="5" s="1"/>
  <c r="R285" i="5"/>
  <c r="T285" i="5" s="1"/>
  <c r="R286" i="5"/>
  <c r="T286" i="5" s="1"/>
  <c r="R287" i="5"/>
  <c r="T287" i="5" s="1"/>
  <c r="R288" i="5"/>
  <c r="T288" i="5" s="1"/>
  <c r="R289" i="5"/>
  <c r="T289" i="5" s="1"/>
  <c r="R290" i="5"/>
  <c r="T290" i="5" s="1"/>
  <c r="R291" i="5"/>
  <c r="T291" i="5" s="1"/>
  <c r="R292" i="5"/>
  <c r="T292" i="5" s="1"/>
  <c r="R293" i="5"/>
  <c r="T293" i="5" s="1"/>
  <c r="R294" i="5"/>
  <c r="T294" i="5" s="1"/>
  <c r="R295" i="5"/>
  <c r="T295" i="5" s="1"/>
  <c r="R296" i="5"/>
  <c r="T296" i="5" s="1"/>
  <c r="R297" i="5"/>
  <c r="T297" i="5" s="1"/>
  <c r="R298" i="5"/>
  <c r="T298" i="5" s="1"/>
  <c r="R299" i="5"/>
  <c r="T299" i="5" s="1"/>
  <c r="R300" i="5"/>
  <c r="T300" i="5" s="1"/>
  <c r="R301" i="5"/>
  <c r="T301" i="5" s="1"/>
  <c r="R302" i="5"/>
  <c r="T302" i="5" s="1"/>
  <c r="R303" i="5"/>
  <c r="T303" i="5" s="1"/>
  <c r="R304" i="5"/>
  <c r="T304" i="5" s="1"/>
  <c r="R305" i="5"/>
  <c r="T305" i="5" s="1"/>
  <c r="R306" i="5"/>
  <c r="T306" i="5" s="1"/>
  <c r="R307" i="5"/>
  <c r="T307" i="5" s="1"/>
  <c r="R308" i="5"/>
  <c r="T308" i="5" s="1"/>
  <c r="R309" i="5"/>
  <c r="T309" i="5" s="1"/>
  <c r="R310" i="5"/>
  <c r="T310" i="5" s="1"/>
  <c r="R311" i="5"/>
  <c r="T311" i="5" s="1"/>
  <c r="R312" i="5"/>
  <c r="T312" i="5" s="1"/>
  <c r="R313" i="5"/>
  <c r="T313" i="5" s="1"/>
  <c r="R314" i="5"/>
  <c r="T314" i="5" s="1"/>
  <c r="R315" i="5"/>
  <c r="T315" i="5" s="1"/>
  <c r="R316" i="5"/>
  <c r="T316" i="5" s="1"/>
  <c r="R317" i="5"/>
  <c r="T317" i="5" s="1"/>
  <c r="R318" i="5"/>
  <c r="T318" i="5" s="1"/>
  <c r="R319" i="5"/>
  <c r="T319" i="5" s="1"/>
  <c r="R320" i="5"/>
  <c r="T320" i="5" s="1"/>
  <c r="R321" i="5"/>
  <c r="T321" i="5" s="1"/>
  <c r="R322" i="5"/>
  <c r="T322" i="5" s="1"/>
  <c r="R323" i="5"/>
  <c r="T323" i="5" s="1"/>
  <c r="R324" i="5"/>
  <c r="T324" i="5" s="1"/>
  <c r="R325" i="5"/>
  <c r="T325" i="5" s="1"/>
  <c r="R326" i="5"/>
  <c r="T326" i="5" s="1"/>
  <c r="R327" i="5"/>
  <c r="T327" i="5" s="1"/>
  <c r="R328" i="5"/>
  <c r="T328" i="5" s="1"/>
  <c r="R329" i="5"/>
  <c r="T329" i="5" s="1"/>
  <c r="R330" i="5"/>
  <c r="T330" i="5" s="1"/>
  <c r="R331" i="5"/>
  <c r="T331" i="5" s="1"/>
  <c r="R332" i="5"/>
  <c r="T332" i="5" s="1"/>
  <c r="R333" i="5"/>
  <c r="T333" i="5" s="1"/>
  <c r="R334" i="5"/>
  <c r="T334" i="5" s="1"/>
  <c r="R335" i="5"/>
  <c r="T335" i="5" s="1"/>
  <c r="R336" i="5"/>
  <c r="T336" i="5" s="1"/>
  <c r="R337" i="5"/>
  <c r="T337" i="5" s="1"/>
  <c r="R338" i="5"/>
  <c r="T338" i="5" s="1"/>
  <c r="R339" i="5"/>
  <c r="T339" i="5" s="1"/>
  <c r="R340" i="5"/>
  <c r="T340" i="5" s="1"/>
  <c r="R341" i="5"/>
  <c r="T341" i="5" s="1"/>
  <c r="R342" i="5"/>
  <c r="T342" i="5" s="1"/>
  <c r="R343" i="5"/>
  <c r="T343" i="5" s="1"/>
  <c r="R344" i="5"/>
  <c r="T344" i="5" s="1"/>
  <c r="R345" i="5"/>
  <c r="T345" i="5" s="1"/>
  <c r="R346" i="5"/>
  <c r="T346" i="5" s="1"/>
  <c r="R347" i="5"/>
  <c r="T347" i="5" s="1"/>
  <c r="R348" i="5"/>
  <c r="T348" i="5" s="1"/>
  <c r="R349" i="5"/>
  <c r="T349" i="5" s="1"/>
  <c r="R350" i="5"/>
  <c r="T350" i="5" s="1"/>
  <c r="R351" i="5"/>
  <c r="T351" i="5" s="1"/>
  <c r="R352" i="5"/>
  <c r="T352" i="5" s="1"/>
  <c r="R353" i="5"/>
  <c r="T353" i="5" s="1"/>
  <c r="R354" i="5"/>
  <c r="T354" i="5" s="1"/>
  <c r="R355" i="5"/>
  <c r="T355" i="5" s="1"/>
  <c r="R356" i="5"/>
  <c r="T356" i="5" s="1"/>
  <c r="R357" i="5"/>
  <c r="T357" i="5" s="1"/>
  <c r="R358" i="5"/>
  <c r="T358" i="5" s="1"/>
  <c r="R359" i="5"/>
  <c r="T359" i="5" s="1"/>
  <c r="R360" i="5"/>
  <c r="T360" i="5" s="1"/>
  <c r="R361" i="5"/>
  <c r="T361" i="5" s="1"/>
  <c r="R362" i="5"/>
  <c r="T362" i="5" s="1"/>
  <c r="R363" i="5"/>
  <c r="T363" i="5" s="1"/>
  <c r="R364" i="5"/>
  <c r="T364" i="5" s="1"/>
  <c r="R365" i="5"/>
  <c r="T365" i="5" s="1"/>
  <c r="R366" i="5"/>
  <c r="T366" i="5" s="1"/>
  <c r="R367" i="5"/>
  <c r="T367" i="5" s="1"/>
  <c r="R368" i="5"/>
  <c r="T368" i="5" s="1"/>
  <c r="R369" i="5"/>
  <c r="T369" i="5" s="1"/>
  <c r="R370" i="5"/>
  <c r="T370" i="5" s="1"/>
  <c r="R371" i="5"/>
  <c r="T371" i="5" s="1"/>
  <c r="R372" i="5"/>
  <c r="T372" i="5" s="1"/>
  <c r="R373" i="5"/>
  <c r="T373" i="5" s="1"/>
  <c r="R374" i="5"/>
  <c r="T374" i="5" s="1"/>
  <c r="R375" i="5"/>
  <c r="T375" i="5" s="1"/>
  <c r="R376" i="5"/>
  <c r="T376" i="5" s="1"/>
  <c r="R377" i="5"/>
  <c r="T377" i="5" s="1"/>
  <c r="R378" i="5"/>
  <c r="T378" i="5" s="1"/>
  <c r="R379" i="5"/>
  <c r="T379" i="5" s="1"/>
  <c r="R380" i="5"/>
  <c r="T380" i="5" s="1"/>
  <c r="R381" i="5"/>
  <c r="T381" i="5" s="1"/>
  <c r="R382" i="5"/>
  <c r="T382" i="5" s="1"/>
  <c r="R383" i="5"/>
  <c r="T383" i="5" s="1"/>
  <c r="R384" i="5"/>
  <c r="T384" i="5" s="1"/>
  <c r="R385" i="5"/>
  <c r="T385" i="5" s="1"/>
  <c r="R386" i="5"/>
  <c r="T386" i="5" s="1"/>
  <c r="R387" i="5"/>
  <c r="T387" i="5" s="1"/>
  <c r="R388" i="5"/>
  <c r="T388" i="5" s="1"/>
  <c r="R389" i="5"/>
  <c r="T389" i="5" s="1"/>
  <c r="R390" i="5"/>
  <c r="T390" i="5" s="1"/>
  <c r="R391" i="5"/>
  <c r="T391" i="5" s="1"/>
  <c r="R392" i="5"/>
  <c r="T392" i="5" s="1"/>
  <c r="R393" i="5"/>
  <c r="T393" i="5" s="1"/>
  <c r="R394" i="5"/>
  <c r="T394" i="5" s="1"/>
  <c r="R395" i="5"/>
  <c r="T395" i="5" s="1"/>
  <c r="R396" i="5"/>
  <c r="T396" i="5" s="1"/>
  <c r="R397" i="5"/>
  <c r="T397" i="5" s="1"/>
  <c r="R398" i="5"/>
  <c r="T398" i="5" s="1"/>
  <c r="R399" i="5"/>
  <c r="T399" i="5" s="1"/>
  <c r="R400" i="5"/>
  <c r="T400" i="5" s="1"/>
  <c r="R401" i="5"/>
  <c r="T401" i="5" s="1"/>
  <c r="R402" i="5"/>
  <c r="T402" i="5" s="1"/>
  <c r="R403" i="5"/>
  <c r="T403" i="5" s="1"/>
  <c r="R404" i="5"/>
  <c r="T404" i="5" s="1"/>
  <c r="R405" i="5"/>
  <c r="T405" i="5" s="1"/>
  <c r="R406" i="5"/>
  <c r="T406" i="5" s="1"/>
  <c r="R407" i="5"/>
  <c r="T407" i="5" s="1"/>
  <c r="R408" i="5"/>
  <c r="T408" i="5" s="1"/>
  <c r="R409" i="5"/>
  <c r="T409" i="5" s="1"/>
  <c r="R410" i="5"/>
  <c r="T410" i="5" s="1"/>
  <c r="R411" i="5"/>
  <c r="T411" i="5" s="1"/>
  <c r="R412" i="5"/>
  <c r="T412" i="5" s="1"/>
  <c r="R413" i="5"/>
  <c r="T413" i="5" s="1"/>
  <c r="R414" i="5"/>
  <c r="T414" i="5" s="1"/>
  <c r="R415" i="5"/>
  <c r="T415" i="5" s="1"/>
  <c r="R416" i="5"/>
  <c r="T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T422" i="5" s="1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T438" i="5" s="1"/>
  <c r="R439" i="5"/>
  <c r="T439" i="5" s="1"/>
  <c r="R440" i="5"/>
  <c r="T440" i="5" s="1"/>
  <c r="R441" i="5"/>
  <c r="T441" i="5" s="1"/>
  <c r="R442" i="5"/>
  <c r="T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R456" i="5"/>
  <c r="T456" i="5" s="1"/>
  <c r="R457" i="5"/>
  <c r="T457" i="5" s="1"/>
  <c r="R458" i="5"/>
  <c r="T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R472" i="5"/>
  <c r="T472" i="5" s="1"/>
  <c r="R473" i="5"/>
  <c r="T473" i="5" s="1"/>
  <c r="R474" i="5"/>
  <c r="T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R488" i="5"/>
  <c r="T488" i="5" s="1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V29" i="5" l="1"/>
  <c r="V34" i="5"/>
  <c r="V22" i="5"/>
  <c r="V33" i="5"/>
  <c r="V9" i="5"/>
  <c r="V32" i="5"/>
  <c r="V8" i="5"/>
  <c r="V31" i="5"/>
  <c r="V19" i="5"/>
  <c r="V30" i="5"/>
  <c r="V18" i="5"/>
  <c r="V17" i="5"/>
  <c r="V16" i="5"/>
  <c r="V35" i="5"/>
  <c r="V10" i="5"/>
  <c r="V301" i="5"/>
  <c r="V289" i="5"/>
  <c r="V277" i="5"/>
  <c r="V265" i="5"/>
  <c r="V241" i="5"/>
  <c r="V217" i="5"/>
  <c r="V169" i="5"/>
  <c r="V157" i="5"/>
  <c r="V145" i="5"/>
  <c r="V133" i="5"/>
  <c r="V97" i="5"/>
  <c r="V312" i="5"/>
  <c r="V288" i="5"/>
  <c r="V264" i="5"/>
  <c r="V180" i="5"/>
  <c r="V168" i="5"/>
  <c r="V144" i="5"/>
  <c r="V36" i="5"/>
  <c r="V68" i="5"/>
  <c r="V299" i="5"/>
  <c r="V64" i="5"/>
  <c r="T20" i="5"/>
  <c r="V20" i="5" s="1"/>
  <c r="V21" i="5"/>
  <c r="V26" i="5"/>
  <c r="V14" i="5"/>
  <c r="V25" i="5"/>
  <c r="V13" i="5"/>
  <c r="V15" i="5"/>
  <c r="V24" i="5"/>
  <c r="V12" i="5"/>
  <c r="V27" i="5"/>
  <c r="V23" i="5"/>
  <c r="V11" i="5"/>
  <c r="V28" i="5"/>
  <c r="V95" i="5"/>
  <c r="V60" i="5"/>
  <c r="V48" i="5"/>
  <c r="V298" i="5"/>
  <c r="V214" i="5"/>
  <c r="V59" i="5"/>
  <c r="V47" i="5"/>
  <c r="V304" i="5"/>
  <c r="V268" i="5"/>
  <c r="V232" i="5"/>
  <c r="V196" i="5"/>
  <c r="V160" i="5"/>
  <c r="V136" i="5"/>
  <c r="V100" i="5"/>
  <c r="V46" i="5"/>
  <c r="V303" i="5"/>
  <c r="V291" i="5"/>
  <c r="V267" i="5"/>
  <c r="V243" i="5"/>
  <c r="V219" i="5"/>
  <c r="V195" i="5"/>
  <c r="V183" i="5"/>
  <c r="V159" i="5"/>
  <c r="V135" i="5"/>
  <c r="V99" i="5"/>
  <c r="V56" i="5"/>
  <c r="V62" i="5"/>
  <c r="V49" i="5"/>
  <c r="V292" i="5"/>
  <c r="V256" i="5"/>
  <c r="V220" i="5"/>
  <c r="V184" i="5"/>
  <c r="V148" i="5"/>
  <c r="V112" i="5"/>
  <c r="V76" i="5"/>
  <c r="V58" i="5"/>
  <c r="V279" i="5"/>
  <c r="V255" i="5"/>
  <c r="V231" i="5"/>
  <c r="V207" i="5"/>
  <c r="V171" i="5"/>
  <c r="V147" i="5"/>
  <c r="V123" i="5"/>
  <c r="V111" i="5"/>
  <c r="V87" i="5"/>
  <c r="V55" i="5"/>
  <c r="V61" i="5"/>
  <c r="V280" i="5"/>
  <c r="V244" i="5"/>
  <c r="V208" i="5"/>
  <c r="V172" i="5"/>
  <c r="V124" i="5"/>
  <c r="V88" i="5"/>
  <c r="V54" i="5"/>
  <c r="V42" i="5"/>
  <c r="V74" i="5"/>
  <c r="V72" i="5"/>
  <c r="V302" i="5"/>
  <c r="V228" i="5"/>
  <c r="V120" i="5"/>
  <c r="V96" i="5"/>
  <c r="V84" i="5"/>
  <c r="V290" i="5"/>
  <c r="V266" i="5"/>
  <c r="V205" i="5"/>
  <c r="V73" i="5"/>
  <c r="V314" i="5"/>
  <c r="V278" i="5"/>
  <c r="V254" i="5"/>
  <c r="V313" i="5"/>
  <c r="V253" i="5"/>
  <c r="V229" i="5"/>
  <c r="V193" i="5"/>
  <c r="V181" i="5"/>
  <c r="V121" i="5"/>
  <c r="V109" i="5"/>
  <c r="V85" i="5"/>
  <c r="V240" i="5"/>
  <c r="V242" i="5"/>
  <c r="V194" i="5"/>
  <c r="V158" i="5"/>
  <c r="V122" i="5"/>
  <c r="V98" i="5"/>
  <c r="V70" i="5"/>
  <c r="V300" i="5"/>
  <c r="V276" i="5"/>
  <c r="V216" i="5"/>
  <c r="V192" i="5"/>
  <c r="V156" i="5"/>
  <c r="V132" i="5"/>
  <c r="V108" i="5"/>
  <c r="V57" i="5"/>
  <c r="V239" i="5"/>
  <c r="V44" i="5"/>
  <c r="V43" i="5"/>
  <c r="V309" i="5"/>
  <c r="V285" i="5"/>
  <c r="V261" i="5"/>
  <c r="V237" i="5"/>
  <c r="V201" i="5"/>
  <c r="V189" i="5"/>
  <c r="V153" i="5"/>
  <c r="V141" i="5"/>
  <c r="V117" i="5"/>
  <c r="V93" i="5"/>
  <c r="V308" i="5"/>
  <c r="V296" i="5"/>
  <c r="V284" i="5"/>
  <c r="V272" i="5"/>
  <c r="V260" i="5"/>
  <c r="V248" i="5"/>
  <c r="V236" i="5"/>
  <c r="V224" i="5"/>
  <c r="V212" i="5"/>
  <c r="V200" i="5"/>
  <c r="V188" i="5"/>
  <c r="V176" i="5"/>
  <c r="V164" i="5"/>
  <c r="V152" i="5"/>
  <c r="V140" i="5"/>
  <c r="V128" i="5"/>
  <c r="V116" i="5"/>
  <c r="V104" i="5"/>
  <c r="V92" i="5"/>
  <c r="V80" i="5"/>
  <c r="V305" i="5"/>
  <c r="V293" i="5"/>
  <c r="V281" i="5"/>
  <c r="V269" i="5"/>
  <c r="V257" i="5"/>
  <c r="V245" i="5"/>
  <c r="V233" i="5"/>
  <c r="V221" i="5"/>
  <c r="V209" i="5"/>
  <c r="V197" i="5"/>
  <c r="V185" i="5"/>
  <c r="V173" i="5"/>
  <c r="V161" i="5"/>
  <c r="V149" i="5"/>
  <c r="V137" i="5"/>
  <c r="V125" i="5"/>
  <c r="V113" i="5"/>
  <c r="V101" i="5"/>
  <c r="V89" i="5"/>
  <c r="V77" i="5"/>
  <c r="V65" i="5"/>
  <c r="V41" i="5"/>
  <c r="V230" i="5"/>
  <c r="V206" i="5"/>
  <c r="V170" i="5"/>
  <c r="V134" i="5"/>
  <c r="V86" i="5"/>
  <c r="V66" i="5"/>
  <c r="V45" i="5"/>
  <c r="V155" i="5"/>
  <c r="V297" i="5"/>
  <c r="V273" i="5"/>
  <c r="V249" i="5"/>
  <c r="V225" i="5"/>
  <c r="V213" i="5"/>
  <c r="V177" i="5"/>
  <c r="V165" i="5"/>
  <c r="V129" i="5"/>
  <c r="V105" i="5"/>
  <c r="V81" i="5"/>
  <c r="V307" i="5"/>
  <c r="V295" i="5"/>
  <c r="V283" i="5"/>
  <c r="V271" i="5"/>
  <c r="V259" i="5"/>
  <c r="V247" i="5"/>
  <c r="V235" i="5"/>
  <c r="V223" i="5"/>
  <c r="V211" i="5"/>
  <c r="V199" i="5"/>
  <c r="V187" i="5"/>
  <c r="V175" i="5"/>
  <c r="V163" i="5"/>
  <c r="V151" i="5"/>
  <c r="V139" i="5"/>
  <c r="V127" i="5"/>
  <c r="V115" i="5"/>
  <c r="V103" i="5"/>
  <c r="V91" i="5"/>
  <c r="V79" i="5"/>
  <c r="V53" i="5"/>
  <c r="V218" i="5"/>
  <c r="V182" i="5"/>
  <c r="V146" i="5"/>
  <c r="V110" i="5"/>
  <c r="V67" i="5"/>
  <c r="V252" i="5"/>
  <c r="V204" i="5"/>
  <c r="V69" i="5"/>
  <c r="V154" i="5"/>
  <c r="V306" i="5"/>
  <c r="V294" i="5"/>
  <c r="V282" i="5"/>
  <c r="V270" i="5"/>
  <c r="V258" i="5"/>
  <c r="V246" i="5"/>
  <c r="V234" i="5"/>
  <c r="V222" i="5"/>
  <c r="V210" i="5"/>
  <c r="V198" i="5"/>
  <c r="V186" i="5"/>
  <c r="V174" i="5"/>
  <c r="V162" i="5"/>
  <c r="V150" i="5"/>
  <c r="V138" i="5"/>
  <c r="V126" i="5"/>
  <c r="V114" i="5"/>
  <c r="V102" i="5"/>
  <c r="V90" i="5"/>
  <c r="V78" i="5"/>
  <c r="V52" i="5"/>
  <c r="V75" i="5"/>
  <c r="V63" i="5"/>
  <c r="V71" i="5"/>
  <c r="V311" i="5"/>
  <c r="V287" i="5"/>
  <c r="V275" i="5"/>
  <c r="V263" i="5"/>
  <c r="V251" i="5"/>
  <c r="V227" i="5"/>
  <c r="V215" i="5"/>
  <c r="V203" i="5"/>
  <c r="V191" i="5"/>
  <c r="V179" i="5"/>
  <c r="V167" i="5"/>
  <c r="V143" i="5"/>
  <c r="V131" i="5"/>
  <c r="V119" i="5"/>
  <c r="V107" i="5"/>
  <c r="V83" i="5"/>
  <c r="V310" i="5"/>
  <c r="V286" i="5"/>
  <c r="V274" i="5"/>
  <c r="V262" i="5"/>
  <c r="V250" i="5"/>
  <c r="V238" i="5"/>
  <c r="V226" i="5"/>
  <c r="V202" i="5"/>
  <c r="V190" i="5"/>
  <c r="V178" i="5"/>
  <c r="V166" i="5"/>
  <c r="V142" i="5"/>
  <c r="V130" i="5"/>
  <c r="V118" i="5"/>
  <c r="V106" i="5"/>
  <c r="V94" i="5"/>
  <c r="V82" i="5"/>
  <c r="V40" i="5"/>
  <c r="V39" i="5"/>
  <c r="V51" i="5"/>
  <c r="V50" i="5"/>
  <c r="K7" i="3"/>
  <c r="K6" i="3"/>
  <c r="K14" i="3"/>
  <c r="K2" i="3"/>
  <c r="U315" i="5" l="1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J10" i="3" l="1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T1195" i="5"/>
  <c r="B18" i="4"/>
  <c r="B17" i="4"/>
  <c r="B16" i="4"/>
  <c r="C26" i="4"/>
  <c r="C27" i="4"/>
  <c r="C28" i="4"/>
  <c r="C29" i="4"/>
  <c r="C30" i="4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2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R2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W1076" i="5"/>
  <c r="T489" i="5"/>
  <c r="V489" i="5" s="1"/>
  <c r="T490" i="5"/>
  <c r="V490" i="5" s="1"/>
  <c r="T491" i="5"/>
  <c r="T492" i="5"/>
  <c r="V492" i="5" s="1"/>
  <c r="T493" i="5"/>
  <c r="T494" i="5"/>
  <c r="T495" i="5"/>
  <c r="V495" i="5" s="1"/>
  <c r="T496" i="5"/>
  <c r="T497" i="5"/>
  <c r="T498" i="5"/>
  <c r="T499" i="5"/>
  <c r="T500" i="5"/>
  <c r="V500" i="5" s="1"/>
  <c r="T501" i="5"/>
  <c r="V501" i="5" s="1"/>
  <c r="T502" i="5"/>
  <c r="V502" i="5" s="1"/>
  <c r="T503" i="5"/>
  <c r="T504" i="5"/>
  <c r="V504" i="5" s="1"/>
  <c r="T505" i="5"/>
  <c r="T506" i="5"/>
  <c r="T507" i="5"/>
  <c r="V507" i="5" s="1"/>
  <c r="T508" i="5"/>
  <c r="T509" i="5"/>
  <c r="T510" i="5"/>
  <c r="T511" i="5"/>
  <c r="T512" i="5"/>
  <c r="V512" i="5" s="1"/>
  <c r="T513" i="5"/>
  <c r="V513" i="5" s="1"/>
  <c r="T514" i="5"/>
  <c r="V514" i="5" s="1"/>
  <c r="T515" i="5"/>
  <c r="T516" i="5"/>
  <c r="V516" i="5" s="1"/>
  <c r="T517" i="5"/>
  <c r="T518" i="5"/>
  <c r="T519" i="5"/>
  <c r="V519" i="5" s="1"/>
  <c r="T520" i="5"/>
  <c r="T521" i="5"/>
  <c r="T522" i="5"/>
  <c r="T523" i="5"/>
  <c r="T524" i="5"/>
  <c r="T525" i="5"/>
  <c r="T526" i="5"/>
  <c r="T527" i="5"/>
  <c r="T528" i="5"/>
  <c r="V528" i="5" s="1"/>
  <c r="T529" i="5"/>
  <c r="V529" i="5" s="1"/>
  <c r="T530" i="5"/>
  <c r="T531" i="5"/>
  <c r="T532" i="5"/>
  <c r="T533" i="5"/>
  <c r="T534" i="5"/>
  <c r="T535" i="5"/>
  <c r="T536" i="5"/>
  <c r="T537" i="5"/>
  <c r="T538" i="5"/>
  <c r="T539" i="5"/>
  <c r="T540" i="5"/>
  <c r="V540" i="5" s="1"/>
  <c r="T541" i="5"/>
  <c r="V541" i="5" s="1"/>
  <c r="T542" i="5"/>
  <c r="T543" i="5"/>
  <c r="T544" i="5"/>
  <c r="T545" i="5"/>
  <c r="T546" i="5"/>
  <c r="T547" i="5"/>
  <c r="T548" i="5"/>
  <c r="T549" i="5"/>
  <c r="T550" i="5"/>
  <c r="T551" i="5"/>
  <c r="T552" i="5"/>
  <c r="V552" i="5" s="1"/>
  <c r="T553" i="5"/>
  <c r="V553" i="5" s="1"/>
  <c r="T554" i="5"/>
  <c r="T555" i="5"/>
  <c r="T556" i="5"/>
  <c r="T557" i="5"/>
  <c r="T558" i="5"/>
  <c r="V554" i="5" l="1"/>
  <c r="V542" i="5"/>
  <c r="V530" i="5"/>
  <c r="V518" i="5"/>
  <c r="V506" i="5"/>
  <c r="V494" i="5"/>
  <c r="V551" i="5"/>
  <c r="V539" i="5"/>
  <c r="V527" i="5"/>
  <c r="V582" i="5"/>
  <c r="V570" i="5"/>
  <c r="V493" i="5"/>
  <c r="V505" i="5"/>
  <c r="V517" i="5"/>
  <c r="V581" i="5"/>
  <c r="V569" i="5"/>
  <c r="V588" i="5"/>
  <c r="V576" i="5"/>
  <c r="V564" i="5"/>
  <c r="V580" i="5"/>
  <c r="V568" i="5"/>
  <c r="V555" i="5"/>
  <c r="V543" i="5"/>
  <c r="V531" i="5"/>
  <c r="V579" i="5"/>
  <c r="V567" i="5"/>
  <c r="V575" i="5"/>
  <c r="V563" i="5"/>
  <c r="V523" i="5"/>
  <c r="V546" i="5"/>
  <c r="V522" i="5"/>
  <c r="V547" i="5"/>
  <c r="V535" i="5"/>
  <c r="V558" i="5"/>
  <c r="V534" i="5"/>
  <c r="V503" i="5"/>
  <c r="V491" i="5"/>
  <c r="V578" i="5"/>
  <c r="V550" i="5"/>
  <c r="V577" i="5"/>
  <c r="V565" i="5"/>
  <c r="V515" i="5"/>
  <c r="V566" i="5"/>
  <c r="V538" i="5"/>
  <c r="V549" i="5"/>
  <c r="V525" i="5"/>
  <c r="V526" i="5"/>
  <c r="V537" i="5"/>
  <c r="V548" i="5"/>
  <c r="V536" i="5"/>
  <c r="V524" i="5"/>
  <c r="V499" i="5"/>
  <c r="V573" i="5"/>
  <c r="V572" i="5"/>
  <c r="V560" i="5"/>
  <c r="V511" i="5"/>
  <c r="V574" i="5"/>
  <c r="V562" i="5"/>
  <c r="V510" i="5"/>
  <c r="V498" i="5"/>
  <c r="V561" i="5"/>
  <c r="V557" i="5"/>
  <c r="V545" i="5"/>
  <c r="V533" i="5"/>
  <c r="V521" i="5"/>
  <c r="V509" i="5"/>
  <c r="V497" i="5"/>
  <c r="V556" i="5"/>
  <c r="V544" i="5"/>
  <c r="V532" i="5"/>
  <c r="V520" i="5"/>
  <c r="V508" i="5"/>
  <c r="V496" i="5"/>
  <c r="V583" i="5"/>
  <c r="V571" i="5"/>
  <c r="V559" i="5"/>
  <c r="V587" i="5"/>
  <c r="V586" i="5"/>
  <c r="V585" i="5"/>
  <c r="V584" i="5"/>
  <c r="V760" i="5"/>
  <c r="V744" i="5"/>
  <c r="V872" i="5"/>
  <c r="V937" i="5"/>
  <c r="V759" i="5"/>
  <c r="V868" i="5"/>
  <c r="V852" i="5"/>
  <c r="V1068" i="5"/>
  <c r="V1052" i="5"/>
  <c r="V1004" i="5"/>
  <c r="V988" i="5"/>
  <c r="V956" i="5"/>
  <c r="V924" i="5"/>
  <c r="V876" i="5"/>
  <c r="V860" i="5"/>
  <c r="V844" i="5"/>
  <c r="V828" i="5"/>
  <c r="V796" i="5"/>
  <c r="V1049" i="5"/>
  <c r="V1033" i="5"/>
  <c r="V1001" i="5"/>
  <c r="V969" i="5"/>
  <c r="V921" i="5"/>
  <c r="V1028" i="5"/>
  <c r="V1065" i="5"/>
  <c r="V1032" i="5"/>
  <c r="V772" i="5"/>
  <c r="V756" i="5"/>
  <c r="V740" i="5"/>
  <c r="V724" i="5"/>
  <c r="V1064" i="5"/>
  <c r="V1048" i="5"/>
  <c r="V1016" i="5"/>
  <c r="V1000" i="5"/>
  <c r="V984" i="5"/>
  <c r="V968" i="5"/>
  <c r="V952" i="5"/>
  <c r="V936" i="5"/>
  <c r="V920" i="5"/>
  <c r="V904" i="5"/>
  <c r="V888" i="5"/>
  <c r="V856" i="5"/>
  <c r="V840" i="5"/>
  <c r="V824" i="5"/>
  <c r="V808" i="5"/>
  <c r="V792" i="5"/>
  <c r="V776" i="5"/>
  <c r="V1076" i="5"/>
  <c r="V1060" i="5"/>
  <c r="V1044" i="5"/>
  <c r="V1012" i="5"/>
  <c r="V996" i="5"/>
  <c r="V980" i="5"/>
  <c r="V964" i="5"/>
  <c r="V948" i="5"/>
  <c r="V932" i="5"/>
  <c r="V916" i="5"/>
  <c r="V900" i="5"/>
  <c r="V884" i="5"/>
  <c r="V836" i="5"/>
  <c r="V820" i="5"/>
  <c r="V804" i="5"/>
  <c r="V788" i="5"/>
  <c r="V764" i="5"/>
  <c r="V732" i="5"/>
  <c r="V716" i="5"/>
  <c r="V1015" i="5"/>
  <c r="V951" i="5"/>
  <c r="V887" i="5"/>
  <c r="V823" i="5"/>
  <c r="V1019" i="5"/>
  <c r="V1003" i="5"/>
  <c r="V987" i="5"/>
  <c r="V971" i="5"/>
  <c r="V963" i="5"/>
  <c r="V955" i="5"/>
  <c r="V883" i="5"/>
  <c r="V859" i="5"/>
  <c r="V843" i="5"/>
  <c r="V835" i="5"/>
  <c r="V827" i="5"/>
  <c r="V811" i="5"/>
  <c r="V795" i="5"/>
  <c r="V779" i="5"/>
  <c r="V763" i="5"/>
  <c r="V747" i="5"/>
  <c r="V731" i="5"/>
  <c r="V715" i="5"/>
  <c r="V1025" i="5"/>
  <c r="V889" i="5"/>
  <c r="V873" i="5"/>
  <c r="V825" i="5"/>
  <c r="V809" i="5"/>
  <c r="V793" i="5"/>
  <c r="V761" i="5"/>
  <c r="V745" i="5"/>
  <c r="V1030" i="5"/>
  <c r="V1022" i="5"/>
  <c r="V886" i="5"/>
  <c r="V830" i="5"/>
  <c r="V766" i="5"/>
  <c r="V718" i="5"/>
  <c r="V1074" i="5"/>
  <c r="V1058" i="5"/>
  <c r="V1042" i="5"/>
  <c r="V1026" i="5"/>
  <c r="V1010" i="5"/>
  <c r="V994" i="5"/>
  <c r="V978" i="5"/>
  <c r="V962" i="5"/>
  <c r="V946" i="5"/>
  <c r="V866" i="5"/>
  <c r="V818" i="5"/>
  <c r="V802" i="5"/>
  <c r="V738" i="5"/>
  <c r="V722" i="5"/>
  <c r="V817" i="5"/>
  <c r="V753" i="5"/>
  <c r="V737" i="5"/>
  <c r="V1072" i="5"/>
  <c r="V1056" i="5"/>
  <c r="V1040" i="5"/>
  <c r="V1024" i="5"/>
  <c r="V1008" i="5"/>
  <c r="V992" i="5"/>
  <c r="V976" i="5"/>
  <c r="V944" i="5"/>
  <c r="V928" i="5"/>
  <c r="V912" i="5"/>
  <c r="V896" i="5"/>
  <c r="V880" i="5"/>
  <c r="V848" i="5"/>
  <c r="V832" i="5"/>
  <c r="V784" i="5"/>
  <c r="V768" i="5"/>
  <c r="V752" i="5"/>
  <c r="V736" i="5"/>
  <c r="V720" i="5"/>
  <c r="V1069" i="5"/>
  <c r="V1053" i="5"/>
  <c r="V1037" i="5"/>
  <c r="V733" i="5"/>
  <c r="V1066" i="5"/>
  <c r="V1050" i="5"/>
  <c r="V1034" i="5"/>
  <c r="V1018" i="5"/>
  <c r="V874" i="5"/>
  <c r="V858" i="5"/>
  <c r="V842" i="5"/>
  <c r="V826" i="5"/>
  <c r="V810" i="5"/>
  <c r="V794" i="5"/>
  <c r="V778" i="5"/>
  <c r="V730" i="5"/>
  <c r="V714" i="5"/>
  <c r="V728" i="5"/>
  <c r="V712" i="5"/>
  <c r="V721" i="5"/>
  <c r="V862" i="5"/>
  <c r="V1073" i="5"/>
  <c r="V1057" i="5"/>
  <c r="V1041" i="5"/>
  <c r="V1009" i="5"/>
  <c r="V993" i="5"/>
  <c r="V977" i="5"/>
  <c r="V961" i="5"/>
  <c r="V945" i="5"/>
  <c r="V929" i="5"/>
  <c r="V913" i="5"/>
  <c r="V897" i="5"/>
  <c r="V881" i="5"/>
  <c r="V865" i="5"/>
  <c r="V849" i="5"/>
  <c r="V833" i="5"/>
  <c r="V1070" i="5"/>
  <c r="V1054" i="5"/>
  <c r="V1038" i="5"/>
  <c r="V765" i="5"/>
  <c r="V734" i="5"/>
  <c r="V1067" i="5"/>
  <c r="V1051" i="5"/>
  <c r="V1035" i="5"/>
  <c r="V1021" i="5"/>
  <c r="V1006" i="5"/>
  <c r="V990" i="5"/>
  <c r="V974" i="5"/>
  <c r="V960" i="5"/>
  <c r="V930" i="5"/>
  <c r="V914" i="5"/>
  <c r="V898" i="5"/>
  <c r="V882" i="5"/>
  <c r="V854" i="5"/>
  <c r="V762" i="5"/>
  <c r="V746" i="5"/>
  <c r="V717" i="5"/>
  <c r="V989" i="5"/>
  <c r="V973" i="5"/>
  <c r="V958" i="5"/>
  <c r="V957" i="5"/>
  <c r="V1017" i="5"/>
  <c r="V1002" i="5"/>
  <c r="V986" i="5"/>
  <c r="V970" i="5"/>
  <c r="V942" i="5"/>
  <c r="V926" i="5"/>
  <c r="V910" i="5"/>
  <c r="V894" i="5"/>
  <c r="V878" i="5"/>
  <c r="V864" i="5"/>
  <c r="V850" i="5"/>
  <c r="V834" i="5"/>
  <c r="V941" i="5"/>
  <c r="V925" i="5"/>
  <c r="V909" i="5"/>
  <c r="V893" i="5"/>
  <c r="V954" i="5"/>
  <c r="V939" i="5"/>
  <c r="V923" i="5"/>
  <c r="V907" i="5"/>
  <c r="V891" i="5"/>
  <c r="V801" i="5"/>
  <c r="V786" i="5"/>
  <c r="V770" i="5"/>
  <c r="V1043" i="5"/>
  <c r="V953" i="5"/>
  <c r="V938" i="5"/>
  <c r="V922" i="5"/>
  <c r="V906" i="5"/>
  <c r="V890" i="5"/>
  <c r="V875" i="5"/>
  <c r="V861" i="5"/>
  <c r="V846" i="5"/>
  <c r="V816" i="5"/>
  <c r="V800" i="5"/>
  <c r="V785" i="5"/>
  <c r="V769" i="5"/>
  <c r="V754" i="5"/>
  <c r="V845" i="5"/>
  <c r="V829" i="5"/>
  <c r="V814" i="5"/>
  <c r="V798" i="5"/>
  <c r="V813" i="5"/>
  <c r="V797" i="5"/>
  <c r="V782" i="5"/>
  <c r="V781" i="5"/>
  <c r="V750" i="5"/>
  <c r="V1059" i="5"/>
  <c r="V979" i="5"/>
  <c r="V931" i="5"/>
  <c r="V915" i="5"/>
  <c r="V899" i="5"/>
  <c r="V851" i="5"/>
  <c r="V803" i="5"/>
  <c r="V787" i="5"/>
  <c r="V771" i="5"/>
  <c r="V723" i="5"/>
  <c r="V905" i="5"/>
  <c r="V841" i="5"/>
  <c r="V777" i="5"/>
  <c r="V713" i="5"/>
  <c r="V1014" i="5"/>
  <c r="V998" i="5"/>
  <c r="V966" i="5"/>
  <c r="V870" i="5"/>
  <c r="V838" i="5"/>
  <c r="V758" i="5"/>
  <c r="V742" i="5"/>
  <c r="V1036" i="5"/>
  <c r="V985" i="5"/>
  <c r="V1011" i="5"/>
  <c r="V972" i="5"/>
  <c r="V908" i="5"/>
  <c r="V857" i="5"/>
  <c r="V780" i="5"/>
  <c r="V729" i="5"/>
  <c r="V755" i="5"/>
  <c r="V995" i="5"/>
  <c r="V819" i="5"/>
  <c r="V867" i="5"/>
  <c r="V739" i="5"/>
  <c r="V1027" i="5"/>
  <c r="V1075" i="5"/>
  <c r="V947" i="5"/>
  <c r="V1020" i="5"/>
  <c r="V892" i="5"/>
  <c r="V940" i="5"/>
  <c r="V812" i="5"/>
  <c r="V748" i="5"/>
  <c r="V726" i="5"/>
  <c r="V965" i="5"/>
  <c r="V902" i="5"/>
  <c r="V837" i="5"/>
  <c r="V774" i="5"/>
  <c r="V1062" i="5"/>
  <c r="V950" i="5"/>
  <c r="V790" i="5"/>
  <c r="V1046" i="5"/>
  <c r="V934" i="5"/>
  <c r="V822" i="5"/>
  <c r="V982" i="5"/>
  <c r="V918" i="5"/>
  <c r="V806" i="5"/>
  <c r="V1013" i="5"/>
  <c r="V885" i="5"/>
  <c r="V757" i="5"/>
  <c r="V1061" i="5"/>
  <c r="V933" i="5"/>
  <c r="V805" i="5"/>
  <c r="V981" i="5"/>
  <c r="V853" i="5"/>
  <c r="V725" i="5"/>
  <c r="V1029" i="5"/>
  <c r="V901" i="5"/>
  <c r="V773" i="5"/>
  <c r="V1077" i="5"/>
  <c r="V949" i="5"/>
  <c r="V821" i="5"/>
  <c r="V997" i="5"/>
  <c r="V869" i="5"/>
  <c r="V741" i="5"/>
  <c r="V1045" i="5"/>
  <c r="V917" i="5"/>
  <c r="V789" i="5"/>
  <c r="V1005" i="5"/>
  <c r="V877" i="5"/>
  <c r="V749" i="5"/>
  <c r="V1039" i="5"/>
  <c r="V975" i="5"/>
  <c r="V911" i="5"/>
  <c r="V847" i="5"/>
  <c r="V783" i="5"/>
  <c r="V719" i="5"/>
  <c r="V1063" i="5"/>
  <c r="V935" i="5"/>
  <c r="V871" i="5"/>
  <c r="V807" i="5"/>
  <c r="V743" i="5"/>
  <c r="V999" i="5"/>
  <c r="V1023" i="5"/>
  <c r="V959" i="5"/>
  <c r="V895" i="5"/>
  <c r="V831" i="5"/>
  <c r="V767" i="5"/>
  <c r="V1047" i="5"/>
  <c r="V983" i="5"/>
  <c r="V919" i="5"/>
  <c r="V855" i="5"/>
  <c r="V791" i="5"/>
  <c r="V727" i="5"/>
  <c r="V1071" i="5"/>
  <c r="V1007" i="5"/>
  <c r="V943" i="5"/>
  <c r="V879" i="5"/>
  <c r="V815" i="5"/>
  <c r="V751" i="5"/>
  <c r="V903" i="5"/>
  <c r="V839" i="5"/>
  <c r="V775" i="5"/>
  <c r="V711" i="5"/>
  <c r="V1031" i="5"/>
  <c r="V967" i="5"/>
  <c r="V1055" i="5"/>
  <c r="V991" i="5"/>
  <c r="V927" i="5"/>
  <c r="V863" i="5"/>
  <c r="V799" i="5"/>
  <c r="V735" i="5"/>
  <c r="V2" i="5"/>
  <c r="C44" i="4" a="1"/>
  <c r="C44" i="4" s="1"/>
  <c r="C39" i="4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T589" i="5"/>
  <c r="V589" i="5" s="1"/>
  <c r="A590" i="5"/>
  <c r="T590" i="5"/>
  <c r="V590" i="5" s="1"/>
  <c r="A591" i="5"/>
  <c r="T591" i="5"/>
  <c r="V591" i="5" s="1"/>
  <c r="A592" i="5"/>
  <c r="T592" i="5"/>
  <c r="V592" i="5" s="1"/>
  <c r="A593" i="5"/>
  <c r="T593" i="5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R703" i="5"/>
  <c r="T703" i="5" s="1"/>
  <c r="V703" i="5" s="1"/>
  <c r="A704" i="5"/>
  <c r="R704" i="5"/>
  <c r="T704" i="5" s="1"/>
  <c r="V704" i="5" s="1"/>
  <c r="A705" i="5"/>
  <c r="R705" i="5"/>
  <c r="T705" i="5" s="1"/>
  <c r="V705" i="5" s="1"/>
  <c r="A706" i="5"/>
  <c r="R706" i="5"/>
  <c r="T706" i="5" s="1"/>
  <c r="V706" i="5" s="1"/>
  <c r="A707" i="5"/>
  <c r="R707" i="5"/>
  <c r="T707" i="5" s="1"/>
  <c r="V707" i="5" s="1"/>
  <c r="A708" i="5"/>
  <c r="R708" i="5"/>
  <c r="T708" i="5" s="1"/>
  <c r="V708" i="5" s="1"/>
  <c r="A709" i="5"/>
  <c r="R709" i="5"/>
  <c r="T709" i="5" s="1"/>
  <c r="V709" i="5" s="1"/>
  <c r="A710" i="5"/>
  <c r="R710" i="5"/>
  <c r="T710" i="5" s="1"/>
  <c r="V710" i="5" s="1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P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U1201" i="5"/>
  <c r="W1201" i="5"/>
  <c r="A1202" i="5"/>
  <c r="R1202" i="5"/>
  <c r="T1202" i="5" s="1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U1215" i="5"/>
  <c r="W1215" i="5"/>
  <c r="A1216" i="5"/>
  <c r="R1216" i="5"/>
  <c r="T1216" i="5" s="1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U1223" i="5"/>
  <c r="W1223" i="5"/>
  <c r="A1224" i="5"/>
  <c r="R1224" i="5"/>
  <c r="T1224" i="5" s="1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U1229" i="5"/>
  <c r="W1229" i="5"/>
  <c r="A1230" i="5"/>
  <c r="R1230" i="5"/>
  <c r="T1230" i="5" s="1"/>
  <c r="W1230" i="5"/>
  <c r="A1231" i="5"/>
  <c r="R1231" i="5"/>
  <c r="T1231" i="5" s="1"/>
  <c r="W1231" i="5"/>
  <c r="A1232" i="5"/>
  <c r="R1232" i="5"/>
  <c r="T1232" i="5" s="1"/>
  <c r="U1232" i="5"/>
  <c r="W1232" i="5"/>
  <c r="A1233" i="5"/>
  <c r="R1233" i="5"/>
  <c r="T1233" i="5" s="1"/>
  <c r="W1233" i="5"/>
  <c r="A1234" i="5"/>
  <c r="R1234" i="5"/>
  <c r="T1234" i="5" s="1"/>
  <c r="U1234" i="5"/>
  <c r="W1234" i="5"/>
  <c r="A1235" i="5"/>
  <c r="R1235" i="5"/>
  <c r="T1235" i="5" s="1"/>
  <c r="W1235" i="5"/>
  <c r="A1236" i="5"/>
  <c r="R1236" i="5"/>
  <c r="T1236" i="5" s="1"/>
  <c r="U1236" i="5"/>
  <c r="W1236" i="5"/>
  <c r="A1237" i="5"/>
  <c r="R1237" i="5"/>
  <c r="T1237" i="5" s="1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U1245" i="5"/>
  <c r="W1245" i="5"/>
  <c r="A1246" i="5"/>
  <c r="R1246" i="5"/>
  <c r="T1246" i="5" s="1"/>
  <c r="W1246" i="5"/>
  <c r="A1247" i="5"/>
  <c r="R1247" i="5"/>
  <c r="T1247" i="5" s="1"/>
  <c r="U1247" i="5"/>
  <c r="W1247" i="5"/>
  <c r="A1248" i="5"/>
  <c r="R1248" i="5"/>
  <c r="T1248" i="5" s="1"/>
  <c r="U1248" i="5"/>
  <c r="W1248" i="5"/>
  <c r="A1249" i="5"/>
  <c r="R1249" i="5"/>
  <c r="T1249" i="5" s="1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U1253" i="5"/>
  <c r="W1253" i="5"/>
  <c r="A1254" i="5"/>
  <c r="R1254" i="5"/>
  <c r="T1254" i="5" s="1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U1261" i="5"/>
  <c r="W1261" i="5"/>
  <c r="A1262" i="5"/>
  <c r="R1262" i="5"/>
  <c r="T1262" i="5" s="1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U1273" i="5"/>
  <c r="W1273" i="5"/>
  <c r="A1274" i="5"/>
  <c r="R1274" i="5"/>
  <c r="T1274" i="5" s="1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U1277" i="5"/>
  <c r="W1277" i="5"/>
  <c r="A1278" i="5"/>
  <c r="R1278" i="5"/>
  <c r="T1278" i="5" s="1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U1291" i="5"/>
  <c r="W1291" i="5"/>
  <c r="A1292" i="5"/>
  <c r="R1292" i="5"/>
  <c r="T1292" i="5" s="1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U1297" i="5"/>
  <c r="W1297" i="5"/>
  <c r="A1298" i="5"/>
  <c r="R1298" i="5"/>
  <c r="T1298" i="5" s="1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U1302" i="5"/>
  <c r="W1302" i="5"/>
  <c r="A1303" i="5"/>
  <c r="R1303" i="5"/>
  <c r="T1303" i="5" s="1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U1306" i="5"/>
  <c r="W1306" i="5"/>
  <c r="A1307" i="5"/>
  <c r="R1307" i="5"/>
  <c r="T1307" i="5" s="1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U1311" i="5"/>
  <c r="W1311" i="5"/>
  <c r="A1312" i="5"/>
  <c r="R1312" i="5"/>
  <c r="T1312" i="5" s="1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U1322" i="5"/>
  <c r="W1322" i="5"/>
  <c r="A1323" i="5"/>
  <c r="R1323" i="5"/>
  <c r="T1323" i="5" s="1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U1327" i="5"/>
  <c r="W1327" i="5"/>
  <c r="A1328" i="5"/>
  <c r="R1328" i="5"/>
  <c r="T1328" i="5" s="1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U1351" i="5"/>
  <c r="W1351" i="5"/>
  <c r="A1352" i="5"/>
  <c r="R1352" i="5"/>
  <c r="T1352" i="5" s="1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U1357" i="5"/>
  <c r="W1357" i="5"/>
  <c r="A1358" i="5"/>
  <c r="R1358" i="5"/>
  <c r="T1358" i="5" s="1"/>
  <c r="W1358" i="5"/>
  <c r="A1359" i="5"/>
  <c r="R1359" i="5"/>
  <c r="T1359" i="5" s="1"/>
  <c r="U1359" i="5"/>
  <c r="W1359" i="5"/>
  <c r="A1360" i="5"/>
  <c r="R1360" i="5"/>
  <c r="T1360" i="5" s="1"/>
  <c r="W1360" i="5"/>
  <c r="A1361" i="5"/>
  <c r="R1361" i="5"/>
  <c r="T1361" i="5" s="1"/>
  <c r="U1361" i="5"/>
  <c r="W1361" i="5"/>
  <c r="A1362" i="5"/>
  <c r="R1362" i="5"/>
  <c r="T1362" i="5" s="1"/>
  <c r="U1362" i="5"/>
  <c r="W1362" i="5"/>
  <c r="A1363" i="5"/>
  <c r="R1363" i="5"/>
  <c r="T1363" i="5" s="1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U1382" i="5"/>
  <c r="W1382" i="5"/>
  <c r="A1383" i="5"/>
  <c r="R1383" i="5"/>
  <c r="T1383" i="5" s="1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U1386" i="5"/>
  <c r="W1386" i="5"/>
  <c r="A1387" i="5"/>
  <c r="R1387" i="5"/>
  <c r="T1387" i="5" s="1"/>
  <c r="W1387" i="5"/>
  <c r="A1388" i="5"/>
  <c r="R1388" i="5"/>
  <c r="T1388" i="5" s="1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U1391" i="5"/>
  <c r="W1391" i="5"/>
  <c r="A1392" i="5"/>
  <c r="R1392" i="5"/>
  <c r="T1392" i="5" s="1"/>
  <c r="W1392" i="5"/>
  <c r="A1393" i="5"/>
  <c r="R1393" i="5"/>
  <c r="T1393" i="5" s="1"/>
  <c r="U1393" i="5"/>
  <c r="W1393" i="5"/>
  <c r="A1394" i="5"/>
  <c r="R1394" i="5"/>
  <c r="T1394" i="5" s="1"/>
  <c r="U1394" i="5"/>
  <c r="W1394" i="5"/>
  <c r="A1395" i="5"/>
  <c r="R1395" i="5"/>
  <c r="T1395" i="5" s="1"/>
  <c r="W1395" i="5"/>
  <c r="A1396" i="5"/>
  <c r="R1396" i="5"/>
  <c r="T1396" i="5" s="1"/>
  <c r="U1396" i="5"/>
  <c r="W1396" i="5"/>
  <c r="A1397" i="5"/>
  <c r="R1397" i="5"/>
  <c r="T1397" i="5" s="1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U1405" i="5"/>
  <c r="W1405" i="5"/>
  <c r="A1406" i="5"/>
  <c r="R1406" i="5"/>
  <c r="T1406" i="5" s="1"/>
  <c r="W1406" i="5"/>
  <c r="R1407" i="5"/>
  <c r="T1407" i="5" s="1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U1414" i="5"/>
  <c r="W1414" i="5"/>
  <c r="R1415" i="5"/>
  <c r="T1415" i="5" s="1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U1436" i="5"/>
  <c r="W1436" i="5"/>
  <c r="R1437" i="5"/>
  <c r="T1437" i="5" s="1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U1440" i="5"/>
  <c r="W1440" i="5"/>
  <c r="R1441" i="5"/>
  <c r="T1441" i="5" s="1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R1451" i="5"/>
  <c r="T1451" i="5" s="1"/>
  <c r="U1451" i="5"/>
  <c r="W1451" i="5"/>
  <c r="U1233" i="5"/>
  <c r="C48" i="4" a="1"/>
  <c r="C48" i="4" s="1"/>
  <c r="E10" i="4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W11666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U10165" i="5"/>
  <c r="E9" i="4"/>
  <c r="E6" i="4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R1480" i="5"/>
  <c r="T1480" i="5" s="1"/>
  <c r="U1480" i="5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R1528" i="5"/>
  <c r="T1528" i="5" s="1"/>
  <c r="U1528" i="5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R1552" i="5"/>
  <c r="T1552" i="5" s="1"/>
  <c r="U1552" i="5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R1570" i="5"/>
  <c r="T1570" i="5" s="1"/>
  <c r="U1570" i="5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R1618" i="5"/>
  <c r="T1618" i="5" s="1"/>
  <c r="U1618" i="5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R1660" i="5"/>
  <c r="T1660" i="5" s="1"/>
  <c r="U1660" i="5"/>
  <c r="R1661" i="5"/>
  <c r="T1661" i="5" s="1"/>
  <c r="R1662" i="5"/>
  <c r="T1662" i="5" s="1"/>
  <c r="R1663" i="5"/>
  <c r="T1663" i="5" s="1"/>
  <c r="R1664" i="5"/>
  <c r="T1664" i="5" s="1"/>
  <c r="R1665" i="5"/>
  <c r="T1665" i="5" s="1"/>
  <c r="R1666" i="5"/>
  <c r="T1666" i="5" s="1"/>
  <c r="U1666" i="5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R1732" i="5"/>
  <c r="T1732" i="5" s="1"/>
  <c r="U1732" i="5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R1762" i="5"/>
  <c r="T1762" i="5" s="1"/>
  <c r="U1762" i="5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R1798" i="5"/>
  <c r="T1798" i="5" s="1"/>
  <c r="U1798" i="5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R1816" i="5"/>
  <c r="T1816" i="5" s="1"/>
  <c r="U1816" i="5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R1876" i="5"/>
  <c r="T1876" i="5" s="1"/>
  <c r="U1876" i="5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R1906" i="5"/>
  <c r="T1906" i="5" s="1"/>
  <c r="U1906" i="5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R1960" i="5"/>
  <c r="T1960" i="5" s="1"/>
  <c r="U1960" i="5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R1984" i="5"/>
  <c r="T1984" i="5" s="1"/>
  <c r="U1984" i="5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R2020" i="5"/>
  <c r="T2020" i="5" s="1"/>
  <c r="U2020" i="5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R2032" i="5"/>
  <c r="T2032" i="5" s="1"/>
  <c r="U2032" i="5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R2080" i="5"/>
  <c r="T2080" i="5" s="1"/>
  <c r="U2080" i="5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R2116" i="5"/>
  <c r="T2116" i="5" s="1"/>
  <c r="U2116" i="5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R2170" i="5"/>
  <c r="T2170" i="5" s="1"/>
  <c r="U2170" i="5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R2200" i="5"/>
  <c r="T2200" i="5" s="1"/>
  <c r="U2200" i="5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R2218" i="5"/>
  <c r="T2218" i="5" s="1"/>
  <c r="U2218" i="5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R2272" i="5"/>
  <c r="T2272" i="5" s="1"/>
  <c r="U2272" i="5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R2296" i="5"/>
  <c r="T2296" i="5" s="1"/>
  <c r="U2296" i="5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R2344" i="5"/>
  <c r="T2344" i="5" s="1"/>
  <c r="U2344" i="5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R2362" i="5"/>
  <c r="T2362" i="5" s="1"/>
  <c r="U2362" i="5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R2410" i="5"/>
  <c r="T2410" i="5" s="1"/>
  <c r="U2410" i="5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R2428" i="5"/>
  <c r="T2428" i="5" s="1"/>
  <c r="U2428" i="5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T9471" i="5" s="1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R11670" i="5"/>
  <c r="K364" i="3"/>
  <c r="J211" i="3"/>
  <c r="J364" i="3"/>
  <c r="U1453" i="5"/>
  <c r="U1455" i="5"/>
  <c r="U1456" i="5"/>
  <c r="U1457" i="5"/>
  <c r="U1460" i="5"/>
  <c r="U1461" i="5"/>
  <c r="U1462" i="5"/>
  <c r="U1463" i="5"/>
  <c r="U1464" i="5"/>
  <c r="U1465" i="5"/>
  <c r="U1466" i="5"/>
  <c r="U1467" i="5"/>
  <c r="U1470" i="5"/>
  <c r="U1472" i="5"/>
  <c r="U1474" i="5"/>
  <c r="U1475" i="5"/>
  <c r="U1477" i="5"/>
  <c r="U1478" i="5"/>
  <c r="U1479" i="5"/>
  <c r="U1481" i="5"/>
  <c r="U1482" i="5"/>
  <c r="U1484" i="5"/>
  <c r="U1485" i="5"/>
  <c r="U1486" i="5"/>
  <c r="U1487" i="5"/>
  <c r="U1488" i="5"/>
  <c r="U1489" i="5"/>
  <c r="U1490" i="5"/>
  <c r="U1491" i="5"/>
  <c r="U1492" i="5"/>
  <c r="U1494" i="5"/>
  <c r="U1495" i="5"/>
  <c r="U1497" i="5"/>
  <c r="U1498" i="5"/>
  <c r="U1501" i="5"/>
  <c r="U1502" i="5"/>
  <c r="U1503" i="5"/>
  <c r="U1505" i="5"/>
  <c r="U1507" i="5"/>
  <c r="U1508" i="5"/>
  <c r="U1509" i="5"/>
  <c r="U1510" i="5"/>
  <c r="U1511" i="5"/>
  <c r="U1512" i="5"/>
  <c r="U1513" i="5"/>
  <c r="U1514" i="5"/>
  <c r="U1518" i="5"/>
  <c r="U1519" i="5"/>
  <c r="U1520" i="5"/>
  <c r="U1521" i="5"/>
  <c r="U1522" i="5"/>
  <c r="U1523" i="5"/>
  <c r="U1524" i="5"/>
  <c r="U1526" i="5"/>
  <c r="U1529" i="5"/>
  <c r="U1531" i="5"/>
  <c r="U1532" i="5"/>
  <c r="U1533" i="5"/>
  <c r="U1534" i="5"/>
  <c r="U1536" i="5"/>
  <c r="U1537" i="5"/>
  <c r="U1538" i="5"/>
  <c r="U1539" i="5"/>
  <c r="U1541" i="5"/>
  <c r="U1544" i="5"/>
  <c r="U1546" i="5"/>
  <c r="U1547" i="5"/>
  <c r="U1549" i="5"/>
  <c r="U1550" i="5"/>
  <c r="U1551" i="5"/>
  <c r="U1553" i="5"/>
  <c r="U1554" i="5"/>
  <c r="U1555" i="5"/>
  <c r="U1556" i="5"/>
  <c r="U1557" i="5"/>
  <c r="U1558" i="5"/>
  <c r="U1559" i="5"/>
  <c r="U1565" i="5"/>
  <c r="U1566" i="5"/>
  <c r="U1567" i="5"/>
  <c r="U1568" i="5"/>
  <c r="U1569" i="5"/>
  <c r="U1571" i="5"/>
  <c r="U1572" i="5"/>
  <c r="U1573" i="5"/>
  <c r="U1574" i="5"/>
  <c r="U1575" i="5"/>
  <c r="U1577" i="5"/>
  <c r="U1582" i="5"/>
  <c r="U1583" i="5"/>
  <c r="U1584" i="5"/>
  <c r="U1585" i="5"/>
  <c r="U1588" i="5"/>
  <c r="U1589" i="5"/>
  <c r="U1590" i="5"/>
  <c r="U1592" i="5"/>
  <c r="U1593" i="5"/>
  <c r="U1594" i="5"/>
  <c r="U1595" i="5"/>
  <c r="U1599" i="5"/>
  <c r="U1600" i="5"/>
  <c r="U1601" i="5"/>
  <c r="U1602" i="5"/>
  <c r="U1603" i="5"/>
  <c r="U1604" i="5"/>
  <c r="U1605" i="5"/>
  <c r="U1607" i="5"/>
  <c r="U1609" i="5"/>
  <c r="U1610" i="5"/>
  <c r="U1613" i="5"/>
  <c r="U1616" i="5"/>
  <c r="U1617" i="5"/>
  <c r="U1619" i="5"/>
  <c r="U1620" i="5"/>
  <c r="U1621" i="5"/>
  <c r="U1622" i="5"/>
  <c r="U1623" i="5"/>
  <c r="U1624" i="5"/>
  <c r="U1625" i="5"/>
  <c r="U1626" i="5"/>
  <c r="U1627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3" i="5"/>
  <c r="U1648" i="5"/>
  <c r="U1649" i="5"/>
  <c r="U1650" i="5"/>
  <c r="U1652" i="5"/>
  <c r="U1653" i="5"/>
  <c r="U1654" i="5"/>
  <c r="U1655" i="5"/>
  <c r="U1656" i="5"/>
  <c r="U1657" i="5"/>
  <c r="U1658" i="5"/>
  <c r="U1659" i="5"/>
  <c r="U1664" i="5"/>
  <c r="U1665" i="5"/>
  <c r="U1667" i="5"/>
  <c r="U1668" i="5"/>
  <c r="U1670" i="5"/>
  <c r="U1671" i="5"/>
  <c r="U1672" i="5"/>
  <c r="U1673" i="5"/>
  <c r="U1674" i="5"/>
  <c r="U1675" i="5"/>
  <c r="U1678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4" i="5"/>
  <c r="U1696" i="5"/>
  <c r="U1697" i="5"/>
  <c r="U1699" i="5"/>
  <c r="U1700" i="5"/>
  <c r="U1701" i="5"/>
  <c r="U1702" i="5"/>
  <c r="U1703" i="5"/>
  <c r="U1705" i="5"/>
  <c r="U1706" i="5"/>
  <c r="U1708" i="5"/>
  <c r="U1709" i="5"/>
  <c r="U1711" i="5"/>
  <c r="U1713" i="5"/>
  <c r="U1714" i="5"/>
  <c r="U1715" i="5"/>
  <c r="U1716" i="5"/>
  <c r="U1717" i="5"/>
  <c r="U1718" i="5"/>
  <c r="U1719" i="5"/>
  <c r="U1720" i="5"/>
  <c r="U1721" i="5"/>
  <c r="U1723" i="5"/>
  <c r="U1726" i="5"/>
  <c r="U1727" i="5"/>
  <c r="U1728" i="5"/>
  <c r="U1730" i="5"/>
  <c r="U1731" i="5"/>
  <c r="U1733" i="5"/>
  <c r="U1734" i="5"/>
  <c r="U1735" i="5"/>
  <c r="U1736" i="5"/>
  <c r="U1737" i="5"/>
  <c r="U1742" i="5"/>
  <c r="U1743" i="5"/>
  <c r="U1744" i="5"/>
  <c r="U1746" i="5"/>
  <c r="U1747" i="5"/>
  <c r="U1748" i="5"/>
  <c r="U1749" i="5"/>
  <c r="U1750" i="5"/>
  <c r="U1751" i="5"/>
  <c r="U1752" i="5"/>
  <c r="U1753" i="5"/>
  <c r="U1756" i="5"/>
  <c r="U1757" i="5"/>
  <c r="U1758" i="5"/>
  <c r="U1759" i="5"/>
  <c r="U1760" i="5"/>
  <c r="U1761" i="5"/>
  <c r="U1763" i="5"/>
  <c r="U1764" i="5"/>
  <c r="U1765" i="5"/>
  <c r="U1766" i="5"/>
  <c r="U1767" i="5"/>
  <c r="U1768" i="5"/>
  <c r="U1769" i="5"/>
  <c r="U1772" i="5"/>
  <c r="U1773" i="5"/>
  <c r="U1774" i="5"/>
  <c r="U1775" i="5"/>
  <c r="U1776" i="5"/>
  <c r="U1777" i="5"/>
  <c r="U1780" i="5"/>
  <c r="U1781" i="5"/>
  <c r="U1782" i="5"/>
  <c r="U1783" i="5"/>
  <c r="U1784" i="5"/>
  <c r="U1785" i="5"/>
  <c r="U1787" i="5"/>
  <c r="U1788" i="5"/>
  <c r="U1789" i="5"/>
  <c r="U1790" i="5"/>
  <c r="U1791" i="5"/>
  <c r="U1797" i="5"/>
  <c r="U1799" i="5"/>
  <c r="U1800" i="5"/>
  <c r="U1801" i="5"/>
  <c r="U1804" i="5"/>
  <c r="U1805" i="5"/>
  <c r="U1806" i="5"/>
  <c r="U1807" i="5"/>
  <c r="U1808" i="5"/>
  <c r="U1810" i="5"/>
  <c r="U1811" i="5"/>
  <c r="U1812" i="5"/>
  <c r="U1813" i="5"/>
  <c r="U1814" i="5"/>
  <c r="U1815" i="5"/>
  <c r="U1817" i="5"/>
  <c r="U1818" i="5"/>
  <c r="U1821" i="5"/>
  <c r="U1822" i="5"/>
  <c r="U1824" i="5"/>
  <c r="U1826" i="5"/>
  <c r="U1827" i="5"/>
  <c r="U1829" i="5"/>
  <c r="U1830" i="5"/>
  <c r="U1831" i="5"/>
  <c r="U1832" i="5"/>
  <c r="U1833" i="5"/>
  <c r="U1837" i="5"/>
  <c r="U1841" i="5"/>
  <c r="U1843" i="5"/>
  <c r="U1844" i="5"/>
  <c r="U1845" i="5"/>
  <c r="U1846" i="5"/>
  <c r="U1847" i="5"/>
  <c r="U1848" i="5"/>
  <c r="U1849" i="5"/>
  <c r="U1851" i="5"/>
  <c r="U1852" i="5"/>
  <c r="U1853" i="5"/>
  <c r="U1855" i="5"/>
  <c r="U1857" i="5"/>
  <c r="U1858" i="5"/>
  <c r="U1859" i="5"/>
  <c r="U1860" i="5"/>
  <c r="U1861" i="5"/>
  <c r="U1862" i="5"/>
  <c r="U1863" i="5"/>
  <c r="U1864" i="5"/>
  <c r="U1866" i="5"/>
  <c r="U1867" i="5"/>
  <c r="U1868" i="5"/>
  <c r="U1870" i="5"/>
  <c r="U1872" i="5"/>
  <c r="U1873" i="5"/>
  <c r="U1877" i="5"/>
  <c r="U1879" i="5"/>
  <c r="U1880" i="5"/>
  <c r="U1881" i="5"/>
  <c r="U1882" i="5"/>
  <c r="U1883" i="5"/>
  <c r="U1885" i="5"/>
  <c r="U1888" i="5"/>
  <c r="U1889" i="5"/>
  <c r="U1890" i="5"/>
  <c r="U1892" i="5"/>
  <c r="U1893" i="5"/>
  <c r="U1894" i="5"/>
  <c r="U1895" i="5"/>
  <c r="U1896" i="5"/>
  <c r="U1897" i="5"/>
  <c r="U1902" i="5"/>
  <c r="U1903" i="5"/>
  <c r="U1904" i="5"/>
  <c r="U1905" i="5"/>
  <c r="U1907" i="5"/>
  <c r="U1910" i="5"/>
  <c r="U1911" i="5"/>
  <c r="U1912" i="5"/>
  <c r="U1914" i="5"/>
  <c r="U1915" i="5"/>
  <c r="U1916" i="5"/>
  <c r="U1918" i="5"/>
  <c r="U1920" i="5"/>
  <c r="U1921" i="5"/>
  <c r="U1922" i="5"/>
  <c r="U1923" i="5"/>
  <c r="U1926" i="5"/>
  <c r="U1927" i="5"/>
  <c r="U1929" i="5"/>
  <c r="U1930" i="5"/>
  <c r="U1931" i="5"/>
  <c r="U1934" i="5"/>
  <c r="U1936" i="5"/>
  <c r="U1937" i="5"/>
  <c r="U1938" i="5"/>
  <c r="U1939" i="5"/>
  <c r="U1941" i="5"/>
  <c r="U1942" i="5"/>
  <c r="U1943" i="5"/>
  <c r="U1944" i="5"/>
  <c r="U1945" i="5"/>
  <c r="U1948" i="5"/>
  <c r="U1949" i="5"/>
  <c r="U1950" i="5"/>
  <c r="U1952" i="5"/>
  <c r="U1953" i="5"/>
  <c r="U1956" i="5"/>
  <c r="U1957" i="5"/>
  <c r="U1958" i="5"/>
  <c r="U1961" i="5"/>
  <c r="U1962" i="5"/>
  <c r="U1963" i="5"/>
  <c r="U1965" i="5"/>
  <c r="U1966" i="5"/>
  <c r="U1968" i="5"/>
  <c r="U1969" i="5"/>
  <c r="U1970" i="5"/>
  <c r="U1974" i="5"/>
  <c r="U1975" i="5"/>
  <c r="U1976" i="5"/>
  <c r="U1980" i="5"/>
  <c r="U1981" i="5"/>
  <c r="U1982" i="5"/>
  <c r="U1983" i="5"/>
  <c r="U1985" i="5"/>
  <c r="U1986" i="5"/>
  <c r="U1987" i="5"/>
  <c r="U1989" i="5"/>
  <c r="U1990" i="5"/>
  <c r="U1991" i="5"/>
  <c r="U1994" i="5"/>
  <c r="U1997" i="5"/>
  <c r="U1998" i="5"/>
  <c r="U1999" i="5"/>
  <c r="U2001" i="5"/>
  <c r="U2002" i="5"/>
  <c r="U2003" i="5"/>
  <c r="U2005" i="5"/>
  <c r="U2006" i="5"/>
  <c r="U2007" i="5"/>
  <c r="U2009" i="5"/>
  <c r="U2010" i="5"/>
  <c r="U2013" i="5"/>
  <c r="U2014" i="5"/>
  <c r="U2016" i="5"/>
  <c r="U2017" i="5"/>
  <c r="U2018" i="5"/>
  <c r="U2019" i="5"/>
  <c r="U2023" i="5"/>
  <c r="U2024" i="5"/>
  <c r="U2027" i="5"/>
  <c r="U2028" i="5"/>
  <c r="U2030" i="5"/>
  <c r="U2033" i="5"/>
  <c r="U2034" i="5"/>
  <c r="U2035" i="5"/>
  <c r="U2036" i="5"/>
  <c r="U2037" i="5"/>
  <c r="U2038" i="5"/>
  <c r="U2039" i="5"/>
  <c r="U2040" i="5"/>
  <c r="U2041" i="5"/>
  <c r="U2042" i="5"/>
  <c r="U2043" i="5"/>
  <c r="U2044" i="5"/>
  <c r="U2046" i="5"/>
  <c r="U2047" i="5"/>
  <c r="U2049" i="5"/>
  <c r="U2050" i="5"/>
  <c r="U2051" i="5"/>
  <c r="U2052" i="5"/>
  <c r="U2053" i="5"/>
  <c r="U2054" i="5"/>
  <c r="U2055" i="5"/>
  <c r="U2056" i="5"/>
  <c r="U2057" i="5"/>
  <c r="U2058" i="5"/>
  <c r="U2059" i="5"/>
  <c r="U2065" i="5"/>
  <c r="U2066" i="5"/>
  <c r="U2067" i="5"/>
  <c r="U2070" i="5"/>
  <c r="U2071" i="5"/>
  <c r="U2072" i="5"/>
  <c r="U2073" i="5"/>
  <c r="U2075" i="5"/>
  <c r="U2081" i="5"/>
  <c r="U2083" i="5"/>
  <c r="U2085" i="5"/>
  <c r="U2086" i="5"/>
  <c r="U2088" i="5"/>
  <c r="U2090" i="5"/>
  <c r="U2091" i="5"/>
  <c r="U2092" i="5"/>
  <c r="U2096" i="5"/>
  <c r="U2097" i="5"/>
  <c r="U2098" i="5"/>
  <c r="U2099" i="5"/>
  <c r="U2100" i="5"/>
  <c r="U2101" i="5"/>
  <c r="U2102" i="5"/>
  <c r="U2103" i="5"/>
  <c r="U2105" i="5"/>
  <c r="U2106" i="5"/>
  <c r="U2107" i="5"/>
  <c r="U2109" i="5"/>
  <c r="U2111" i="5"/>
  <c r="U2112" i="5"/>
  <c r="U2114" i="5"/>
  <c r="U2115" i="5"/>
  <c r="U2117" i="5"/>
  <c r="U2118" i="5"/>
  <c r="U2120" i="5"/>
  <c r="U2122" i="5"/>
  <c r="U2123" i="5"/>
  <c r="U2124" i="5"/>
  <c r="U2125" i="5"/>
  <c r="U2126" i="5"/>
  <c r="U2129" i="5"/>
  <c r="U2130" i="5"/>
  <c r="U2131" i="5"/>
  <c r="U2132" i="5"/>
  <c r="U2133" i="5"/>
  <c r="U2134" i="5"/>
  <c r="U2135" i="5"/>
  <c r="U2136" i="5"/>
  <c r="U2138" i="5"/>
  <c r="U2139" i="5"/>
  <c r="U2140" i="5"/>
  <c r="U2141" i="5"/>
  <c r="U2144" i="5"/>
  <c r="U2145" i="5"/>
  <c r="U2147" i="5"/>
  <c r="U2151" i="5"/>
  <c r="U2152" i="5"/>
  <c r="U2153" i="5"/>
  <c r="U2155" i="5"/>
  <c r="U2156" i="5"/>
  <c r="U2158" i="5"/>
  <c r="U2159" i="5"/>
  <c r="U2161" i="5"/>
  <c r="U2162" i="5"/>
  <c r="U2164" i="5"/>
  <c r="U2165" i="5"/>
  <c r="U2166" i="5"/>
  <c r="U2167" i="5"/>
  <c r="U2168" i="5"/>
  <c r="U2169" i="5"/>
  <c r="U2171" i="5"/>
  <c r="U2172" i="5"/>
  <c r="U2174" i="5"/>
  <c r="U2177" i="5"/>
  <c r="U2178" i="5"/>
  <c r="U2179" i="5"/>
  <c r="U2181" i="5"/>
  <c r="U2182" i="5"/>
  <c r="U2183" i="5"/>
  <c r="U2185" i="5"/>
  <c r="U2187" i="5"/>
  <c r="U2188" i="5"/>
  <c r="U2190" i="5"/>
  <c r="U2192" i="5"/>
  <c r="U2193" i="5"/>
  <c r="U2195" i="5"/>
  <c r="U2197" i="5"/>
  <c r="U2199" i="5"/>
  <c r="U2201" i="5"/>
  <c r="U2202" i="5"/>
  <c r="U2203" i="5"/>
  <c r="U2208" i="5"/>
  <c r="U2209" i="5"/>
  <c r="U2210" i="5"/>
  <c r="U2211" i="5"/>
  <c r="U2212" i="5"/>
  <c r="U2213" i="5"/>
  <c r="U2214" i="5"/>
  <c r="U2216" i="5"/>
  <c r="U2217" i="5"/>
  <c r="U2219" i="5"/>
  <c r="U2221" i="5"/>
  <c r="U2222" i="5"/>
  <c r="U2225" i="5"/>
  <c r="U2226" i="5"/>
  <c r="U2228" i="5"/>
  <c r="U2230" i="5"/>
  <c r="U2232" i="5"/>
  <c r="U2233" i="5"/>
  <c r="U2234" i="5"/>
  <c r="U2235" i="5"/>
  <c r="U2236" i="5"/>
  <c r="U2238" i="5"/>
  <c r="U2241" i="5"/>
  <c r="U2242" i="5"/>
  <c r="U2243" i="5"/>
  <c r="U2244" i="5"/>
  <c r="U2245" i="5"/>
  <c r="U2246" i="5"/>
  <c r="U2247" i="5"/>
  <c r="U2248" i="5"/>
  <c r="U2249" i="5"/>
  <c r="U2250" i="5"/>
  <c r="U2251" i="5"/>
  <c r="U2252" i="5"/>
  <c r="U2255" i="5"/>
  <c r="U2257" i="5"/>
  <c r="U2258" i="5"/>
  <c r="U2259" i="5"/>
  <c r="U2260" i="5"/>
  <c r="U2261" i="5"/>
  <c r="U2262" i="5"/>
  <c r="U2264" i="5"/>
  <c r="U2265" i="5"/>
  <c r="U2266" i="5"/>
  <c r="U2267" i="5"/>
  <c r="U2268" i="5"/>
  <c r="U2271" i="5"/>
  <c r="U2274" i="5"/>
  <c r="U2275" i="5"/>
  <c r="U2276" i="5"/>
  <c r="U2278" i="5"/>
  <c r="U2279" i="5"/>
  <c r="U2281" i="5"/>
  <c r="U2282" i="5"/>
  <c r="U2283" i="5"/>
  <c r="U2284" i="5"/>
  <c r="U2285" i="5"/>
  <c r="U2288" i="5"/>
  <c r="U2289" i="5"/>
  <c r="U2290" i="5"/>
  <c r="U2291" i="5"/>
  <c r="U2292" i="5"/>
  <c r="U2293" i="5"/>
  <c r="U2294" i="5"/>
  <c r="U2295" i="5"/>
  <c r="U2297" i="5"/>
  <c r="U2298" i="5"/>
  <c r="U2299" i="5"/>
  <c r="U2300" i="5"/>
  <c r="U2301" i="5"/>
  <c r="U2302" i="5"/>
  <c r="U2306" i="5"/>
  <c r="U2307" i="5"/>
  <c r="U2308" i="5"/>
  <c r="U2309" i="5"/>
  <c r="U2311" i="5"/>
  <c r="U2312" i="5"/>
  <c r="U2314" i="5"/>
  <c r="U2315" i="5"/>
  <c r="U2316" i="5"/>
  <c r="U2317" i="5"/>
  <c r="U2320" i="5"/>
  <c r="U2321" i="5"/>
  <c r="U2323" i="5"/>
  <c r="U2324" i="5"/>
  <c r="U2326" i="5"/>
  <c r="U2327" i="5"/>
  <c r="U2328" i="5"/>
  <c r="U2329" i="5"/>
  <c r="U2331" i="5"/>
  <c r="U2332" i="5"/>
  <c r="U2333" i="5"/>
  <c r="U2335" i="5"/>
  <c r="U2338" i="5"/>
  <c r="U2339" i="5"/>
  <c r="U2340" i="5"/>
  <c r="U2341" i="5"/>
  <c r="U2342" i="5"/>
  <c r="U2345" i="5"/>
  <c r="U2346" i="5"/>
  <c r="U2347" i="5"/>
  <c r="U2349" i="5"/>
  <c r="U2352" i="5"/>
  <c r="U2353" i="5"/>
  <c r="U2354" i="5"/>
  <c r="U2355" i="5"/>
  <c r="U2356" i="5"/>
  <c r="U2357" i="5"/>
  <c r="U2358" i="5"/>
  <c r="U2361" i="5"/>
  <c r="U2363" i="5"/>
  <c r="U2364" i="5"/>
  <c r="U2366" i="5"/>
  <c r="U2367" i="5"/>
  <c r="U2368" i="5"/>
  <c r="U2369" i="5"/>
  <c r="U2371" i="5"/>
  <c r="U2372" i="5"/>
  <c r="U2373" i="5"/>
  <c r="U2374" i="5"/>
  <c r="U2375" i="5"/>
  <c r="U2376" i="5"/>
  <c r="U2378" i="5"/>
  <c r="U2380" i="5"/>
  <c r="U2381" i="5"/>
  <c r="U2383" i="5"/>
  <c r="U2386" i="5"/>
  <c r="U2387" i="5"/>
  <c r="U2388" i="5"/>
  <c r="U2389" i="5"/>
  <c r="U2392" i="5"/>
  <c r="U2393" i="5"/>
  <c r="U2394" i="5"/>
  <c r="U2396" i="5"/>
  <c r="U2398" i="5"/>
  <c r="U2400" i="5"/>
  <c r="U2401" i="5"/>
  <c r="U2402" i="5"/>
  <c r="U2403" i="5"/>
  <c r="U2404" i="5"/>
  <c r="U2405" i="5"/>
  <c r="U2406" i="5"/>
  <c r="U2407" i="5"/>
  <c r="U2408" i="5"/>
  <c r="U2409" i="5"/>
  <c r="U2411" i="5"/>
  <c r="U2416" i="5"/>
  <c r="U2417" i="5"/>
  <c r="U2418" i="5"/>
  <c r="U2419" i="5"/>
  <c r="U2420" i="5"/>
  <c r="U2421" i="5"/>
  <c r="U2422" i="5"/>
  <c r="U2423" i="5"/>
  <c r="U2424" i="5"/>
  <c r="U2426" i="5"/>
  <c r="U2427" i="5"/>
  <c r="U2431" i="5"/>
  <c r="U2432" i="5"/>
  <c r="U2434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U6293" i="5"/>
  <c r="E8" i="4"/>
  <c r="E7" i="4"/>
  <c r="E2" i="4"/>
  <c r="B35" i="4"/>
  <c r="V1247" i="5" l="1"/>
  <c r="U1996" i="5"/>
  <c r="U2082" i="5"/>
  <c r="V1250" i="5"/>
  <c r="V1244" i="5"/>
  <c r="V1314" i="5"/>
  <c r="V1206" i="5"/>
  <c r="U2379" i="5"/>
  <c r="V1283" i="5"/>
  <c r="V1267" i="5"/>
  <c r="V1251" i="5"/>
  <c r="V1203" i="5"/>
  <c r="U2113" i="5"/>
  <c r="V1490" i="5"/>
  <c r="U2068" i="5"/>
  <c r="U1704" i="5"/>
  <c r="U2397" i="5"/>
  <c r="U1216" i="5"/>
  <c r="V1216" i="5" s="1"/>
  <c r="V1480" i="5"/>
  <c r="V1270" i="5"/>
  <c r="U1871" i="5"/>
  <c r="V1268" i="5"/>
  <c r="V1232" i="5"/>
  <c r="U2395" i="5"/>
  <c r="V1286" i="5"/>
  <c r="V1529" i="5"/>
  <c r="V1461" i="5"/>
  <c r="U2084" i="5"/>
  <c r="U1887" i="5"/>
  <c r="V1258" i="5"/>
  <c r="U2008" i="5"/>
  <c r="U2025" i="5"/>
  <c r="U2336" i="5"/>
  <c r="V1346" i="5"/>
  <c r="V1428" i="5"/>
  <c r="V1369" i="5"/>
  <c r="V1353" i="5"/>
  <c r="V1337" i="5"/>
  <c r="V1257" i="5"/>
  <c r="V1209" i="5"/>
  <c r="V1365" i="5"/>
  <c r="V1349" i="5"/>
  <c r="V1269" i="5"/>
  <c r="U1979" i="5"/>
  <c r="V1523" i="5"/>
  <c r="V1293" i="5"/>
  <c r="V1277" i="5"/>
  <c r="V1260" i="5"/>
  <c r="V1229" i="5"/>
  <c r="V1296" i="5"/>
  <c r="V1200" i="5"/>
  <c r="U2350" i="5"/>
  <c r="V1552" i="5"/>
  <c r="V1408" i="5"/>
  <c r="U1669" i="5"/>
  <c r="U2087" i="5"/>
  <c r="U1562" i="5"/>
  <c r="U1587" i="5"/>
  <c r="U1913" i="5"/>
  <c r="U2198" i="5"/>
  <c r="U2175" i="5"/>
  <c r="V1372" i="5"/>
  <c r="V1276" i="5"/>
  <c r="V1465" i="5"/>
  <c r="V1378" i="5"/>
  <c r="V1398" i="5"/>
  <c r="V1362" i="5"/>
  <c r="V1377" i="5"/>
  <c r="V1297" i="5"/>
  <c r="V1281" i="5"/>
  <c r="U2277" i="5"/>
  <c r="U2022" i="5"/>
  <c r="U1840" i="5"/>
  <c r="U2287" i="5"/>
  <c r="U2063" i="5"/>
  <c r="U1543" i="5"/>
  <c r="U1695" i="5"/>
  <c r="V1556" i="5"/>
  <c r="V1436" i="5"/>
  <c r="V1424" i="5"/>
  <c r="V1412" i="5"/>
  <c r="V1299" i="5"/>
  <c r="U1891" i="5"/>
  <c r="V1512" i="5"/>
  <c r="V1489" i="5"/>
  <c r="V1417" i="5"/>
  <c r="U1712" i="5"/>
  <c r="U2318" i="5"/>
  <c r="U2343" i="5"/>
  <c r="U1579" i="5"/>
  <c r="U2104" i="5"/>
  <c r="U1591" i="5"/>
  <c r="V1234" i="5"/>
  <c r="U2220" i="5"/>
  <c r="U1793" i="5"/>
  <c r="V1327" i="5"/>
  <c r="U2384" i="5"/>
  <c r="V1343" i="5"/>
  <c r="V1414" i="5"/>
  <c r="V1438" i="5"/>
  <c r="V1434" i="5"/>
  <c r="V1410" i="5"/>
  <c r="V1390" i="5"/>
  <c r="V1291" i="5"/>
  <c r="V1275" i="5"/>
  <c r="V1294" i="5"/>
  <c r="U2184" i="5"/>
  <c r="U1383" i="5"/>
  <c r="U1940" i="5"/>
  <c r="V1239" i="5"/>
  <c r="U2196" i="5"/>
  <c r="V1558" i="5"/>
  <c r="V1526" i="5"/>
  <c r="V1308" i="5"/>
  <c r="U1473" i="5"/>
  <c r="V1456" i="5"/>
  <c r="V1243" i="5"/>
  <c r="V1227" i="5"/>
  <c r="V1211" i="5"/>
  <c r="V1233" i="5"/>
  <c r="V1495" i="5"/>
  <c r="U2360" i="5"/>
  <c r="V1536" i="5"/>
  <c r="V1342" i="5"/>
  <c r="V1373" i="5"/>
  <c r="U1608" i="5"/>
  <c r="U1358" i="5"/>
  <c r="U1779" i="5"/>
  <c r="U2148" i="5"/>
  <c r="U1586" i="5"/>
  <c r="V1498" i="5"/>
  <c r="U1724" i="5"/>
  <c r="V1510" i="5"/>
  <c r="U1542" i="5"/>
  <c r="U1796" i="5"/>
  <c r="V1401" i="5"/>
  <c r="V1221" i="5"/>
  <c r="U1303" i="5"/>
  <c r="V1404" i="5"/>
  <c r="V1340" i="5"/>
  <c r="U1262" i="5"/>
  <c r="U1878" i="5"/>
  <c r="U2425" i="5"/>
  <c r="V1213" i="5"/>
  <c r="V1255" i="5"/>
  <c r="V1325" i="5"/>
  <c r="U2206" i="5"/>
  <c r="U1476" i="5"/>
  <c r="U2305" i="5"/>
  <c r="U2237" i="5"/>
  <c r="U2348" i="5"/>
  <c r="U2227" i="5"/>
  <c r="U2089" i="5"/>
  <c r="U1967" i="5"/>
  <c r="V1425" i="5"/>
  <c r="U2157" i="5"/>
  <c r="V1511" i="5"/>
  <c r="U1908" i="5"/>
  <c r="U1560" i="5"/>
  <c r="U2365" i="5"/>
  <c r="V1355" i="5"/>
  <c r="V1215" i="5"/>
  <c r="V1199" i="5"/>
  <c r="U2000" i="5"/>
  <c r="U2280" i="5"/>
  <c r="U1995" i="5"/>
  <c r="V1205" i="5"/>
  <c r="U1954" i="5"/>
  <c r="V1479" i="5"/>
  <c r="U1500" i="5"/>
  <c r="U2194" i="5"/>
  <c r="U1838" i="5"/>
  <c r="U1725" i="5"/>
  <c r="U2150" i="5"/>
  <c r="U1745" i="5"/>
  <c r="U1825" i="5"/>
  <c r="U1842" i="5"/>
  <c r="U1471" i="5"/>
  <c r="U2146" i="5"/>
  <c r="U2015" i="5"/>
  <c r="U1901" i="5"/>
  <c r="V1518" i="5"/>
  <c r="U1611" i="5"/>
  <c r="U2095" i="5"/>
  <c r="U2078" i="5"/>
  <c r="U1802" i="5"/>
  <c r="U1739" i="5"/>
  <c r="U1578" i="5"/>
  <c r="U1527" i="5"/>
  <c r="U1496" i="5"/>
  <c r="U2313" i="5"/>
  <c r="U1834" i="5"/>
  <c r="U2189" i="5"/>
  <c r="U2011" i="5"/>
  <c r="U2254" i="5"/>
  <c r="U2325" i="5"/>
  <c r="U1722" i="5"/>
  <c r="U2269" i="5"/>
  <c r="U2390" i="5"/>
  <c r="U1856" i="5"/>
  <c r="V1464" i="5"/>
  <c r="U2069" i="5"/>
  <c r="U1972" i="5"/>
  <c r="U2231" i="5"/>
  <c r="U2094" i="5"/>
  <c r="U1865" i="5"/>
  <c r="U2119" i="5"/>
  <c r="U1738" i="5"/>
  <c r="U1795" i="5"/>
  <c r="U1925" i="5"/>
  <c r="U1909" i="5"/>
  <c r="U1828" i="5"/>
  <c r="U1794" i="5"/>
  <c r="U1778" i="5"/>
  <c r="V1550" i="5"/>
  <c r="U1698" i="5"/>
  <c r="U2180" i="5"/>
  <c r="U2377" i="5"/>
  <c r="U1819" i="5"/>
  <c r="U2330" i="5"/>
  <c r="U1973" i="5"/>
  <c r="U1924" i="5"/>
  <c r="U1874" i="5"/>
  <c r="U2391" i="5"/>
  <c r="U2021" i="5"/>
  <c r="U1988" i="5"/>
  <c r="U1955" i="5"/>
  <c r="U1809" i="5"/>
  <c r="U1535" i="5"/>
  <c r="V1256" i="5"/>
  <c r="V1420" i="5"/>
  <c r="V1427" i="5"/>
  <c r="V1423" i="5"/>
  <c r="V1419" i="5"/>
  <c r="V1411" i="5"/>
  <c r="V1273" i="5"/>
  <c r="U1312" i="5"/>
  <c r="V1333" i="5"/>
  <c r="V1403" i="5"/>
  <c r="V1368" i="5"/>
  <c r="V1304" i="5"/>
  <c r="U1387" i="5"/>
  <c r="V1551" i="5"/>
  <c r="V1289" i="5"/>
  <c r="V1318" i="5"/>
  <c r="V1348" i="5"/>
  <c r="V1208" i="5"/>
  <c r="V1519" i="5"/>
  <c r="V1503" i="5"/>
  <c r="V1472" i="5"/>
  <c r="V1432" i="5"/>
  <c r="U1278" i="5"/>
  <c r="V1334" i="5"/>
  <c r="V1366" i="5"/>
  <c r="V1301" i="5"/>
  <c r="V1389" i="5"/>
  <c r="V1306" i="5"/>
  <c r="V1265" i="5"/>
  <c r="V1241" i="5"/>
  <c r="V1236" i="5"/>
  <c r="V1204" i="5"/>
  <c r="V1396" i="5"/>
  <c r="V1302" i="5"/>
  <c r="V1280" i="5"/>
  <c r="V1261" i="5"/>
  <c r="V1245" i="5"/>
  <c r="V1242" i="5"/>
  <c r="U1839" i="5"/>
  <c r="U1647" i="5"/>
  <c r="U1548" i="5"/>
  <c r="U1935" i="5"/>
  <c r="U1886" i="5"/>
  <c r="U1869" i="5"/>
  <c r="U1710" i="5"/>
  <c r="U1679" i="5"/>
  <c r="U1663" i="5"/>
  <c r="U1646" i="5"/>
  <c r="U1597" i="5"/>
  <c r="U1581" i="5"/>
  <c r="U1564" i="5"/>
  <c r="U1452" i="5"/>
  <c r="U1454" i="5"/>
  <c r="U2304" i="5"/>
  <c r="U2270" i="5"/>
  <c r="U2205" i="5"/>
  <c r="U2143" i="5"/>
  <c r="U2127" i="5"/>
  <c r="U2110" i="5"/>
  <c r="U2077" i="5"/>
  <c r="U2062" i="5"/>
  <c r="U2029" i="5"/>
  <c r="U2012" i="5"/>
  <c r="U1964" i="5"/>
  <c r="U1932" i="5"/>
  <c r="U1899" i="5"/>
  <c r="U1615" i="5"/>
  <c r="U2399" i="5"/>
  <c r="U2370" i="5"/>
  <c r="U2191" i="5"/>
  <c r="U2160" i="5"/>
  <c r="U1755" i="5"/>
  <c r="U1612" i="5"/>
  <c r="U1596" i="5"/>
  <c r="U1580" i="5"/>
  <c r="U1563" i="5"/>
  <c r="U1499" i="5"/>
  <c r="U2413" i="5"/>
  <c r="U2382" i="5"/>
  <c r="U2351" i="5"/>
  <c r="U2334" i="5"/>
  <c r="U2319" i="5"/>
  <c r="U2303" i="5"/>
  <c r="U2286" i="5"/>
  <c r="U2253" i="5"/>
  <c r="U2204" i="5"/>
  <c r="U2173" i="5"/>
  <c r="U2093" i="5"/>
  <c r="U2076" i="5"/>
  <c r="U2061" i="5"/>
  <c r="U2045" i="5"/>
  <c r="U1947" i="5"/>
  <c r="U1517" i="5"/>
  <c r="U2239" i="5"/>
  <c r="U2223" i="5"/>
  <c r="U1917" i="5"/>
  <c r="U1900" i="5"/>
  <c r="U1884" i="5"/>
  <c r="U1820" i="5"/>
  <c r="U1803" i="5"/>
  <c r="U1786" i="5"/>
  <c r="U1770" i="5"/>
  <c r="U1754" i="5"/>
  <c r="U1740" i="5"/>
  <c r="U1677" i="5"/>
  <c r="U1661" i="5"/>
  <c r="U1644" i="5"/>
  <c r="U1628" i="5"/>
  <c r="U2415" i="5"/>
  <c r="U2031" i="5"/>
  <c r="U2429" i="5"/>
  <c r="U2412" i="5"/>
  <c r="U2337" i="5"/>
  <c r="U2256" i="5"/>
  <c r="U2207" i="5"/>
  <c r="U2176" i="5"/>
  <c r="U2079" i="5"/>
  <c r="U2048" i="5"/>
  <c r="U1771" i="5"/>
  <c r="U1645" i="5"/>
  <c r="U1515" i="5"/>
  <c r="U1854" i="5"/>
  <c r="U1823" i="5"/>
  <c r="U1598" i="5"/>
  <c r="U1468" i="5"/>
  <c r="U2240" i="5"/>
  <c r="V1484" i="5"/>
  <c r="V1486" i="5"/>
  <c r="U1483" i="5"/>
  <c r="U2273" i="5"/>
  <c r="U2224" i="5"/>
  <c r="U2064" i="5"/>
  <c r="U1741" i="5"/>
  <c r="U1662" i="5"/>
  <c r="U1933" i="5"/>
  <c r="V1532" i="5"/>
  <c r="U1919" i="5"/>
  <c r="V1467" i="5"/>
  <c r="U2229" i="5"/>
  <c r="U1792" i="5"/>
  <c r="U2060" i="5"/>
  <c r="U1493" i="5"/>
  <c r="V1482" i="5"/>
  <c r="V1491" i="5"/>
  <c r="U2263" i="5"/>
  <c r="U1676" i="5"/>
  <c r="V1240" i="5"/>
  <c r="V1351" i="5"/>
  <c r="V1400" i="5"/>
  <c r="V1309" i="5"/>
  <c r="V1290" i="5"/>
  <c r="U1202" i="5"/>
  <c r="V1202" i="5" s="1"/>
  <c r="V1356" i="5"/>
  <c r="V1409" i="5"/>
  <c r="V1402" i="5"/>
  <c r="V1310" i="5"/>
  <c r="V1413" i="5"/>
  <c r="V1361" i="5"/>
  <c r="V1313" i="5"/>
  <c r="U1237" i="5"/>
  <c r="V1218" i="5"/>
  <c r="V1288" i="5"/>
  <c r="V1253" i="5"/>
  <c r="V1370" i="5"/>
  <c r="V1367" i="5"/>
  <c r="U1388" i="5"/>
  <c r="V1447" i="5"/>
  <c r="V1559" i="5"/>
  <c r="V1544" i="5"/>
  <c r="V1513" i="5"/>
  <c r="V1497" i="5"/>
  <c r="V1481" i="5"/>
  <c r="V1466" i="5"/>
  <c r="V1300" i="5"/>
  <c r="V1335" i="5"/>
  <c r="V1252" i="5"/>
  <c r="U1328" i="5"/>
  <c r="V1418" i="5"/>
  <c r="V1380" i="5"/>
  <c r="V1379" i="5"/>
  <c r="V1331" i="5"/>
  <c r="V1443" i="5"/>
  <c r="V1225" i="5"/>
  <c r="V1317" i="5"/>
  <c r="U1397" i="5"/>
  <c r="V1196" i="5"/>
  <c r="V1264" i="5"/>
  <c r="U1274" i="5"/>
  <c r="U1392" i="5"/>
  <c r="U1231" i="5"/>
  <c r="V1263" i="5"/>
  <c r="V1305" i="5"/>
  <c r="V1219" i="5"/>
  <c r="V1374" i="5"/>
  <c r="V1375" i="5"/>
  <c r="V1248" i="5"/>
  <c r="V1228" i="5"/>
  <c r="V1212" i="5"/>
  <c r="V1271" i="5"/>
  <c r="V1315" i="5"/>
  <c r="V1207" i="5"/>
  <c r="V1259" i="5"/>
  <c r="C25" i="4"/>
  <c r="C24" i="4"/>
  <c r="U2359" i="5"/>
  <c r="U1946" i="5"/>
  <c r="V1524" i="5"/>
  <c r="U1971" i="5"/>
  <c r="V1549" i="5"/>
  <c r="U1898" i="5"/>
  <c r="U1977" i="5"/>
  <c r="V1555" i="5"/>
  <c r="U2074" i="5"/>
  <c r="V1522" i="5"/>
  <c r="V1474" i="5"/>
  <c r="V1502" i="5"/>
  <c r="V1460" i="5"/>
  <c r="U1978" i="5"/>
  <c r="U2121" i="5"/>
  <c r="V1509" i="5"/>
  <c r="U2435" i="5"/>
  <c r="U2108" i="5"/>
  <c r="U2310" i="5"/>
  <c r="U2149" i="5"/>
  <c r="U1540" i="5"/>
  <c r="V1539" i="5"/>
  <c r="V1528" i="5"/>
  <c r="U1516" i="5"/>
  <c r="V1557" i="5"/>
  <c r="V1541" i="5"/>
  <c r="V1508" i="5"/>
  <c r="V1533" i="5"/>
  <c r="V1534" i="5"/>
  <c r="V1488" i="5"/>
  <c r="U1525" i="5"/>
  <c r="U1850" i="5"/>
  <c r="U1459" i="5"/>
  <c r="V1553" i="5"/>
  <c r="U1993" i="5"/>
  <c r="U1561" i="5"/>
  <c r="U2137" i="5"/>
  <c r="U1576" i="5"/>
  <c r="U2163" i="5"/>
  <c r="U1614" i="5"/>
  <c r="V1494" i="5"/>
  <c r="V1455" i="5"/>
  <c r="U2026" i="5"/>
  <c r="V1505" i="5"/>
  <c r="V1386" i="5"/>
  <c r="V1429" i="5"/>
  <c r="V1284" i="5"/>
  <c r="V1198" i="5"/>
  <c r="V1357" i="5"/>
  <c r="V1391" i="5"/>
  <c r="V1220" i="5"/>
  <c r="V1385" i="5"/>
  <c r="V1316" i="5"/>
  <c r="V1330" i="5"/>
  <c r="V1433" i="5"/>
  <c r="V1446" i="5"/>
  <c r="V1451" i="5"/>
  <c r="V1214" i="5"/>
  <c r="U1254" i="5"/>
  <c r="V1322" i="5"/>
  <c r="V1321" i="5"/>
  <c r="U1437" i="5"/>
  <c r="V1354" i="5"/>
  <c r="V1279" i="5"/>
  <c r="V1282" i="5"/>
  <c r="V1439" i="5"/>
  <c r="V1431" i="5"/>
  <c r="V1345" i="5"/>
  <c r="U1307" i="5"/>
  <c r="V1307" i="5" s="1"/>
  <c r="V1319" i="5"/>
  <c r="V1197" i="5"/>
  <c r="U1360" i="5"/>
  <c r="V1210" i="5"/>
  <c r="U1415" i="5"/>
  <c r="V1338" i="5"/>
  <c r="V1217" i="5"/>
  <c r="V1442" i="5"/>
  <c r="V1285" i="5"/>
  <c r="V1359" i="5"/>
  <c r="V1450" i="5"/>
  <c r="V1226" i="5"/>
  <c r="V1445" i="5"/>
  <c r="V1266" i="5"/>
  <c r="V1405" i="5"/>
  <c r="V1492" i="5"/>
  <c r="U1835" i="5"/>
  <c r="U2215" i="5"/>
  <c r="U2128" i="5"/>
  <c r="V1521" i="5"/>
  <c r="U1506" i="5"/>
  <c r="V1506" i="5" s="1"/>
  <c r="U1545" i="5"/>
  <c r="V1462" i="5"/>
  <c r="U2186" i="5"/>
  <c r="V1547" i="5"/>
  <c r="V1487" i="5"/>
  <c r="V1485" i="5"/>
  <c r="V1531" i="5"/>
  <c r="V1475" i="5"/>
  <c r="V1463" i="5"/>
  <c r="U2430" i="5"/>
  <c r="V1477" i="5"/>
  <c r="U2414" i="5"/>
  <c r="V1514" i="5"/>
  <c r="U1469" i="5"/>
  <c r="U1530" i="5"/>
  <c r="V1537" i="5"/>
  <c r="V1546" i="5"/>
  <c r="U1729" i="5"/>
  <c r="U1606" i="5"/>
  <c r="V1554" i="5"/>
  <c r="V1507" i="5"/>
  <c r="U1951" i="5"/>
  <c r="V1422" i="5"/>
  <c r="U1407" i="5"/>
  <c r="V1222" i="5"/>
  <c r="V1449" i="5"/>
  <c r="V1426" i="5"/>
  <c r="V1440" i="5"/>
  <c r="V1421" i="5"/>
  <c r="V1384" i="5"/>
  <c r="V1381" i="5"/>
  <c r="V1347" i="5"/>
  <c r="V1344" i="5"/>
  <c r="V1341" i="5"/>
  <c r="V1444" i="5"/>
  <c r="V1336" i="5"/>
  <c r="V1350" i="5"/>
  <c r="V1223" i="5"/>
  <c r="V1430" i="5"/>
  <c r="V1272" i="5"/>
  <c r="V1339" i="5"/>
  <c r="V1238" i="5"/>
  <c r="V1364" i="5"/>
  <c r="V1201" i="5"/>
  <c r="V1457" i="5"/>
  <c r="U1504" i="5"/>
  <c r="V1470" i="5"/>
  <c r="V1520" i="5"/>
  <c r="V1538" i="5"/>
  <c r="C22" i="4"/>
  <c r="V1501" i="5"/>
  <c r="U2154" i="5"/>
  <c r="V1435" i="5"/>
  <c r="V1376" i="5"/>
  <c r="V1295" i="5"/>
  <c r="U1249" i="5"/>
  <c r="V1399" i="5"/>
  <c r="V1416" i="5"/>
  <c r="U1224" i="5"/>
  <c r="V1371" i="5"/>
  <c r="V1393" i="5"/>
  <c r="U1292" i="5"/>
  <c r="V1394" i="5"/>
  <c r="U1235" i="5"/>
  <c r="U1406" i="5"/>
  <c r="U1298" i="5"/>
  <c r="U1246" i="5"/>
  <c r="U1363" i="5"/>
  <c r="V1382" i="5"/>
  <c r="V1332" i="5"/>
  <c r="V1311" i="5"/>
  <c r="V1287" i="5"/>
  <c r="V1324" i="5"/>
  <c r="D16" i="4"/>
  <c r="C16" i="4"/>
  <c r="U1875" i="5"/>
  <c r="U1928" i="5"/>
  <c r="U1992" i="5"/>
  <c r="U2004" i="5"/>
  <c r="C21" i="4"/>
  <c r="U1458" i="5"/>
  <c r="U1651" i="5"/>
  <c r="U2322" i="5"/>
  <c r="V1453" i="5"/>
  <c r="U2433" i="5"/>
  <c r="U2385" i="5"/>
  <c r="U2142" i="5"/>
  <c r="U1959" i="5"/>
  <c r="U1836" i="5"/>
  <c r="U1707" i="5"/>
  <c r="V1478" i="5"/>
  <c r="U1352" i="5"/>
  <c r="V1329" i="5"/>
  <c r="U1230" i="5"/>
  <c r="U1323" i="5"/>
  <c r="U1395" i="5"/>
  <c r="V1320" i="5"/>
  <c r="V1326" i="5"/>
  <c r="V1448" i="5"/>
  <c r="U1441" i="5"/>
  <c r="V1292" i="5" l="1"/>
  <c r="V1278" i="5"/>
  <c r="V1525" i="5"/>
  <c r="V1471" i="5"/>
  <c r="V1562" i="5"/>
  <c r="V1303" i="5"/>
  <c r="V1262" i="5"/>
  <c r="V1560" i="5"/>
  <c r="V1515" i="5"/>
  <c r="V1231" i="5"/>
  <c r="V1459" i="5"/>
  <c r="V1473" i="5"/>
  <c r="V1483" i="5"/>
  <c r="V1543" i="5"/>
  <c r="V1542" i="5"/>
  <c r="V1563" i="5"/>
  <c r="V1500" i="5"/>
  <c r="V1392" i="5"/>
  <c r="V1358" i="5"/>
  <c r="V1476" i="5"/>
  <c r="V1274" i="5"/>
  <c r="V1545" i="5"/>
  <c r="V1312" i="5"/>
  <c r="V1328" i="5"/>
  <c r="V1237" i="5"/>
  <c r="V1469" i="5"/>
  <c r="V1437" i="5"/>
  <c r="V1540" i="5"/>
  <c r="V1383" i="5"/>
  <c r="V1517" i="5"/>
  <c r="V1298" i="5"/>
  <c r="V1360" i="5"/>
  <c r="V1387" i="5"/>
  <c r="V1407" i="5"/>
  <c r="V1516" i="5"/>
  <c r="V1468" i="5"/>
  <c r="V1388" i="5"/>
  <c r="V1397" i="5"/>
  <c r="V1415" i="5"/>
  <c r="V1564" i="5"/>
  <c r="V1548" i="5"/>
  <c r="V1535" i="5"/>
  <c r="D24" i="4"/>
  <c r="G24" i="4" s="1"/>
  <c r="V1254" i="5"/>
  <c r="V1246" i="5"/>
  <c r="V1496" i="5"/>
  <c r="V1230" i="5"/>
  <c r="V1527" i="5"/>
  <c r="V1441" i="5"/>
  <c r="V1452" i="5"/>
  <c r="V1493" i="5"/>
  <c r="V1499" i="5"/>
  <c r="V1454" i="5"/>
  <c r="V1323" i="5"/>
  <c r="D25" i="4"/>
  <c r="G25" i="4" s="1"/>
  <c r="V1561" i="5"/>
  <c r="V1406" i="5"/>
  <c r="V1224" i="5"/>
  <c r="G16" i="4"/>
  <c r="V1530" i="5"/>
  <c r="V1363" i="5"/>
  <c r="V1352" i="5"/>
  <c r="V1235" i="5"/>
  <c r="D22" i="4"/>
  <c r="G22" i="4" s="1"/>
  <c r="C23" i="4"/>
  <c r="D23" i="4"/>
  <c r="V1395" i="5"/>
  <c r="V1249" i="5"/>
  <c r="V1504" i="5"/>
  <c r="C19" i="4"/>
  <c r="D19" i="4"/>
  <c r="D21" i="4"/>
  <c r="G21" i="4" s="1"/>
  <c r="V1458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<sst xmlns="http://schemas.openxmlformats.org/spreadsheetml/2006/main" count="362" uniqueCount="244">
  <si>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</si>
  <si>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</si>
  <si>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</si>
  <si>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</si>
  <si>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</si>
  <si>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</si>
  <si>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</si>
  <si>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</si>
  <si>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</si>
  <si>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</si>
  <si>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</si>
  <si>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</si>
  <si>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</si>
  <si>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</si>
  <si>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</si>
  <si>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</si>
  <si>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</si>
  <si>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</si>
  <si>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</si>
  <si>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</si>
  <si>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</si>
  <si>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</si>
  <si>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</si>
  <si>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</si>
  <si>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</si>
  <si>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</si>
  <si>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</si>
  <si>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</si>
  <si>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</si>
  <si>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</si>
  <si>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</si>
  <si>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</si>
  <si>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</si>
  <si>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</si>
  <si>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</si>
  <si>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</si>
  <si>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</si>
  <si>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</si>
  <si>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</si>
  <si>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</si>
  <si>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</si>
  <si>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</si>
  <si>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</si>
  <si>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</si>
  <si>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</si>
  <si>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</si>
  <si>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</si>
  <si>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</si>
  <si>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</si>
  <si>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</si>
  <si>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</si>
  <si>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</si>
  <si>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</si>
  <si>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</si>
  <si>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</si>
  <si>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</si>
  <si>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</si>
  <si>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</si>
  <si>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</si>
  <si>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</si>
  <si>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</si>
  <si>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</si>
  <si>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</si>
  <si>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</si>
  <si>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</si>
  <si>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</si>
  <si>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</si>
  <si>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</si>
  <si>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</si>
  <si>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</si>
  <si>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</si>
  <si>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</si>
  <si>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</si>
  <si>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</si>
  <si>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</si>
  <si>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</si>
  <si>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</si>
  <si>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</si>
  <si>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</si>
  <si>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</si>
  <si>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</si>
  <si>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</si>
  <si>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</si>
  <si>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</si>
  <si>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</si>
  <si>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</si>
  <si>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</si>
  <si>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</si>
  <si>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</si>
  <si>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</si>
  <si>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</si>
  <si>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</si>
  <si>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</si>
  <si>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</si>
  <si>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</si>
  <si>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</si>
  <si>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</si>
  <si>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</si>
  <si>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</si>
  <si>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</si>
  <si>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</si>
  <si>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</si>
  <si>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</si>
  <si>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</si>
  <si>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</si>
  <si>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</si>
  <si>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</si>
  <si>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</si>
  <si>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</si>
  <si>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</si>
  <si>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</si>
  <si>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</si>
  <si>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</si>
  <si>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</si>
  <si>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</si>
  <si>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</si>
  <si>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</si>
  <si>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</si>
  <si>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</si>
  <si>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</si>
  <si>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</si>
  <si>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</si>
  <si>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</si>
  <si>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</si>
  <si>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</si>
  <si>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</si>
  <si>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</si>
  <si>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</si>
  <si>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</si>
  <si>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</si>
  <si>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</si>
  <si>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</si>
  <si>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</si>
  <si>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</si>
  <si>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</si>
  <si>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</si>
  <si>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</si>
  <si>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</si>
  <si>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</si>
  <si>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</si>
  <si>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</si>
  <si>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</si>
  <si>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</si>
  <si>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</si>
  <si>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</si>
  <si>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</si>
  <si>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</si>
  <si>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</si>
  <si>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</si>
  <si>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</si>
  <si>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</si>
  <si>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</si>
  <si>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</si>
  <si>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</si>
  <si>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</si>
  <si>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</si>
  <si>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</si>
  <si>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</si>
  <si>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</si>
  <si>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</si>
  <si>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</si>
  <si>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</si>
  <si>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</si>
  <si>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</si>
  <si>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</si>
  <si>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</si>
  <si>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</si>
  <si>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</si>
  <si>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</si>
  <si>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</si>
  <si>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</si>
  <si>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</si>
  <si>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</si>
  <si>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</si>
  <si>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</si>
  <si>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</si>
  <si>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</si>
  <si>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</si>
  <si>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</si>
  <si>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</si>
  <si>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</si>
  <si>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</si>
  <si>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</si>
  <si>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Payne Professional Funds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</si>
  <si>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</si>
  <si>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</si>
  <si>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</si>
  <si>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</si>
  <si>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</si>
  <si>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Ravi Ranjan/ Ed DiBella, Ph.D.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</si>
  <si>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</si>
  <si>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</si>
  <si>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</si>
  <si>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Guillaume Hoareau</t>
  </si>
  <si>
    <t>The mechanisms of GJA1 protection after resuscitation and mitochondrial protection in a pig model of polytrauma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</si>
  <si>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</si>
  <si>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</si>
  <si>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</si>
  <si>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</si>
  <si>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</si>
  <si>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</si>
  <si>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</si>
  <si>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</si>
  <si>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</si>
  <si>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</si>
  <si>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013</t>
  </si>
  <si>
    <t>CL014</t>
  </si>
  <si>
    <t>014</t>
  </si>
  <si>
    <t>Development of GJA120-K as a Novel Treatment for Hemorrhagic Shock: Minimizing Mitochondrial Injury to Mitigate Ischemia-Reperfusion Injury</t>
  </si>
  <si>
    <t>CL015</t>
  </si>
  <si>
    <t>015</t>
  </si>
  <si>
    <t>Matt Farr</t>
  </si>
  <si>
    <t xml:space="preserve">Emergency Medicine </t>
  </si>
  <si>
    <t>General Research for use of the EO sterilizer</t>
  </si>
  <si>
    <t>CL01540 - Ethylene Oxide Sterilization (per run)</t>
  </si>
  <si>
    <t>01-00879-5000-59007835-64300</t>
  </si>
  <si>
    <t> 01-01777-2000-30203-64300</t>
  </si>
  <si>
    <t>01-01777-5000-51006420-64300</t>
  </si>
  <si>
    <t>01-00879-6000-29784-64300</t>
  </si>
  <si>
    <t>01-00879-2000-28647-64300</t>
  </si>
  <si>
    <t>01-00879-5000-59700310-64300</t>
  </si>
  <si>
    <t>01-00879-5000-59318460-64300</t>
  </si>
  <si>
    <t>01-01755-5000-51006844-64300</t>
  </si>
  <si>
    <t>01-00213-5000-51004696-64300</t>
  </si>
  <si>
    <t>01-01777-2000-30203-64300</t>
  </si>
  <si>
    <t>01-01777-2000-30670-64300</t>
  </si>
  <si>
    <t>250- Fluoroscopy (per use)</t>
  </si>
  <si>
    <t xml:space="preserve"> 01-00213-5000-55900809-64300   01-01777-2000-30203-64300</t>
  </si>
  <si>
    <t>CL016</t>
  </si>
  <si>
    <t>016</t>
  </si>
  <si>
    <t>Phase 2 Evaluation of Ultra-High-Frequency Bidirectional Ventilation: Physiologic and Histopathologic Characterization in a Large Animal Model of Severe Lung Injury</t>
  </si>
  <si>
    <r>
      <t> </t>
    </r>
    <r>
      <rPr>
        <sz val="7.5"/>
        <color rgb="FF333333"/>
        <rFont val="Arial"/>
        <family val="2"/>
      </rPr>
      <t>01-01777-5000-54903702-64300</t>
    </r>
  </si>
  <si>
    <t>CL017</t>
  </si>
  <si>
    <t>Radiology</t>
  </si>
  <si>
    <t>Attn: Andy Bloebaum u0295420  Justin Jorgensen u0025320 Matthew Zabriskie u0790470</t>
  </si>
  <si>
    <t>andrew.bloebaum@hsc.utah.edu justin.jorgensen@hsc.utah.edu CC matthew.zabriskie@hsc.utah.edu</t>
  </si>
  <si>
    <t>andrew.bloebaum@hsc.utah.edu  justin.jorgensen@hsc.utah.edu CC matthew.zabriskie@hsc.utah.edu viola.rieke@utah.edu</t>
  </si>
  <si>
    <t>sterilization of spheroid phantom component</t>
  </si>
  <si>
    <t>01-00877-6000-39143-64300</t>
  </si>
  <si>
    <t>CL015 ETO Use by group Hoareau/Johnson</t>
  </si>
  <si>
    <t>CL017 ETO Use by group Payne</t>
  </si>
  <si>
    <t>CL01740 - Ethylene Oxide Sterilization (per run)</t>
  </si>
  <si>
    <t xml:space="preserve"> 01-01777-2000-30670-64300</t>
  </si>
  <si>
    <t>January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</si>
</sst>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7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  <font>
      <sz val="11"/>
      <name val="Calibri"/>
      <family val="2"/>
    </font>
    <font>
      <sz val="9"/>
      <color rgb="FF242424"/>
      <name val="Aptos"/>
      <family val="2"/>
    </font>
    <font>
      <sz val="10"/>
      <color rgb="FF000000"/>
      <name val="Aptos"/>
      <family val="2"/>
    </font>
    <font>
      <sz val="11"/>
      <color theme="1"/>
      <name val="Aptos"/>
      <family val="2"/>
    </font>
    <font>
      <u/>
      <sz val="11"/>
      <color theme="10"/>
      <name val="Arial MT"/>
    </font>
    <font>
      <sz val="11"/>
      <name val="Arial"/>
      <family val="2"/>
    </font>
    <font>
      <sz val="11"/>
      <color rgb="FF000000"/>
      <name val="Times New Roman"/>
      <family val="1"/>
    </font>
    <font>
      <sz val="10"/>
      <color theme="1"/>
      <name val="Aptos"/>
      <family val="2"/>
    </font>
    <font>
      <sz val="7"/>
      <color rgb="FF555555"/>
      <name val="Arial"/>
      <family val="2"/>
    </font>
    <font>
      <sz val="10"/>
      <color rgb="FF000000"/>
      <name val="Century Gothic"/>
      <family val="2"/>
    </font>
    <font>
      <sz val="7.5"/>
      <color rgb="FF333333"/>
      <name val="Arial"/>
      <family val="2"/>
    </font>
    <font>
      <sz val="9"/>
      <color theme="1"/>
      <name val="Calibri"/>
      <family val="2"/>
      <scheme val="minor"/>
    </font>
    <font>
      <sz val="9"/>
      <color rgb="FF000000"/>
      <name val="Times New Roman"/>
      <family val="1"/>
    </font>
    <font>
      <sz val="9"/>
      <color theme="1"/>
      <name val="Apto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6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  <xf numFmtId="0" fontId="58" fillId="0" borderId="0"/>
  </cellStyleXfs>
  <cellXfs count="260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25" fillId="0" borderId="0" xfId="35" applyFont="1"/>
    <xf numFmtId="0" fontId="25" fillId="2" borderId="0" xfId="35" applyFont="1" applyFill="1"/>
    <xf numFmtId="0" fontId="25" fillId="0" borderId="0" xfId="34" applyFont="1"/>
    <xf numFmtId="0" fontId="60" fillId="0" borderId="0" xfId="0" applyFont="1"/>
    <xf numFmtId="0" fontId="60" fillId="0" borderId="0" xfId="0" applyFont="1" applyAlignment="1">
      <alignment horizontal="center"/>
    </xf>
    <xf numFmtId="0" fontId="61" fillId="0" borderId="0" xfId="0" applyFont="1" applyAlignment="1">
      <alignment vertical="center"/>
    </xf>
    <xf numFmtId="0" fontId="62" fillId="0" borderId="0" xfId="2" applyFont="1" applyAlignment="1" applyProtection="1">
      <alignment vertical="center"/>
    </xf>
    <xf numFmtId="0" fontId="63" fillId="0" borderId="0" xfId="0" applyFont="1" applyAlignment="1">
      <alignment horizontal="center"/>
    </xf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0" fillId="0" borderId="2" xfId="0" applyBorder="1" applyAlignment="1">
      <alignment horizontal="center"/>
    </xf>
    <xf numFmtId="0" fontId="69" fillId="0" borderId="0" xfId="0" applyFont="1" applyAlignment="1">
      <alignment horizontal="center"/>
    </xf>
    <xf numFmtId="0" fontId="70" fillId="0" borderId="0" xfId="0" applyFont="1"/>
    <xf numFmtId="0" fontId="71" fillId="0" borderId="0" xfId="0" applyFont="1" applyAlignment="1">
      <alignment vertic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6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rmal_Raw Data_B" xfId="35" xr:uid="{64FA44B2-C3C5-4141-BB85-45C806587CE5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149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148"/>
      <tableStyleElement type="headerRow" dxfId="147"/>
      <tableStyleElement type="totalRow" dxfId="146"/>
      <tableStyleElement type="lastColumn" dxfId="145"/>
      <tableStyleElement type="firstRowStripe" dxfId="144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6062.595122222221" createdVersion="8" refreshedVersion="8" minRefreshableVersion="3" recordCount="11670" xr:uid="{F9DB02DF-D276-441B-BC90-4D5A6666022B}">
  <cacheSource type="worksheet">
    <worksheetSource ref="A1:V1048576" sheet="Raw Data"/>
  </cacheSource>
  <cacheFields count="22">
    <cacheField name="Reference" numFmtId="0">
      <sharedItems containsBlank="1" count="390">
        <s v="CL01540 - Ethylene Oxide Sterilization (per run)"/>
        <s v="CL01740 - Ethylene Oxide Sterilization (per run)"/>
        <s v=""/>
        <m/>
        <s v="CL003250- Fluoroscopy (per use)" u="1"/>
        <s v="CL016250- Fluoroscopy (per use)" u="1"/>
        <s v="CL014250- Fluoroscopy (per use)" u="1"/>
        <s v="CL01440 - Ethylene Oxide Sterilization (per run)" u="1"/>
        <s v="CL00740 - Ethylene Oxide Sterilization (per run)" u="1"/>
        <s v="CL00640 - Ethylene Oxide Sterilization (per run)" u="1"/>
        <s v="CL00840 - Ethylene Oxide Sterilization (per run)" u="1"/>
        <s v="CL01340 - Ethylene Oxide Sterilization (per run)" u="1"/>
        <s v="CL00741 - Ethylene Oxide Sterilization (per run)" u="1"/>
        <s v="CL01342 - Ethylene Oxide Sterilization (per run)" u="1"/>
        <s v="CL01443 - Ethylene Oxide Sterilization (per run)" u="1"/>
        <s v="CL01040 - Ethylene Oxide Sterilization (per run)" u="1"/>
        <s v="CL01050 -Active time (Hourly Rate)" u="1"/>
        <s v="CL01350 -Active time (Hourly Rate)" u="1"/>
        <s v="CL00350 -Active time (Hourly Rate)" u="1"/>
        <s v="CL01450 -Active time (Hourly Rate)" u="1"/>
        <s v="CL00140 - Ethylene Oxide Sterilization (per run)" u="1"/>
        <s v="CL010" u="1"/>
        <s v="CL013" u="1"/>
        <s v="CL003" u="1"/>
        <s v="CL014" u="1"/>
        <s v="CL00150 -Active time (Hourly Rate)" u="1"/>
        <s v="CL00340 - Ethylene Oxide Sterilization (per run)" u="1"/>
        <s v="CL00440 - Ethylene Oxide Sterilization (per run)" u="1"/>
        <s v="CL00240 - Ethylene Oxide Sterilization (per run)" u="1"/>
        <s v="CL00250 -Active time (Hourly Rate)" u="1"/>
        <s v="CL00950 -Active time (Hourly Rate)" u="1"/>
        <s v="CL005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NonDate="0" containsString="0"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String="0" containsBlank="1"/>
    </cacheField>
    <cacheField name="End Exam Time" numFmtId="0">
      <sharedItems containsNonDate="0" containsString="0" containsBlank="1"/>
    </cacheField>
    <cacheField name="Finalized Time" numFmtId="0">
      <sharedItems containsNonDate="0" containsString="0" containsBlank="1"/>
    </cacheField>
    <cacheField name="Reason for Exam" numFmtId="0">
      <sharedItems containsBlank="1"/>
    </cacheField>
    <cacheField name="MRE" numFmtId="0">
      <sharedItems containsBlank="1" count="143">
        <s v="CL015"/>
        <s v="CL017"/>
        <m/>
        <s v="CL003" u="1"/>
        <s v="CL016" u="1"/>
        <s v="CL014" u="1"/>
        <s v="CL007" u="1"/>
        <s v="CL006" u="1"/>
        <s v="CL008" u="1"/>
        <s v="CL013" u="1"/>
        <s v="CL010" u="1"/>
        <s v="CL001" u="1"/>
        <s v="CL004" u="1"/>
        <s v="CL002" u="1"/>
        <s v="CL009" u="1"/>
        <s v="CL005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1899-12-31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1T00:00:00"/>
    </cacheField>
    <cacheField name="Billing Item" numFmtId="0">
      <sharedItems containsBlank="1"/>
    </cacheField>
    <cacheField name="Hours (Decimal)" numFmtId="0">
      <sharedItems containsString="0" containsBlank="1" containsNumber="1" minValue="0" maxValue="1.5"/>
    </cacheField>
    <cacheField name="Rate" numFmtId="0">
      <sharedItems containsBlank="1" containsMixedTypes="1" containsNumber="1" containsInteger="1" minValue="40" maxValue="40"/>
    </cacheField>
    <cacheField name="Charges" numFmtId="0">
      <sharedItems containsBlank="1" containsMixedTypes="1" containsNumber="1" containsInteger="1" minValue="20" maxValue="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0">
  <r>
    <x v="0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5 ETO Use by group Hoareau/Johnson"/>
    <x v="0"/>
    <d v="1899-12-30T00:00:00"/>
    <m/>
    <d v="1899-12-30T00:00:00"/>
    <s v="40 - Ethylene Oxide Sterilization (per run)"/>
    <n v="0.5"/>
    <n v="40"/>
    <n v="20"/>
  </r>
  <r>
    <x v="1"/>
    <m/>
    <s v="Research, Mri"/>
    <s v="00000013"/>
    <s v="IMG Research Cath Lab No Rpt"/>
    <s v="Final"/>
    <s v="INC RAD MR RECHARGE 2"/>
    <s v="INCMR [10754]"/>
    <s v="INC C-ARM 1"/>
    <s v="Radiology, Research"/>
    <m/>
    <m/>
    <m/>
    <s v="CL017 ETO Use by group Payne"/>
    <x v="1"/>
    <d v="1899-12-30T00:00:00"/>
    <m/>
    <d v="1899-12-30T00:00:00"/>
    <s v="40 - Ethylene Oxide Sterilization (per run)"/>
    <n v="1.5"/>
    <n v="40"/>
    <n v="60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3"/>
    <m/>
    <m/>
    <m/>
    <m/>
    <m/>
    <m/>
    <m/>
    <m/>
    <m/>
    <m/>
    <m/>
    <m/>
    <m/>
    <x v="2"/>
    <d v="1899-12-30T00:00:00"/>
    <m/>
    <d v="1899-12-30T00:00:00"/>
    <m/>
    <m/>
    <m/>
    <m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d v="1899-12-30T00:00:00"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2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s v=""/>
    <s v=""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3"/>
    <m/>
    <m/>
    <m/>
    <m/>
    <m/>
    <m/>
    <m/>
    <m/>
    <m/>
    <m/>
    <m/>
    <m/>
    <m/>
    <x v="2"/>
    <m/>
    <m/>
    <m/>
    <m/>
    <n v="0"/>
    <m/>
    <m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2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s v=""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n v="0"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s v=""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d v="1899-12-30T00:00:00"/>
    <m/>
    <m/>
    <m/>
    <m/>
  </r>
  <r>
    <x v="3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44">
        <item x="2"/>
        <item m="1" x="120"/>
        <item m="1" x="136"/>
        <item m="1" x="124"/>
        <item m="1" x="117"/>
        <item m="1" x="110"/>
        <item m="1" x="101"/>
        <item m="1" x="97"/>
        <item m="1" x="95"/>
        <item m="1" x="87"/>
        <item m="1" x="142"/>
        <item m="1" x="130"/>
        <item m="1" x="116"/>
        <item m="1" x="114"/>
        <item m="1" x="106"/>
        <item m="1" x="47"/>
        <item m="1" x="41"/>
        <item m="1" x="34"/>
        <item m="1" x="29"/>
        <item m="1" x="25"/>
        <item m="1" x="21"/>
        <item m="1" x="127"/>
        <item m="1" x="63"/>
        <item m="1" x="59"/>
        <item m="1" x="55"/>
        <item m="1" x="50"/>
        <item m="1" x="45"/>
        <item m="1" x="31"/>
        <item m="1" x="24"/>
        <item m="1" x="18"/>
        <item m="1" x="39"/>
        <item m="1" x="86"/>
        <item m="1" x="78"/>
        <item m="1" x="71"/>
        <item m="1" x="67"/>
        <item m="1" x="62"/>
        <item m="1" x="58"/>
        <item m="1" x="53"/>
        <item m="1" x="26"/>
        <item m="1" x="48"/>
        <item m="1" x="105"/>
        <item m="1" x="99"/>
        <item m="1" x="93"/>
        <item m="1" x="76"/>
        <item m="1" x="102"/>
        <item m="1" x="70"/>
        <item m="1" x="119"/>
        <item m="1" x="113"/>
        <item m="1" x="104"/>
        <item m="1" x="90"/>
        <item m="1" x="81"/>
        <item m="1" x="74"/>
        <item m="1" x="73"/>
        <item m="1" x="54"/>
        <item m="1" x="44"/>
        <item m="1" x="38"/>
        <item m="1" x="109"/>
        <item m="1" x="100"/>
        <item m="1" x="94"/>
        <item m="1" x="85"/>
        <item m="1" x="77"/>
        <item m="1" x="66"/>
        <item m="1" x="129"/>
        <item m="1" x="17"/>
        <item m="1" x="20"/>
        <item m="1" x="112"/>
        <item m="1" x="103"/>
        <item m="1" x="30"/>
        <item m="1" x="139"/>
        <item m="1" x="107"/>
        <item m="1" x="131"/>
        <item m="1" x="134"/>
        <item m="1" x="123"/>
        <item m="1" x="57"/>
        <item m="1" x="52"/>
        <item m="1" x="43"/>
        <item m="1" x="28"/>
        <item m="1" x="22"/>
        <item m="1" x="141"/>
        <item m="1" x="60"/>
        <item m="1" x="56"/>
        <item m="1" x="46"/>
        <item m="1" x="40"/>
        <item m="1" x="80"/>
        <item m="1" x="49"/>
        <item m="1" x="84"/>
        <item m="1" x="128"/>
        <item m="1" x="121"/>
        <item m="1" x="115"/>
        <item m="1" x="98"/>
        <item m="1" x="92"/>
        <item m="1" x="89"/>
        <item m="1" x="72"/>
        <item m="1" x="135"/>
        <item m="1" x="140"/>
        <item m="1" x="133"/>
        <item m="1" x="33"/>
        <item m="1" x="37"/>
        <item m="1" x="16"/>
        <item m="1" x="23"/>
        <item m="1" x="65"/>
        <item m="1" x="61"/>
        <item m="1" x="42"/>
        <item m="1" x="69"/>
        <item m="1" x="64"/>
        <item m="1" x="132"/>
        <item m="1" x="126"/>
        <item m="1" x="96"/>
        <item m="1" x="88"/>
        <item m="1" x="79"/>
        <item m="1" x="83"/>
        <item m="1" x="91"/>
        <item m="1" x="125"/>
        <item m="1" x="122"/>
        <item m="1" x="82"/>
        <item m="1" x="75"/>
        <item m="1" x="108"/>
        <item m="1" x="19"/>
        <item m="1" x="138"/>
        <item m="1" x="36"/>
        <item m="1" x="27"/>
        <item m="1" x="111"/>
        <item m="1" x="118"/>
        <item m="1" x="32"/>
        <item m="1" x="137"/>
        <item m="1" x="35"/>
        <item m="1" x="68"/>
        <item m="1" x="51"/>
        <item x="1"/>
        <item m="1" x="4"/>
        <item x="0"/>
        <item m="1" x="5"/>
        <item m="1" x="9"/>
        <item m="1" x="10"/>
        <item m="1" x="14"/>
        <item m="1" x="8"/>
        <item m="1" x="6"/>
        <item m="1" x="7"/>
        <item m="1" x="15"/>
        <item m="1" x="12"/>
        <item m="1" x="3"/>
        <item m="1" x="13"/>
        <item m="1" x="11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30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108">
      <pivotArea outline="0" collapsedLevelsAreSubtotals="1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14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14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4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4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4" type="button" dataOnly="0" labelOnly="1" outline="0" axis="axisRow" fieldPosition="0"/>
    </format>
    <format dxfId="90">
      <pivotArea dataOnly="0" labelOnly="1" outline="0" axis="axisValues" fieldPosition="0"/>
    </format>
    <format dxfId="89">
      <pivotArea dataOnly="0" labelOnly="1" fieldPosition="0">
        <references count="1">
          <reference field="14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4" type="button" dataOnly="0" labelOnly="1" outline="0" axis="axisRow" fieldPosition="0"/>
    </format>
    <format dxfId="83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82">
      <pivotArea dataOnly="0" labelOnly="1" grandRow="1" outline="0" fieldPosition="0"/>
    </format>
    <format dxfId="81">
      <pivotArea dataOnly="0" labelOnly="1" outline="0" axis="axisValues" fieldPosition="0"/>
    </format>
    <format dxfId="80">
      <pivotArea collapsedLevelsAreSubtotals="1" fieldPosition="0">
        <references count="1">
          <reference field="14" count="1">
            <x v="123"/>
          </reference>
        </references>
      </pivotArea>
    </format>
    <format dxfId="79">
      <pivotArea collapsedLevelsAreSubtotals="1" fieldPosition="0">
        <references count="1">
          <reference field="14" count="1">
            <x v="116"/>
          </reference>
        </references>
      </pivotArea>
    </format>
    <format dxfId="78">
      <pivotArea collapsedLevelsAreSubtotals="1" fieldPosition="0">
        <references count="1">
          <reference field="14" count="1">
            <x v="123"/>
          </reference>
        </references>
      </pivotArea>
    </format>
    <format dxfId="77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5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6" firstHeaderRow="1" firstDataRow="1" firstDataCol="1"/>
  <pivotFields count="22">
    <pivotField axis="axisRow" showAll="0">
      <items count="391">
        <item x="2"/>
        <item m="1" x="284"/>
        <item m="1" x="63"/>
        <item m="1" x="357"/>
        <item m="1" x="54"/>
        <item m="1" x="363"/>
        <item m="1" x="320"/>
        <item m="1" x="149"/>
        <item m="1" x="378"/>
        <item m="1" x="322"/>
        <item m="1" x="323"/>
        <item m="1" x="152"/>
        <item m="1" x="380"/>
        <item m="1" x="265"/>
        <item m="1" x="266"/>
        <item m="1" x="369"/>
        <item m="1" x="126"/>
        <item m="1" x="277"/>
        <item m="1" x="278"/>
        <item m="1" x="279"/>
        <item m="1" x="119"/>
        <item m="1" x="69"/>
        <item m="1" x="120"/>
        <item m="1" x="71"/>
        <item m="1" x="123"/>
        <item m="1" x="292"/>
        <item m="1" x="293"/>
        <item m="1" x="220"/>
        <item m="1" x="306"/>
        <item m="1" x="41"/>
        <item m="1" x="384"/>
        <item m="1" x="202"/>
        <item m="1" x="107"/>
        <item m="1" x="153"/>
        <item m="1" x="328"/>
        <item m="1" x="330"/>
        <item m="1" x="269"/>
        <item m="1" x="270"/>
        <item m="1" x="275"/>
        <item m="1" x="285"/>
        <item m="1" x="122"/>
        <item m="1" x="42"/>
        <item m="1" x="78"/>
        <item m="1" x="224"/>
        <item m="1" x="227"/>
        <item m="1" x="228"/>
        <item m="1" x="98"/>
        <item m="1" x="232"/>
        <item m="1" x="130"/>
        <item m="1" x="385"/>
        <item m="1" x="324"/>
        <item m="1" x="329"/>
        <item m="1" x="348"/>
        <item m="1" x="287"/>
        <item m="1" x="124"/>
        <item m="1" x="254"/>
        <item m="1" x="290"/>
        <item m="1" x="125"/>
        <item m="1" x="362"/>
        <item m="1" x="252"/>
        <item m="1" x="135"/>
        <item m="1" x="147"/>
        <item m="1" x="221"/>
        <item m="1" x="77"/>
        <item m="1" x="361"/>
        <item m="1" x="365"/>
        <item m="1" x="248"/>
        <item m="1" x="319"/>
        <item m="1" x="251"/>
        <item m="1" x="193"/>
        <item m="1" x="356"/>
        <item m="1" x="349"/>
        <item x="3"/>
        <item m="1" x="236"/>
        <item m="1" x="127"/>
        <item m="1" x="211"/>
        <item m="1" x="375"/>
        <item m="1" x="334"/>
        <item m="1" x="93"/>
        <item m="1" x="48"/>
        <item m="1" x="297"/>
        <item m="1" x="339"/>
        <item m="1" x="343"/>
        <item m="1" x="210"/>
        <item m="1" x="250"/>
        <item m="1" x="94"/>
        <item m="1" x="373"/>
        <item m="1" x="207"/>
        <item m="1" x="314"/>
        <item m="1" x="337"/>
        <item m="1" x="350"/>
        <item m="1" x="204"/>
        <item m="1" x="104"/>
        <item m="1" x="138"/>
        <item m="1" x="145"/>
        <item m="1" x="340"/>
        <item m="1" x="353"/>
        <item m="1" x="381"/>
        <item m="1" x="49"/>
        <item m="1" x="259"/>
        <item m="1" x="95"/>
        <item m="1" x="142"/>
        <item m="1" x="183"/>
        <item m="1" x="199"/>
        <item m="1" x="263"/>
        <item m="1" x="303"/>
        <item m="1" x="180"/>
        <item m="1" x="212"/>
        <item m="1" x="146"/>
        <item m="1" x="181"/>
        <item m="1" x="195"/>
        <item m="1" x="157"/>
        <item m="1" x="164"/>
        <item m="1" x="345"/>
        <item m="1" x="283"/>
        <item m="1" x="201"/>
        <item m="1" x="331"/>
        <item m="1" x="155"/>
        <item m="1" x="61"/>
        <item m="1" x="116"/>
        <item m="1" x="280"/>
        <item m="1" x="282"/>
        <item m="1" x="288"/>
        <item m="1" x="218"/>
        <item m="1" x="255"/>
        <item m="1" x="74"/>
        <item m="1" x="360"/>
        <item m="1" x="66"/>
        <item m="1" x="115"/>
        <item m="1" x="338"/>
        <item m="1" x="83"/>
        <item m="1" x="234"/>
        <item m="1" x="235"/>
        <item m="1" x="175"/>
        <item m="1" x="86"/>
        <item m="1" x="294"/>
        <item m="1" x="190"/>
        <item m="1" x="134"/>
        <item m="1" x="131"/>
        <item m="1" x="178"/>
        <item m="1" x="301"/>
        <item m="1" x="187"/>
        <item m="1" x="200"/>
        <item m="1" x="198"/>
        <item m="1" x="388"/>
        <item m="1" x="51"/>
        <item m="1" x="59"/>
        <item m="1" x="302"/>
        <item m="1" x="351"/>
        <item m="1" x="172"/>
        <item m="1" x="208"/>
        <item m="1" x="188"/>
        <item m="1" x="258"/>
        <item m="1" x="295"/>
        <item m="1" x="128"/>
        <item m="1" x="139"/>
        <item m="1" x="173"/>
        <item m="1" x="53"/>
        <item m="1" x="50"/>
        <item m="1" x="92"/>
        <item m="1" x="102"/>
        <item m="1" x="156"/>
        <item m="1" x="203"/>
        <item m="1" x="358"/>
        <item m="1" x="359"/>
        <item m="1" x="213"/>
        <item m="1" x="272"/>
        <item m="1" x="273"/>
        <item m="1" x="60"/>
        <item m="1" x="274"/>
        <item m="1" x="276"/>
        <item m="1" x="219"/>
        <item m="1" x="226"/>
        <item m="1" x="237"/>
        <item m="1" x="240"/>
        <item m="1" x="354"/>
        <item m="1" x="118"/>
        <item m="1" x="355"/>
        <item m="1" x="121"/>
        <item m="1" x="316"/>
        <item m="1" x="76"/>
        <item m="1" x="317"/>
        <item m="1" x="43"/>
        <item m="1" x="223"/>
        <item m="1" x="239"/>
        <item m="1" x="233"/>
        <item m="1" x="84"/>
        <item m="1" x="383"/>
        <item m="1" x="58"/>
        <item m="1" x="171"/>
        <item m="1" x="179"/>
        <item m="1" x="103"/>
        <item m="1" x="36"/>
        <item m="1" x="257"/>
        <item m="1" x="72"/>
        <item m="1" x="73"/>
        <item m="1" x="111"/>
        <item m="1" x="64"/>
        <item m="1" x="296"/>
        <item m="1" x="304"/>
        <item m="1" x="336"/>
        <item m="1" x="386"/>
        <item m="1" x="379"/>
        <item m="1" x="242"/>
        <item m="1" x="243"/>
        <item m="1" x="176"/>
        <item m="1" x="106"/>
        <item m="1" x="151"/>
        <item m="1" x="281"/>
        <item m="1" x="231"/>
        <item m="1" x="182"/>
        <item m="1" x="159"/>
        <item m="1" x="321"/>
        <item m="1" x="189"/>
        <item m="1" x="52"/>
        <item m="1" x="325"/>
        <item m="1" x="222"/>
        <item m="1" x="85"/>
        <item m="1" x="376"/>
        <item m="1" x="344"/>
        <item m="1" x="364"/>
        <item m="1" x="367"/>
        <item m="1" x="387"/>
        <item m="1" x="129"/>
        <item m="1" x="113"/>
        <item m="1" x="144"/>
        <item m="1" x="298"/>
        <item m="1" x="261"/>
        <item m="1" x="57"/>
        <item m="1" x="163"/>
        <item m="1" x="205"/>
        <item m="1" x="39"/>
        <item m="1" x="352"/>
        <item m="1" x="105"/>
        <item m="1" x="150"/>
        <item m="1" x="47"/>
        <item m="1" x="382"/>
        <item m="1" x="327"/>
        <item m="1" x="377"/>
        <item m="1" x="109"/>
        <item m="1" x="154"/>
        <item m="1" x="332"/>
        <item m="1" x="268"/>
        <item m="1" x="67"/>
        <item m="1" x="117"/>
        <item m="1" x="289"/>
        <item m="1" x="249"/>
        <item m="1" x="300"/>
        <item m="1" x="225"/>
        <item m="1" x="174"/>
        <item m="1" x="165"/>
        <item m="1" x="229"/>
        <item m="1" x="230"/>
        <item m="1" x="79"/>
        <item m="1" x="264"/>
        <item m="1" x="167"/>
        <item m="1" x="87"/>
        <item m="1" x="99"/>
        <item m="1" x="370"/>
        <item m="1" x="186"/>
        <item m="1" x="90"/>
        <item m="1" x="197"/>
        <item m="1" x="162"/>
        <item m="1" x="194"/>
        <item m="1" x="184"/>
        <item m="1" x="56"/>
        <item m="1" x="271"/>
        <item m="1" x="217"/>
        <item m="1" x="185"/>
        <item m="1" x="318"/>
        <item m="1" x="148"/>
        <item m="1" x="137"/>
        <item m="1" x="286"/>
        <item m="1" x="80"/>
        <item m="1" x="166"/>
        <item m="1" x="238"/>
        <item m="1" x="82"/>
        <item m="1" x="65"/>
        <item m="1" x="112"/>
        <item m="1" x="136"/>
        <item m="1" x="62"/>
        <item m="1" x="70"/>
        <item m="1" x="110"/>
        <item m="1" x="335"/>
        <item m="1" x="143"/>
        <item m="1" x="389"/>
        <item m="1" x="206"/>
        <item m="1" x="216"/>
        <item m="1" x="326"/>
        <item m="1" x="291"/>
        <item m="1" x="158"/>
        <item m="1" x="160"/>
        <item m="1" x="245"/>
        <item m="1" x="40"/>
        <item m="1" x="75"/>
        <item m="1" x="191"/>
        <item m="1" x="44"/>
        <item m="1" x="81"/>
        <item m="1" x="168"/>
        <item m="1" x="45"/>
        <item m="1" x="192"/>
        <item m="1" x="91"/>
        <item m="1" x="262"/>
        <item m="1" x="114"/>
        <item m="1" x="315"/>
        <item m="1" x="260"/>
        <item m="1" x="299"/>
        <item m="1" x="333"/>
        <item m="1" x="341"/>
        <item m="1" x="196"/>
        <item m="1" x="55"/>
        <item m="1" x="346"/>
        <item m="1" x="347"/>
        <item m="1" x="309"/>
        <item m="1" x="312"/>
        <item m="1" x="177"/>
        <item m="1" x="108"/>
        <item m="1" x="267"/>
        <item m="1" x="68"/>
        <item m="1" x="366"/>
        <item m="1" x="241"/>
        <item m="1" x="132"/>
        <item m="1" x="244"/>
        <item m="1" x="170"/>
        <item m="1" x="100"/>
        <item m="1" x="305"/>
        <item m="1" x="141"/>
        <item m="1" x="88"/>
        <item m="1" x="101"/>
        <item m="1" x="342"/>
        <item m="1" x="89"/>
        <item m="1" x="97"/>
        <item m="1" x="371"/>
        <item m="1" x="161"/>
        <item m="1" x="46"/>
        <item m="1" x="368"/>
        <item m="1" x="96"/>
        <item m="1" x="253"/>
        <item m="1" x="209"/>
        <item m="1" x="215"/>
        <item m="1" x="246"/>
        <item m="1" x="140"/>
        <item m="1" x="372"/>
        <item m="1" x="310"/>
        <item m="1" x="311"/>
        <item m="1" x="169"/>
        <item m="1" x="214"/>
        <item m="1" x="313"/>
        <item m="1" x="374"/>
        <item m="1" x="307"/>
        <item m="1" x="308"/>
        <item m="1" x="247"/>
        <item m="1" x="133"/>
        <item m="1" x="33"/>
        <item m="1" x="38"/>
        <item m="1" x="37"/>
        <item m="1" x="256"/>
        <item m="1" x="34"/>
        <item m="1" x="35"/>
        <item m="1" x="18"/>
        <item m="1" x="30"/>
        <item m="1" x="29"/>
        <item m="1" x="25"/>
        <item m="1" x="32"/>
        <item m="1" x="20"/>
        <item m="1" x="26"/>
        <item m="1" x="28"/>
        <item m="1" x="31"/>
        <item m="1" x="9"/>
        <item m="1" x="8"/>
        <item m="1" x="10"/>
        <item m="1" x="16"/>
        <item m="1" x="27"/>
        <item m="1" x="15"/>
        <item m="1" x="17"/>
        <item m="1" x="11"/>
        <item m="1" x="21"/>
        <item m="1" x="22"/>
        <item m="1" x="23"/>
        <item m="1" x="24"/>
        <item m="1" x="19"/>
        <item m="1" x="12"/>
        <item m="1" x="13"/>
        <item m="1" x="14"/>
        <item m="1" x="7"/>
        <item x="0"/>
        <item m="1" x="6"/>
        <item m="1" x="5"/>
        <item m="1" x="4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5">
    <i>
      <x/>
    </i>
    <i>
      <x v="72"/>
    </i>
    <i>
      <x v="385"/>
    </i>
    <i>
      <x v="389"/>
    </i>
    <i t="grand">
      <x/>
    </i>
  </rowItems>
  <colItems count="1">
    <i/>
  </colItems>
  <dataFields count="1">
    <dataField name="Sum of Hours (Decimal)" fld="19" baseField="0" baseItem="0"/>
  </dataFields>
  <formats count="27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0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fieldPosition="0">
        <references count="1">
          <reference field="0" count="1">
            <x v="0"/>
          </reference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0" count="1">
            <x v="0"/>
          </reference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outline="0" axis="axisValues" fieldPosition="0"/>
    </format>
    <format dxfId="117">
      <pivotArea dataOnly="0" labelOnly="1" fieldPosition="0">
        <references count="1">
          <reference field="0" count="1">
            <x v="0"/>
          </reference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1">
            <x v="0"/>
          </reference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143" totalsRowDxfId="142">
  <tableColumns count="6">
    <tableColumn id="1" xr3:uid="{00000000-0010-0000-0100-000001000000}" name="DESCRIPTION" totalsRowLabel="Total" dataDxfId="141"/>
    <tableColumn id="3" xr3:uid="{00000000-0010-0000-0100-000003000000}" name="Quantity" dataDxfId="140">
      <calculatedColumnFormula>IFERROR(VLOOKUP($G$3&amp;$B$16,'Raw Data'!A:V,16,FALSE),0)</calculatedColumnFormula>
    </tableColumn>
    <tableColumn id="2" xr3:uid="{00000000-0010-0000-0100-000002000000}" name="Rate" dataDxfId="139"/>
    <tableColumn id="5" xr3:uid="{00000000-0010-0000-0100-000005000000}" name="0" dataDxfId="138"/>
    <tableColumn id="6" xr3:uid="{00000000-0010-0000-0100-000006000000}" name="1" dataDxfId="137"/>
    <tableColumn id="4" xr3:uid="{00000000-0010-0000-0100-000004000000}" name="Charges" totalsRowFunction="count" dataDxfId="136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76" headerRowBorderDxfId="75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74"/>
    <tableColumn id="2" xr3:uid="{00000000-0010-0000-0200-000002000000}" name="#" dataDxfId="73"/>
    <tableColumn id="3" xr3:uid="{00000000-0010-0000-0200-000003000000}" name="PI" dataDxfId="72"/>
    <tableColumn id="4" xr3:uid="{00000000-0010-0000-0200-000004000000}" name="Department" dataDxfId="71"/>
    <tableColumn id="5" xr3:uid="{00000000-0010-0000-0200-000005000000}" name="Project Name" dataDxfId="70"/>
    <tableColumn id="6" xr3:uid="{00000000-0010-0000-0200-000006000000}" name="Contact" dataDxfId="69"/>
    <tableColumn id="7" xr3:uid="{00000000-0010-0000-0200-000007000000}" name="Email" dataDxfId="68"/>
    <tableColumn id="10" xr3:uid="{00000000-0010-0000-0200-00000A000000}" name="Funding Source" dataDxfId="67"/>
    <tableColumn id="8" xr3:uid="{00000000-0010-0000-0200-000008000000}" name="Chartfield" dataDxfId="66"/>
    <tableColumn id="11" xr3:uid="{00000000-0010-0000-0200-00000B000000}" name="Type of Award" dataDxfId="65"/>
    <tableColumn id="12" xr3:uid="{00000000-0010-0000-0200-00000C000000}" name="End Date" dataDxfId="64"/>
    <tableColumn id="9" xr3:uid="{00000000-0010-0000-0200-000009000000}" name="Ushop PO" dataDxfId="63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eugene.kwan@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carla.ortiz@hsc.utah.edu" TargetMode="External"/><Relationship Id="rId5" Type="http://schemas.openxmlformats.org/officeDocument/2006/relationships/hyperlink" Target="mailto:justin.jorgensen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justin.jorgensen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tabSelected="1" zoomScale="72" zoomScaleNormal="90" workbookViewId="0">
      <selection activeCell="G5" sqref="G5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53" t="s">
        <v>1</v>
      </c>
      <c r="D1" s="253"/>
      <c r="E1" s="253"/>
      <c r="F1" s="253"/>
      <c r="G1" s="253"/>
      <c r="L1" s="2" t="s">
        <v>2</v>
      </c>
      <c r="M1" s="24" t="s">
        <v>243</v>
      </c>
    </row>
    <row r="2" spans="2:13" ht="30" customHeight="1">
      <c r="B2" s="9" t="s">
        <v>3</v>
      </c>
      <c r="D2" s="49" t="s">
        <v>4</v>
      </c>
      <c r="E2" s="17">
        <f ca="1">TODAY()</f>
        <v>46062</v>
      </c>
      <c r="F2" s="17"/>
      <c r="M2" s="68"/>
    </row>
    <row r="3" spans="2:13" ht="15" customHeight="1">
      <c r="D3" s="49" t="s">
        <v>5</v>
      </c>
      <c r="E3" s="38" t="s">
        <v>232</v>
      </c>
      <c r="F3" s="38"/>
      <c r="G3" s="29"/>
    </row>
    <row r="4" spans="2:13" ht="14.4">
      <c r="D4" s="33" t="s">
        <v>6</v>
      </c>
      <c r="E4" s="48">
        <v>17</v>
      </c>
      <c r="F4" s="48" t="s">
        <v>243</v>
      </c>
      <c r="G4" s="33">
        <v>401</v>
      </c>
    </row>
    <row r="5" spans="2:13" ht="14.4">
      <c r="B5" s="48" t="s">
        <v>7</v>
      </c>
      <c r="D5" s="254" t="s">
        <v>8</v>
      </c>
      <c r="E5" s="48"/>
      <c r="F5" s="48"/>
      <c r="G5" s="48"/>
    </row>
    <row r="6" spans="2:13" ht="14.4">
      <c r="B6" s="48" t="s">
        <v>9</v>
      </c>
      <c r="D6" s="254"/>
      <c r="E6" s="254" t="str">
        <f>VLOOKUP($E$3,'Customer List'!A:E,4,FALSE)</f>
        <v>Radiology</v>
      </c>
      <c r="F6" s="254"/>
      <c r="G6" s="254"/>
    </row>
    <row r="7" spans="2:13" ht="14.4">
      <c r="B7" s="8" t="s">
        <v>10</v>
      </c>
      <c r="D7" s="254"/>
      <c r="E7" s="254" t="str">
        <f>VLOOKUP($E$3,'Customer List'!A:D,3,FALSE)</f>
        <v>Allison Payne</v>
      </c>
      <c r="F7" s="254"/>
      <c r="G7" s="254"/>
    </row>
    <row r="8" spans="2:13" ht="14.4">
      <c r="B8" s="8" t="s">
        <v>11</v>
      </c>
      <c r="D8" s="254"/>
      <c r="E8" s="256" t="str">
        <f>VLOOKUP($E$3,'Customer List'!A:F,5,FALSE)</f>
        <v>sterilization of spheroid phantom component</v>
      </c>
      <c r="F8" s="256"/>
      <c r="G8" s="256"/>
    </row>
    <row r="9" spans="2:13" ht="14.4">
      <c r="B9" s="52"/>
      <c r="D9" s="254"/>
      <c r="E9" s="256" t="str">
        <f>VLOOKUP($E$3,'Customer List'!A:G,6,FALSE)</f>
        <v>Attn: Andy Bloebaum u0295420  Justin Jorgensen u0025320 Matthew Zabriskie u0790470</v>
      </c>
      <c r="F9" s="256"/>
      <c r="G9" s="256"/>
    </row>
    <row r="10" spans="2:13" ht="14.4" customHeight="1">
      <c r="B10" s="19"/>
      <c r="D10" s="33"/>
      <c r="E10" s="256" t="str">
        <f>VLOOKUP($E$3,'Customer List'!A:G,7,FALSE)</f>
        <v>andrew.bloebaum@hsc.utah.edu justin.jorgensen@hsc.utah.edu CC matthew.zabriskie@hsc.utah.edu</v>
      </c>
      <c r="F10" s="256"/>
      <c r="G10" s="256"/>
    </row>
    <row r="11" spans="2:13" ht="14.4">
      <c r="B11" s="19"/>
      <c r="D11" s="48"/>
      <c r="E11" s="256"/>
      <c r="F11" s="256"/>
      <c r="G11" s="256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146</v>
      </c>
      <c r="C15" s="83"/>
      <c r="D15" s="83"/>
      <c r="E15" s="83"/>
      <c r="F15" s="83"/>
      <c r="G15" s="84"/>
    </row>
    <row r="16" spans="2:13" ht="14.4">
      <c r="B16" s="11" t="str">
        <f>HLOOKUP($B$15,References!$B$2:$B$8,2,FALSE)</f>
        <v>50 -Active time (Hourly Rate)</v>
      </c>
      <c r="C16" s="85">
        <f>IFERROR(VLOOKUP($E$3&amp;$B$16,'Raw Data'!Y:Z,2,FALSE),0)</f>
        <v>0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0</v>
      </c>
    </row>
    <row r="17" spans="2:7" ht="14.4">
      <c r="B17" s="11" t="str">
        <f>HLOOKUP($B$15,References!$B$2:$B$8,3,FALSE)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HLOOKUP($B$15,References!$B$2:$B$8,4,FALSE)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HLOOKUP($B$15,References!$B$2:$B$8,5,FALSE)</f>
        <v>40 - Ethylene Oxide Sterilization (per run)</v>
      </c>
      <c r="C19" s="85">
        <f>IFERROR(VLOOKUP($E$3&amp;$B19,'Raw Data'!Y:Z,2,FALSE),0)</f>
        <v>1.5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60</v>
      </c>
    </row>
    <row r="20" spans="2:7" ht="14.4">
      <c r="B20" s="11" t="str">
        <f>HLOOKUP($B$15,References!$B$2:$B$8,6,FALSE)</f>
        <v>250- Fluoroscopy (per use)</v>
      </c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250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60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60</v>
      </c>
      <c r="I33" s="67">
        <f>VLOOKUP($E$3,'Raw Data'!AC:AD,2,FALSE)</f>
        <v>60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55" t="str">
        <f>VLOOKUP($E$3,'Customer List'!A:L,9,FALSE)</f>
        <v>01-00877-6000-39143-64300</v>
      </c>
      <c r="D39" s="255"/>
      <c r="E39" s="255"/>
      <c r="F39" s="255"/>
      <c r="G39" s="255"/>
      <c r="H39" s="34"/>
    </row>
    <row r="40" spans="2:11" ht="14.4">
      <c r="B40" s="25" t="s">
        <v>55</v>
      </c>
      <c r="C40" s="257"/>
      <c r="D40" s="257"/>
      <c r="E40" s="257"/>
      <c r="F40" s="257"/>
      <c r="G40" s="257"/>
      <c r="H40" s="257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58" t="s">
        <v>25</v>
      </c>
      <c r="F43" s="258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Data'!$P$2:$P$1044,_xlfn.AGGREGATE(15,3,('Raw Data'!$O$1:$O$1044=Invoice!$E$3)/('Raw Data'!$O$1:$O$1044=Invoice!$E$3)*(ROW('Raw Data'!$O$1:O1044)-ROW('Raw Data'!$O$1)),ROWS($A$44:A44))),"")</f>
        <v>0</v>
      </c>
      <c r="C44" s="36" t="str" cm="1">
        <f t="array" ref="C44">IFERROR(_xlfn.SINGLE(INDEX('Raw Data'!$C$2:$C$1044,_xlfn.AGGREGATE(15,3,('Raw Data'!$O$1:$O$1044=Invoice!$E$3)/('Raw Data'!$O$1:$O$1044=Invoice!$E$3)*(ROW('Raw Data'!$O$1:O1044)-ROW('Raw Data'!$O$1)),ROWS($A$44:A44)))),"")</f>
        <v>Research, Mri</v>
      </c>
      <c r="D44" s="36">
        <f>IFERROR(INDEX('Raw Data'!$R$2:$R$1044,_xlfn.AGGREGATE(15,3,('Raw Data'!$O$1:$O$1044=Invoice!$E$3)/('Raw Data'!$O$1:$O$1044=Invoice!$E$3)*(ROW('Raw Data'!$O$1:O1044)-ROW('Raw Data'!$O$1)),ROWS($A$44:B44))),"")</f>
        <v>0</v>
      </c>
      <c r="E44" s="252" t="str" cm="1">
        <f t="array" ref="E44">IFERROR(_xlfn.SINGLE(INDEX('Raw Data'!$N$2:$N$1045,_xlfn.AGGREGATE(15,3,('Raw Data'!$O$1:$O$1044=Invoice!$E$3)/('Raw Data'!$O$1:$O$1044=Invoice!$E$3)*(ROW('Raw Data'!$O$1:O1044)-ROW('Raw Data'!$O$1)),ROWS($A$44:B44)))),"")</f>
        <v>CL017 ETO Use by group Payne</v>
      </c>
      <c r="F44" s="252"/>
      <c r="G44" s="37" t="str">
        <f>IFERROR(_xlfn.SINGLE(INDEX('Raw Data'!#REF!,_xlfn.AGGREGATE(15,3,('Raw Data'!$O$1:$O$1044=Invoice!$E$3)/('Raw Data'!$O$1:$O$1044=Invoice!$E$3)*(ROW('Raw Data'!$O$1:O1044)-ROW('Raw Data'!$O$1)),ROWS($A$44:E44)))),"")</f>
        <v/>
      </c>
      <c r="J44" s="54"/>
    </row>
    <row r="45" spans="2:11" ht="14.25" customHeight="1">
      <c r="B45" s="31" t="str">
        <f>IFERROR(INDEX('Raw Data'!$P$2:$P$1044,_xlfn.AGGREGATE(15,3,('Raw Data'!$O$1:$O$1044=Invoice!$E$3)/('Raw Data'!$O$1:$O$1044=Invoice!$E$3)*(ROW('Raw Data'!$O$1:O1045)-ROW('Raw Data'!$O$1)),ROWS($A$44:A45))),"")</f>
        <v/>
      </c>
      <c r="C45" s="36" t="str">
        <f>IFERROR(INDEX('Raw Data'!$C$2:$C$1044,_xlfn.AGGREGATE(15,3,('Raw Data'!$O$1:$O$1044=Invoice!$E$3)/('Raw Data'!$O$1:$O$1044=Invoice!$E$3)*(ROW('Raw Data'!$O$1:O1045)-ROW('Raw Data'!$O$1)),ROWS($A$44:A45))),"")</f>
        <v/>
      </c>
      <c r="D45" s="36" t="str">
        <f>IFERROR(INDEX('Raw Data'!$R$2:$R$1044,_xlfn.AGGREGATE(15,3,('Raw Data'!$O$1:$O$1044=Invoice!$E$3)/('Raw Data'!$O$1:$O$1044=Invoice!$E$3)*(ROW('Raw Data'!$O$1:O1045)-ROW('Raw Data'!$O$1)),ROWS($A$44:B45))),"")</f>
        <v/>
      </c>
      <c r="E45" s="252" t="str">
        <f>IFERROR(INDEX('Raw Data'!$N$3:$N$1045,_xlfn.AGGREGATE(15,3,('Raw Data'!$O$1:$O$1044=Invoice!$E$3)/('Raw Data'!$O$1:$O$1044=Invoice!$E$3)*(ROW('Raw Data'!$O$1:O1045)-ROW('Raw Data'!$O$1)),ROWS($A$44:B45))),"")</f>
        <v/>
      </c>
      <c r="F45" s="252"/>
      <c r="G45" s="37" t="str">
        <f>IFERROR(_xlfn.SINGLE(INDEX('Raw Data'!#REF!,_xlfn.AGGREGATE(15,3,('Raw Data'!$O$1:$O$1044=Invoice!$E$3)/('Raw Data'!$O$1:$O$1044=Invoice!$E$3)*(ROW('Raw Data'!$O$1:O1045)-ROW('Raw Data'!$O$1)),ROWS($A$44:E45)))),"")</f>
        <v/>
      </c>
    </row>
    <row r="46" spans="2:11" ht="14.4" customHeight="1">
      <c r="B46" s="31" t="str">
        <f>IFERROR(INDEX('Raw Data'!$P$2:$P$1044,_xlfn.AGGREGATE(15,3,('Raw Data'!$O$1:$O$1044=Invoice!$E$3)/('Raw Data'!$O$1:$O$1044=Invoice!$E$3)*(ROW('Raw Data'!$O$1:O1046)-ROW('Raw Data'!$O$1)),ROWS($A$44:A46))),"")</f>
        <v/>
      </c>
      <c r="C46" s="36" t="str">
        <f>IFERROR(INDEX('Raw Data'!$C$2:$C$1044,_xlfn.AGGREGATE(15,3,('Raw Data'!$O$1:$O$1044=Invoice!$E$3)/('Raw Data'!$O$1:$O$1044=Invoice!$E$3)*(ROW('Raw Data'!$O$1:O1046)-ROW('Raw Data'!$O$1)),ROWS($A$44:A46))),"")</f>
        <v/>
      </c>
      <c r="D46" s="36" t="str">
        <f>IFERROR(INDEX('Raw Data'!$R$2:$R$1044,_xlfn.AGGREGATE(15,3,('Raw Data'!$O$1:$O$1044=Invoice!$E$3)/('Raw Data'!$O$1:$O$1044=Invoice!$E$3)*(ROW('Raw Data'!$O$1:O1046)-ROW('Raw Data'!$O$1)),ROWS($A$44:B46))),"")</f>
        <v/>
      </c>
      <c r="E46" s="252" t="str">
        <f>IFERROR(INDEX('Raw Data'!$N$3:$N$1045,_xlfn.AGGREGATE(15,3,('Raw Data'!$O$1:$O$1044=Invoice!$E$3)/('Raw Data'!$O$1:$O$1044=Invoice!$E$3)*(ROW('Raw Data'!$O$1:O1046)-ROW('Raw Data'!$O$1)),ROWS($A$44:B46))),"")</f>
        <v/>
      </c>
      <c r="F46" s="252"/>
      <c r="G46" s="37" t="str">
        <f>IFERROR(_xlfn.SINGLE(INDEX('Raw Data'!#REF!,_xlfn.AGGREGATE(15,3,('Raw Data'!$O$1:$O$1044=Invoice!$E$3)/('Raw Data'!$O$1:$O$1044=Invoice!$E$3)*(ROW('Raw Data'!$O$1:O1046)-ROW('Raw Data'!$O$1)),ROWS($A$44:E46)))),"")</f>
        <v/>
      </c>
    </row>
    <row r="47" spans="2:11" ht="14.4" customHeight="1">
      <c r="B47" s="31" t="str">
        <f>IFERROR(INDEX('Raw Data'!$P$2:$P$1044,_xlfn.AGGREGATE(15,3,('Raw Data'!$O$1:$O$1044=Invoice!$E$3)/('Raw Data'!$O$1:$O$1044=Invoice!$E$3)*(ROW('Raw Data'!$O$1:O1047)-ROW('Raw Data'!$O$1)),ROWS($A$44:A47))),"")</f>
        <v/>
      </c>
      <c r="C47" s="36" t="str">
        <f>IFERROR(INDEX('Raw Data'!$C$2:$C$1044,_xlfn.AGGREGATE(15,3,('Raw Data'!$O$1:$O$1044=Invoice!$E$3)/('Raw Data'!$O$1:$O$1044=Invoice!$E$3)*(ROW('Raw Data'!$O$1:O1047)-ROW('Raw Data'!$O$1)),ROWS($A$44:A47))),"")</f>
        <v/>
      </c>
      <c r="D47" s="36" t="str">
        <f>IFERROR(INDEX('Raw Data'!$R$2:$R$1044,_xlfn.AGGREGATE(15,3,('Raw Data'!$O$1:$O$1044=Invoice!$E$3)/('Raw Data'!$O$1:$O$1044=Invoice!$E$3)*(ROW('Raw Data'!$O$1:O1047)-ROW('Raw Data'!$O$1)),ROWS($A$44:B47))),"")</f>
        <v/>
      </c>
      <c r="E47" s="252" t="str">
        <f>IFERROR(INDEX('Raw Data'!$N$3:$N$1045,_xlfn.AGGREGATE(15,3,('Raw Data'!$O$1:$O$1044=Invoice!$E$3)/('Raw Data'!$O$1:$O$1044=Invoice!$E$3)*(ROW('Raw Data'!$O$1:O1047)-ROW('Raw Data'!$O$1)),ROWS($A$44:B47))),"")</f>
        <v/>
      </c>
      <c r="F47" s="252"/>
      <c r="G47" s="37" t="str">
        <f>IFERROR(_xlfn.SINGLE(INDEX('Raw Data'!#REF!,_xlfn.AGGREGATE(15,3,('Raw Data'!$O$1:$O$1044=Invoice!$E$3)/('Raw Data'!$O$1:$O$1044=Invoice!$E$3)*(ROW('Raw Data'!$O$1:O1047)-ROW('Raw Data'!$O$1)),ROWS($A$44:E47)))),"")</f>
        <v/>
      </c>
    </row>
    <row r="48" spans="2:11" ht="14.4" customHeight="1">
      <c r="B48" s="31" t="str">
        <f>IFERROR(INDEX('Raw Data'!$P$2:$P$1044,_xlfn.AGGREGATE(15,3,('Raw Data'!$O$1:$O$1044=Invoice!$E$3)/('Raw Data'!$O$1:$O$1044=Invoice!$E$3)*(ROW('Raw Data'!$O$1:O1048)-ROW('Raw Data'!$O$1)),ROWS($A$44:A48))),"")</f>
        <v/>
      </c>
      <c r="C48" s="36" t="str" cm="1">
        <f t="array" ref="C48">IFERROR(_xlfn.SINGLE(INDEX('Raw Data'!$C$2:$C$1044,_xlfn.AGGREGATE(15,3,('Raw Data'!$O$1:$O$1044=Invoice!$E$3)/('Raw Data'!$O$1:$O$1044=Invoice!$E$3)*(ROW('Raw Data'!$O$1:O1048)-ROW('Raw Data'!$O$1)),ROWS($A$44:A48)))),"")</f>
        <v/>
      </c>
      <c r="D48" s="36" t="str">
        <f>IFERROR(INDEX('Raw Data'!$R$2:$R$1044,_xlfn.AGGREGATE(15,3,('Raw Data'!$O$1:$O$1044=Invoice!$E$3)/('Raw Data'!$O$1:$O$1044=Invoice!$E$3)*(ROW('Raw Data'!$O$1:O1048)-ROW('Raw Data'!$O$1)),ROWS($A$44:B48))),"")</f>
        <v/>
      </c>
      <c r="E48" s="252" t="str">
        <f>IFERROR(INDEX('Raw Data'!$N$3:$N$1045,_xlfn.AGGREGATE(15,3,('Raw Data'!$O$1:$O$1044=Invoice!$E$3)/('Raw Data'!$O$1:$O$1044=Invoice!$E$3)*(ROW('Raw Data'!$O$1:O1048)-ROW('Raw Data'!$O$1)),ROWS($A$44:B48))),"")</f>
        <v/>
      </c>
      <c r="F48" s="252"/>
      <c r="G48" s="37" t="str">
        <f>IFERROR(_xlfn.SINGLE(INDEX('Raw Data'!#REF!,_xlfn.AGGREGATE(15,3,('Raw Data'!$O$1:$O$1044=Invoice!$E$3)/('Raw Data'!$O$1:$O$1044=Invoice!$E$3)*(ROW('Raw Data'!$O$1:O1048)-ROW('Raw Data'!$O$1)),ROWS($A$44:E48)))),"")</f>
        <v/>
      </c>
    </row>
    <row r="49" spans="2:7" ht="14.4" customHeight="1">
      <c r="B49" s="31" t="str">
        <f>IFERROR(INDEX('Raw Data'!$P$2:$P$1044,_xlfn.AGGREGATE(15,3,('Raw Data'!$O$1:$O$1044=Invoice!$E$3)/('Raw Data'!$O$1:$O$1044=Invoice!$E$3)*(ROW('Raw Data'!$O$1:O1049)-ROW('Raw Data'!$O$1)),ROWS($A$44:A49))),"")</f>
        <v/>
      </c>
      <c r="C49" s="36" t="str">
        <f>IFERROR(INDEX('Raw Data'!$C$2:$C$1044,_xlfn.AGGREGATE(15,3,('Raw Data'!$O$1:$O$1044=Invoice!$E$3)/('Raw Data'!$O$1:$O$1044=Invoice!$E$3)*(ROW('Raw Data'!$O$1:O1049)-ROW('Raw Data'!$O$1)),ROWS($A$44:A49))),"")</f>
        <v/>
      </c>
      <c r="D49" s="36" t="str">
        <f>IFERROR(INDEX('Raw Data'!$R$2:$R$1044,_xlfn.AGGREGATE(15,3,('Raw Data'!$O$1:$O$1044=Invoice!$E$3)/('Raw Data'!$O$1:$O$1044=Invoice!$E$3)*(ROW('Raw Data'!$O$1:O1049)-ROW('Raw Data'!$O$1)),ROWS($A$44:B49))),"")</f>
        <v/>
      </c>
      <c r="E49" s="252" t="str">
        <f>IFERROR(INDEX('Raw Data'!$N$3:$N$1045,_xlfn.AGGREGATE(15,3,('Raw Data'!$O$1:$O$1044=Invoice!$E$3)/('Raw Data'!$O$1:$O$1044=Invoice!$E$3)*(ROW('Raw Data'!$O$1:O1049)-ROW('Raw Data'!$O$1)),ROWS($A$44:B49))),"")</f>
        <v/>
      </c>
      <c r="F49" s="252"/>
      <c r="G49" s="37" t="str">
        <f>IFERROR(_xlfn.SINGLE(INDEX('Raw Data'!#REF!,_xlfn.AGGREGATE(15,3,('Raw Data'!$O$1:$O$1044=Invoice!$E$3)/('Raw Data'!$O$1:$O$1044=Invoice!$E$3)*(ROW('Raw Data'!$O$1:O1049)-ROW('Raw Data'!$O$1)),ROWS($A$44:E49)))),"")</f>
        <v/>
      </c>
    </row>
    <row r="50" spans="2:7" ht="14.4" customHeight="1">
      <c r="B50" s="31" t="str">
        <f>IFERROR(INDEX('Raw Data'!$P$2:$P$1044,_xlfn.AGGREGATE(15,3,('Raw Data'!$O$1:$O$1044=Invoice!$E$3)/('Raw Data'!$O$1:$O$1044=Invoice!$E$3)*(ROW('Raw Data'!$O$1:O1050)-ROW('Raw Data'!$O$1)),ROWS($A$44:A50))),"")</f>
        <v/>
      </c>
      <c r="C50" s="36" t="str">
        <f>IFERROR(INDEX('Raw Data'!$C$2:$C$1044,_xlfn.AGGREGATE(15,3,('Raw Data'!$O$1:$O$1044=Invoice!$E$3)/('Raw Data'!$O$1:$O$1044=Invoice!$E$3)*(ROW('Raw Data'!$O$1:O1050)-ROW('Raw Data'!$O$1)),ROWS($A$44:A50))),"")</f>
        <v/>
      </c>
      <c r="D50" s="36" t="str">
        <f>IFERROR(INDEX('Raw Data'!$R$2:$R$1044,_xlfn.AGGREGATE(15,3,('Raw Data'!$O$1:$O$1044=Invoice!$E$3)/('Raw Data'!$O$1:$O$1044=Invoice!$E$3)*(ROW('Raw Data'!$O$1:O1050)-ROW('Raw Data'!$O$1)),ROWS($A$44:B50))),"")</f>
        <v/>
      </c>
      <c r="E50" s="252" t="str">
        <f>IFERROR(INDEX('Raw Data'!$N$3:$N$1045,_xlfn.AGGREGATE(15,3,('Raw Data'!$O$1:$O$1044=Invoice!$E$3)/('Raw Data'!$O$1:$O$1044=Invoice!$E$3)*(ROW('Raw Data'!$O$1:O1050)-ROW('Raw Data'!$O$1)),ROWS($A$44:B50))),"")</f>
        <v/>
      </c>
      <c r="F50" s="252"/>
      <c r="G50" s="37" t="str">
        <f>IFERROR(_xlfn.SINGLE(INDEX('Raw Data'!#REF!,_xlfn.AGGREGATE(15,3,('Raw Data'!$O$1:$O$1044=Invoice!$E$3)/('Raw Data'!$O$1:$O$1044=Invoice!$E$3)*(ROW('Raw Data'!$O$1:O1050)-ROW('Raw Data'!$O$1)),ROWS($A$44:E50)))),"")</f>
        <v/>
      </c>
    </row>
    <row r="51" spans="2:7" ht="14.4" customHeight="1">
      <c r="B51" s="31" t="str">
        <f>IFERROR(INDEX('Raw Data'!$P$2:$P$1044,_xlfn.AGGREGATE(15,3,('Raw Data'!$O$1:$O$1044=Invoice!$E$3)/('Raw Data'!$O$1:$O$1044=Invoice!$E$3)*(ROW('Raw Data'!$O$1:O1051)-ROW('Raw Data'!$O$1)),ROWS($A$44:A51))),"")</f>
        <v/>
      </c>
      <c r="C51" s="36" t="str">
        <f>IFERROR(INDEX('Raw Data'!$C$2:$C$1044,_xlfn.AGGREGATE(15,3,('Raw Data'!$O$1:$O$1044=Invoice!$E$3)/('Raw Data'!$O$1:$O$1044=Invoice!$E$3)*(ROW('Raw Data'!$O$1:O1051)-ROW('Raw Data'!$O$1)),ROWS($A$44:A51))),"")</f>
        <v/>
      </c>
      <c r="D51" s="36" t="str">
        <f>IFERROR(INDEX('Raw Data'!$R$2:$R$1044,_xlfn.AGGREGATE(15,3,('Raw Data'!$O$1:$O$1044=Invoice!$E$3)/('Raw Data'!$O$1:$O$1044=Invoice!$E$3)*(ROW('Raw Data'!$O$1:O1051)-ROW('Raw Data'!$O$1)),ROWS($A$44:B51))),"")</f>
        <v/>
      </c>
      <c r="E51" s="252" t="str">
        <f>IFERROR(INDEX('Raw Data'!$N$3:$N$1045,_xlfn.AGGREGATE(15,3,('Raw Data'!$O$1:$O$1044=Invoice!$E$3)/('Raw Data'!$O$1:$O$1044=Invoice!$E$3)*(ROW('Raw Data'!$O$1:O1051)-ROW('Raw Data'!$O$1)),ROWS($A$44:B51))),"")</f>
        <v/>
      </c>
      <c r="F51" s="252"/>
      <c r="G51" s="37" t="str">
        <f>IFERROR(_xlfn.SINGLE(INDEX('Raw Data'!#REF!,_xlfn.AGGREGATE(15,3,('Raw Data'!$O$1:$O$1044=Invoice!$E$3)/('Raw Data'!$O$1:$O$1044=Invoice!$E$3)*(ROW('Raw Data'!$O$1:O1051)-ROW('Raw Data'!$O$1)),ROWS($A$44:E51)))),"")</f>
        <v/>
      </c>
    </row>
    <row r="52" spans="2:7" ht="14.4" customHeight="1">
      <c r="B52" s="31" t="str">
        <f>IFERROR(INDEX('Raw Data'!$P$2:$P$1044,_xlfn.AGGREGATE(15,3,('Raw Data'!$O$1:$O$1044=Invoice!$E$3)/('Raw Data'!$O$1:$O$1044=Invoice!$E$3)*(ROW('Raw Data'!$O$1:O1052)-ROW('Raw Data'!$O$1)),ROWS($A$44:A52))),"")</f>
        <v/>
      </c>
      <c r="C52" s="36" t="str">
        <f>IFERROR(INDEX('Raw Data'!$C$2:$C$1044,_xlfn.AGGREGATE(15,3,('Raw Data'!$O$1:$O$1044=Invoice!$E$3)/('Raw Data'!$O$1:$O$1044=Invoice!$E$3)*(ROW('Raw Data'!$O$1:O1052)-ROW('Raw Data'!$O$1)),ROWS($A$44:A52))),"")</f>
        <v/>
      </c>
      <c r="D52" s="36" t="str">
        <f>IFERROR(INDEX('Raw Data'!$R$2:$R$1044,_xlfn.AGGREGATE(15,3,('Raw Data'!$O$1:$O$1044=Invoice!$E$3)/('Raw Data'!$O$1:$O$1044=Invoice!$E$3)*(ROW('Raw Data'!$O$1:O1052)-ROW('Raw Data'!$O$1)),ROWS($A$44:B52))),"")</f>
        <v/>
      </c>
      <c r="E52" s="252" t="str">
        <f>IFERROR(INDEX('Raw Data'!$N$3:$N$1045,_xlfn.AGGREGATE(15,3,('Raw Data'!$O$1:$O$1044=Invoice!$E$3)/('Raw Data'!$O$1:$O$1044=Invoice!$E$3)*(ROW('Raw Data'!$O$1:O1052)-ROW('Raw Data'!$O$1)),ROWS($A$44:B52))),"")</f>
        <v/>
      </c>
      <c r="F52" s="252"/>
      <c r="G52" s="37" t="str">
        <f>IFERROR(_xlfn.SINGLE(INDEX('Raw Data'!#REF!,_xlfn.AGGREGATE(15,3,('Raw Data'!$O$1:$O$1044=Invoice!$E$3)/('Raw Data'!$O$1:$O$1044=Invoice!$E$3)*(ROW('Raw Data'!$O$1:O1052)-ROW('Raw Data'!$O$1)),ROWS($A$44:E52)))),"")</f>
        <v/>
      </c>
    </row>
    <row r="53" spans="2:7" ht="14.4" customHeight="1">
      <c r="B53" s="31" t="str">
        <f>IFERROR(INDEX('Raw Data'!$P$2:$P$1044,_xlfn.AGGREGATE(15,3,('Raw Data'!$O$1:$O$1044=Invoice!$E$3)/('Raw Data'!$O$1:$O$1044=Invoice!$E$3)*(ROW('Raw Data'!$O$1:O1053)-ROW('Raw Data'!$O$1)),ROWS($A$44:A53))),"")</f>
        <v/>
      </c>
      <c r="C53" s="36" t="str">
        <f>IFERROR(INDEX('Raw Data'!$C$2:$C$1044,_xlfn.AGGREGATE(15,3,('Raw Data'!$O$1:$O$1044=Invoice!$E$3)/('Raw Data'!$O$1:$O$1044=Invoice!$E$3)*(ROW('Raw Data'!$O$1:O1053)-ROW('Raw Data'!$O$1)),ROWS($A$44:A53))),"")</f>
        <v/>
      </c>
      <c r="D53" s="36" t="str">
        <f>IFERROR(INDEX('Raw Data'!$R$2:$R$1044,_xlfn.AGGREGATE(15,3,('Raw Data'!$O$1:$O$1044=Invoice!$E$3)/('Raw Data'!$O$1:$O$1044=Invoice!$E$3)*(ROW('Raw Data'!$O$1:O1053)-ROW('Raw Data'!$O$1)),ROWS($A$44:B53))),"")</f>
        <v/>
      </c>
      <c r="E53" s="252" t="str">
        <f>IFERROR(INDEX('Raw Data'!$N$3:$N$1045,_xlfn.AGGREGATE(15,3,('Raw Data'!$O$1:$O$1044=Invoice!$E$3)/('Raw Data'!$O$1:$O$1044=Invoice!$E$3)*(ROW('Raw Data'!$O$1:O1053)-ROW('Raw Data'!$O$1)),ROWS($A$44:B53))),"")</f>
        <v/>
      </c>
      <c r="F53" s="252"/>
      <c r="G53" s="37" t="str">
        <f>IFERROR(_xlfn.SINGLE(INDEX('Raw Data'!#REF!,_xlfn.AGGREGATE(15,3,('Raw Data'!$O$1:$O$1044=Invoice!$E$3)/('Raw Data'!$O$1:$O$1044=Invoice!$E$3)*(ROW('Raw Data'!$O$1:O1053)-ROW('Raw Data'!$O$1)),ROWS($A$44:E53)))),"")</f>
        <v/>
      </c>
    </row>
    <row r="54" spans="2:7" ht="14.4" customHeight="1">
      <c r="B54" s="31" t="str">
        <f>IFERROR(INDEX('Raw Data'!$P$2:$P$1044,_xlfn.AGGREGATE(15,3,('Raw Data'!$O$1:$O$1044=Invoice!$E$3)/('Raw Data'!$O$1:$O$1044=Invoice!$E$3)*(ROW('Raw Data'!$O$1:O1054)-ROW('Raw Data'!$O$1)),ROWS($A$44:A54))),"")</f>
        <v/>
      </c>
      <c r="C54" s="36" t="str">
        <f>IFERROR(INDEX('Raw Data'!$C$2:$C$1044,_xlfn.AGGREGATE(15,3,('Raw Data'!$O$1:$O$1044=Invoice!$E$3)/('Raw Data'!$O$1:$O$1044=Invoice!$E$3)*(ROW('Raw Data'!$O$1:O1054)-ROW('Raw Data'!$O$1)),ROWS($A$44:A54))),"")</f>
        <v/>
      </c>
      <c r="D54" s="36" t="str">
        <f>IFERROR(INDEX('Raw Data'!$R$2:$R$1044,_xlfn.AGGREGATE(15,3,('Raw Data'!$O$1:$O$1044=Invoice!$E$3)/('Raw Data'!$O$1:$O$1044=Invoice!$E$3)*(ROW('Raw Data'!$O$1:O1054)-ROW('Raw Data'!$O$1)),ROWS($A$44:B54))),"")</f>
        <v/>
      </c>
      <c r="E54" s="252" t="str">
        <f>IFERROR(INDEX('Raw Data'!$N$3:$N$1045,_xlfn.AGGREGATE(15,3,('Raw Data'!$O$1:$O$1044=Invoice!$E$3)/('Raw Data'!$O$1:$O$1044=Invoice!$E$3)*(ROW('Raw Data'!$O$1:O1054)-ROW('Raw Data'!$O$1)),ROWS($A$44:B54))),"")</f>
        <v/>
      </c>
      <c r="F54" s="252"/>
      <c r="G54" s="37" t="str">
        <f>IFERROR(_xlfn.SINGLE(INDEX('Raw Data'!#REF!,_xlfn.AGGREGATE(15,3,('Raw Data'!$O$1:$O$1044=Invoice!$E$3)/('Raw Data'!$O$1:$O$1044=Invoice!$E$3)*(ROW('Raw Data'!$O$1:O1054)-ROW('Raw Data'!$O$1)),ROWS($A$44:E54)))),"")</f>
        <v/>
      </c>
    </row>
    <row r="55" spans="2:7" ht="14.4" customHeight="1">
      <c r="B55" s="31" t="str">
        <f>IFERROR(INDEX('Raw Data'!$P$2:$P$1044,_xlfn.AGGREGATE(15,3,('Raw Data'!$O$1:$O$1044=Invoice!$E$3)/('Raw Data'!$O$1:$O$1044=Invoice!$E$3)*(ROW('Raw Data'!$O$1:O1055)-ROW('Raw Data'!$O$1)),ROWS($A$44:A55))),"")</f>
        <v/>
      </c>
      <c r="C55" s="36" t="str">
        <f>IFERROR(INDEX('Raw Data'!$C$2:$C$1044,_xlfn.AGGREGATE(15,3,('Raw Data'!$O$1:$O$1044=Invoice!$E$3)/('Raw Data'!$O$1:$O$1044=Invoice!$E$3)*(ROW('Raw Data'!$O$1:O1055)-ROW('Raw Data'!$O$1)),ROWS($A$44:A55))),"")</f>
        <v/>
      </c>
      <c r="D55" s="36" t="str">
        <f>IFERROR(INDEX('Raw Data'!$R$2:$R$1044,_xlfn.AGGREGATE(15,3,('Raw Data'!$O$1:$O$1044=Invoice!$E$3)/('Raw Data'!$O$1:$O$1044=Invoice!$E$3)*(ROW('Raw Data'!$O$1:O1055)-ROW('Raw Data'!$O$1)),ROWS($A$44:B55))),"")</f>
        <v/>
      </c>
      <c r="E55" s="252" t="str">
        <f>IFERROR(INDEX('Raw Data'!$N$3:$N$1045,_xlfn.AGGREGATE(15,3,('Raw Data'!$O$1:$O$1044=Invoice!$E$3)/('Raw Data'!$O$1:$O$1044=Invoice!$E$3)*(ROW('Raw Data'!$O$1:O1055)-ROW('Raw Data'!$O$1)),ROWS($A$44:B55))),"")</f>
        <v/>
      </c>
      <c r="F55" s="252"/>
      <c r="G55" s="37" t="str">
        <f>IFERROR(_xlfn.SINGLE(INDEX('Raw Data'!#REF!,_xlfn.AGGREGATE(15,3,('Raw Data'!$O$1:$O$1044=Invoice!$E$3)/('Raw Data'!$O$1:$O$1044=Invoice!$E$3)*(ROW('Raw Data'!$O$1:O1055)-ROW('Raw Data'!$O$1)),ROWS($A$44:E55)))),"")</f>
        <v/>
      </c>
    </row>
    <row r="56" spans="2:7" ht="14.4" customHeight="1">
      <c r="B56" s="31" t="str">
        <f>IFERROR(INDEX('Raw Data'!$P$2:$P$1044,_xlfn.AGGREGATE(15,3,('Raw Data'!$O$1:$O$1044=Invoice!$E$3)/('Raw Data'!$O$1:$O$1044=Invoice!$E$3)*(ROW('Raw Data'!$O$1:O1056)-ROW('Raw Data'!$O$1)),ROWS($A$44:A56))),"")</f>
        <v/>
      </c>
      <c r="C56" s="36" t="str">
        <f>IFERROR(INDEX('Raw Data'!$C$2:$C$1044,_xlfn.AGGREGATE(15,3,('Raw Data'!$O$1:$O$1044=Invoice!$E$3)/('Raw Data'!$O$1:$O$1044=Invoice!$E$3)*(ROW('Raw Data'!$O$1:O1056)-ROW('Raw Data'!$O$1)),ROWS($A$44:A56))),"")</f>
        <v/>
      </c>
      <c r="D56" s="36" t="str">
        <f>IFERROR(INDEX('Raw Data'!$R$2:$R$1044,_xlfn.AGGREGATE(15,3,('Raw Data'!$O$1:$O$1044=Invoice!$E$3)/('Raw Data'!$O$1:$O$1044=Invoice!$E$3)*(ROW('Raw Data'!$O$1:O1056)-ROW('Raw Data'!$O$1)),ROWS($A$44:B56))),"")</f>
        <v/>
      </c>
      <c r="E56" s="252" t="str">
        <f>IFERROR(INDEX('Raw Data'!$N$3:$N$1045,_xlfn.AGGREGATE(15,3,('Raw Data'!$O$1:$O$1044=Invoice!$E$3)/('Raw Data'!$O$1:$O$1044=Invoice!$E$3)*(ROW('Raw Data'!$O$1:O1056)-ROW('Raw Data'!$O$1)),ROWS($A$44:B56))),"")</f>
        <v/>
      </c>
      <c r="F56" s="252"/>
      <c r="G56" s="37" t="str">
        <f>IFERROR(_xlfn.SINGLE(INDEX('Raw Data'!#REF!,_xlfn.AGGREGATE(15,3,('Raw Data'!$O$1:$O$1044=Invoice!$E$3)/('Raw Data'!$O$1:$O$1044=Invoice!$E$3)*(ROW('Raw Data'!$O$1:O1056)-ROW('Raw Data'!$O$1)),ROWS($A$44:E56)))),"")</f>
        <v/>
      </c>
    </row>
    <row r="57" spans="2:7" ht="14.4" customHeight="1">
      <c r="B57" s="31" t="str">
        <f>IFERROR(INDEX('Raw Data'!$P$2:$P$1044,_xlfn.AGGREGATE(15,3,('Raw Data'!$O$1:$O$1044=Invoice!$E$3)/('Raw Data'!$O$1:$O$1044=Invoice!$E$3)*(ROW('Raw Data'!$O$1:O1057)-ROW('Raw Data'!$O$1)),ROWS($A$44:A57))),"")</f>
        <v/>
      </c>
      <c r="C57" s="36" t="str">
        <f>IFERROR(INDEX('Raw Data'!$C$2:$C$1044,_xlfn.AGGREGATE(15,3,('Raw Data'!$O$1:$O$1044=Invoice!$E$3)/('Raw Data'!$O$1:$O$1044=Invoice!$E$3)*(ROW('Raw Data'!$O$1:O1057)-ROW('Raw Data'!$O$1)),ROWS($A$44:A57))),"")</f>
        <v/>
      </c>
      <c r="D57" s="36" t="str">
        <f>IFERROR(INDEX('Raw Data'!$R$2:$R$1044,_xlfn.AGGREGATE(15,3,('Raw Data'!$O$1:$O$1044=Invoice!$E$3)/('Raw Data'!$O$1:$O$1044=Invoice!$E$3)*(ROW('Raw Data'!$O$1:O1057)-ROW('Raw Data'!$O$1)),ROWS($A$44:B57))),"")</f>
        <v/>
      </c>
      <c r="E57" s="252" t="str">
        <f>IFERROR(INDEX('Raw Data'!$N$3:$N$1045,_xlfn.AGGREGATE(15,3,('Raw Data'!$O$1:$O$1044=Invoice!$E$3)/('Raw Data'!$O$1:$O$1044=Invoice!$E$3)*(ROW('Raw Data'!$O$1:O1057)-ROW('Raw Data'!$O$1)),ROWS($A$44:B57))),"")</f>
        <v/>
      </c>
      <c r="F57" s="252"/>
      <c r="G57" s="37" t="str">
        <f>IFERROR(_xlfn.SINGLE(INDEX('Raw Data'!#REF!,_xlfn.AGGREGATE(15,3,('Raw Data'!$O$1:$O$1044=Invoice!$E$3)/('Raw Data'!$O$1:$O$1044=Invoice!$E$3)*(ROW('Raw Data'!$O$1:O1057)-ROW('Raw Data'!$O$1)),ROWS($A$44:E57)))),"")</f>
        <v/>
      </c>
    </row>
    <row r="58" spans="2:7" ht="14.4" customHeight="1">
      <c r="B58" s="31" t="str">
        <f>IFERROR(INDEX('Raw Data'!$P$2:$P$1044,_xlfn.AGGREGATE(15,3,('Raw Data'!$O$1:$O$1044=Invoice!$E$3)/('Raw Data'!$O$1:$O$1044=Invoice!$E$3)*(ROW('Raw Data'!$O$1:O1058)-ROW('Raw Data'!$O$1)),ROWS($A$44:A58))),"")</f>
        <v/>
      </c>
      <c r="C58" s="36" t="str">
        <f>IFERROR(INDEX('Raw Data'!$C$2:$C$1044,_xlfn.AGGREGATE(15,3,('Raw Data'!$O$1:$O$1044=Invoice!$E$3)/('Raw Data'!$O$1:$O$1044=Invoice!$E$3)*(ROW('Raw Data'!$O$1:O1058)-ROW('Raw Data'!$O$1)),ROWS($A$44:A58))),"")</f>
        <v/>
      </c>
      <c r="D58" s="36" t="str">
        <f>IFERROR(INDEX('Raw Data'!$R$2:$R$1044,_xlfn.AGGREGATE(15,3,('Raw Data'!$O$1:$O$1044=Invoice!$E$3)/('Raw Data'!$O$1:$O$1044=Invoice!$E$3)*(ROW('Raw Data'!$O$1:O1058)-ROW('Raw Data'!$O$1)),ROWS($A$44:B58))),"")</f>
        <v/>
      </c>
      <c r="E58" s="252" t="str">
        <f>IFERROR(INDEX('Raw Data'!$N$3:$N$1045,_xlfn.AGGREGATE(15,3,('Raw Data'!$O$1:$O$1044=Invoice!$E$3)/('Raw Data'!$O$1:$O$1044=Invoice!$E$3)*(ROW('Raw Data'!$O$1:O1058)-ROW('Raw Data'!$O$1)),ROWS($A$44:B58))),"")</f>
        <v/>
      </c>
      <c r="F58" s="252"/>
      <c r="G58" s="37" t="str">
        <f>IFERROR(_xlfn.SINGLE(INDEX('Raw Data'!#REF!,_xlfn.AGGREGATE(15,3,('Raw Data'!$O$1:$O$1044=Invoice!$E$3)/('Raw Data'!$O$1:$O$1044=Invoice!$E$3)*(ROW('Raw Data'!$O$1:O1058)-ROW('Raw Data'!$O$1)),ROWS($A$44:E58)))),"")</f>
        <v/>
      </c>
    </row>
    <row r="59" spans="2:7" ht="14.4" customHeight="1">
      <c r="B59" s="31" t="str">
        <f>IFERROR(INDEX('Raw Data'!$P$2:$P$1044,_xlfn.AGGREGATE(15,3,('Raw Data'!$O$1:$O$1044=Invoice!$E$3)/('Raw Data'!$O$1:$O$1044=Invoice!$E$3)*(ROW('Raw Data'!$O$1:O1059)-ROW('Raw Data'!$O$1)),ROWS($A$44:A59))),"")</f>
        <v/>
      </c>
      <c r="C59" s="36" t="str">
        <f>IFERROR(INDEX('Raw Data'!$C$2:$C$1044,_xlfn.AGGREGATE(15,3,('Raw Data'!$O$1:$O$1044=Invoice!$E$3)/('Raw Data'!$O$1:$O$1044=Invoice!$E$3)*(ROW('Raw Data'!$O$1:O1059)-ROW('Raw Data'!$O$1)),ROWS($A$44:A59))),"")</f>
        <v/>
      </c>
      <c r="D59" s="36" t="str">
        <f>IFERROR(INDEX('Raw Data'!$R$2:$R$1044,_xlfn.AGGREGATE(15,3,('Raw Data'!$O$1:$O$1044=Invoice!$E$3)/('Raw Data'!$O$1:$O$1044=Invoice!$E$3)*(ROW('Raw Data'!$O$1:O1059)-ROW('Raw Data'!$O$1)),ROWS($A$44:B59))),"")</f>
        <v/>
      </c>
      <c r="E59" s="252" t="str">
        <f>IFERROR(INDEX('Raw Data'!$N$3:$N$1045,_xlfn.AGGREGATE(15,3,('Raw Data'!$O$1:$O$1044=Invoice!$E$3)/('Raw Data'!$O$1:$O$1044=Invoice!$E$3)*(ROW('Raw Data'!$O$1:O1059)-ROW('Raw Data'!$O$1)),ROWS($A$44:B59))),"")</f>
        <v/>
      </c>
      <c r="F59" s="252"/>
      <c r="G59" s="37" t="str">
        <f>IFERROR(_xlfn.SINGLE(INDEX('Raw Data'!#REF!,_xlfn.AGGREGATE(15,3,('Raw Data'!$O$1:$O$1044=Invoice!$E$3)/('Raw Data'!$O$1:$O$1044=Invoice!$E$3)*(ROW('Raw Data'!$O$1:O1059)-ROW('Raw Data'!$O$1)),ROWS($A$44:E59)))),"")</f>
        <v/>
      </c>
    </row>
    <row r="60" spans="2:7" ht="14.4" customHeight="1">
      <c r="B60" s="31" t="str">
        <f>IFERROR(INDEX('Raw Data'!$P$2:$P$1044,_xlfn.AGGREGATE(15,3,('Raw Data'!$O$1:$O$1044=Invoice!$E$3)/('Raw Data'!$O$1:$O$1044=Invoice!$E$3)*(ROW('Raw Data'!$O$1:O1060)-ROW('Raw Data'!$O$1)),ROWS($A$44:A60))),"")</f>
        <v/>
      </c>
      <c r="C60" s="36" t="str">
        <f>IFERROR(INDEX('Raw Data'!$C$2:$C$1044,_xlfn.AGGREGATE(15,3,('Raw Data'!$O$1:$O$1044=Invoice!$E$3)/('Raw Data'!$O$1:$O$1044=Invoice!$E$3)*(ROW('Raw Data'!$O$1:O1060)-ROW('Raw Data'!$O$1)),ROWS($A$44:A60))),"")</f>
        <v/>
      </c>
      <c r="D60" s="36" t="str">
        <f>IFERROR(INDEX('Raw Data'!$R$2:$R$1044,_xlfn.AGGREGATE(15,3,('Raw Data'!$O$1:$O$1044=Invoice!$E$3)/('Raw Data'!$O$1:$O$1044=Invoice!$E$3)*(ROW('Raw Data'!$O$1:O1060)-ROW('Raw Data'!$O$1)),ROWS($A$44:B60))),"")</f>
        <v/>
      </c>
      <c r="E60" s="252" t="str">
        <f>IFERROR(INDEX('Raw Data'!$N$3:$N$1045,_xlfn.AGGREGATE(15,3,('Raw Data'!$O$1:$O$1044=Invoice!$E$3)/('Raw Data'!$O$1:$O$1044=Invoice!$E$3)*(ROW('Raw Data'!$O$1:O1060)-ROW('Raw Data'!$O$1)),ROWS($A$44:B60))),"")</f>
        <v/>
      </c>
      <c r="F60" s="252"/>
      <c r="G60" s="37" t="str">
        <f>IFERROR(_xlfn.SINGLE(INDEX('Raw Data'!#REF!,_xlfn.AGGREGATE(15,3,('Raw Data'!$O$1:$O$1044=Invoice!$E$3)/('Raw Data'!$O$1:$O$1044=Invoice!$E$3)*(ROW('Raw Data'!$O$1:O1060)-ROW('Raw Data'!$O$1)),ROWS($A$44:E60)))),"")</f>
        <v/>
      </c>
    </row>
    <row r="61" spans="2:7" ht="14.4" customHeight="1">
      <c r="B61" s="31" t="str">
        <f>IFERROR(INDEX('Raw Data'!$P$2:$P$1044,_xlfn.AGGREGATE(15,3,('Raw Data'!$O$1:$O$1044=Invoice!$E$3)/('Raw Data'!$O$1:$O$1044=Invoice!$E$3)*(ROW('Raw Data'!$O$1:O1061)-ROW('Raw Data'!$O$1)),ROWS($A$44:A61))),"")</f>
        <v/>
      </c>
      <c r="C61" s="36" t="str">
        <f>IFERROR(INDEX('Raw Data'!$C$2:$C$1044,_xlfn.AGGREGATE(15,3,('Raw Data'!$O$1:$O$1044=Invoice!$E$3)/('Raw Data'!$O$1:$O$1044=Invoice!$E$3)*(ROW('Raw Data'!$O$1:O1061)-ROW('Raw Data'!$O$1)),ROWS($A$44:A61))),"")</f>
        <v/>
      </c>
      <c r="D61" s="36" t="str">
        <f>IFERROR(INDEX('Raw Data'!$R$2:$R$1044,_xlfn.AGGREGATE(15,3,('Raw Data'!$O$1:$O$1044=Invoice!$E$3)/('Raw Data'!$O$1:$O$1044=Invoice!$E$3)*(ROW('Raw Data'!$O$1:O1061)-ROW('Raw Data'!$O$1)),ROWS($A$44:B61))),"")</f>
        <v/>
      </c>
      <c r="E61" s="252" t="str">
        <f>IFERROR(INDEX('Raw Data'!$N$3:$N$1045,_xlfn.AGGREGATE(15,3,('Raw Data'!$O$1:$O$1044=Invoice!$E$3)/('Raw Data'!$O$1:$O$1044=Invoice!$E$3)*(ROW('Raw Data'!$O$1:O1061)-ROW('Raw Data'!$O$1)),ROWS($A$44:B61))),"")</f>
        <v/>
      </c>
      <c r="F61" s="252"/>
      <c r="G61" s="37" t="str">
        <f>IFERROR(_xlfn.SINGLE(INDEX('Raw Data'!#REF!,_xlfn.AGGREGATE(15,3,('Raw Data'!$O$1:$O$1044=Invoice!$E$3)/('Raw Data'!$O$1:$O$1044=Invoice!$E$3)*(ROW('Raw Data'!$O$1:O1061)-ROW('Raw Data'!$O$1)),ROWS($A$44:E61)))),"")</f>
        <v/>
      </c>
    </row>
    <row r="62" spans="2:7" ht="14.4" customHeight="1">
      <c r="B62" s="31" t="str">
        <f>IFERROR(INDEX('Raw Data'!$P$2:$P$1044,_xlfn.AGGREGATE(15,3,('Raw Data'!$O$1:$O$1044=Invoice!$E$3)/('Raw Data'!$O$1:$O$1044=Invoice!$E$3)*(ROW('Raw Data'!$O$1:O1062)-ROW('Raw Data'!$O$1)),ROWS($A$44:A62))),"")</f>
        <v/>
      </c>
      <c r="C62" s="36" t="str">
        <f>IFERROR(INDEX('Raw Data'!$C$2:$C$1044,_xlfn.AGGREGATE(15,3,('Raw Data'!$O$1:$O$1044=Invoice!$E$3)/('Raw Data'!$O$1:$O$1044=Invoice!$E$3)*(ROW('Raw Data'!$O$1:O1062)-ROW('Raw Data'!$O$1)),ROWS($A$44:A62))),"")</f>
        <v/>
      </c>
      <c r="D62" s="36" t="str">
        <f>IFERROR(INDEX('Raw Data'!$R$2:$R$1044,_xlfn.AGGREGATE(15,3,('Raw Data'!$O$1:$O$1044=Invoice!$E$3)/('Raw Data'!$O$1:$O$1044=Invoice!$E$3)*(ROW('Raw Data'!$O$1:O1062)-ROW('Raw Data'!$O$1)),ROWS($A$44:B62))),"")</f>
        <v/>
      </c>
      <c r="E62" s="252" t="str">
        <f>IFERROR(INDEX('Raw Data'!$N$3:$N$1045,_xlfn.AGGREGATE(15,3,('Raw Data'!$O$1:$O$1044=Invoice!$E$3)/('Raw Data'!$O$1:$O$1044=Invoice!$E$3)*(ROW('Raw Data'!$O$1:O1062)-ROW('Raw Data'!$O$1)),ROWS($A$44:B62))),"")</f>
        <v/>
      </c>
      <c r="F62" s="252"/>
      <c r="G62" s="37" t="str">
        <f>IFERROR(_xlfn.SINGLE(INDEX('Raw Data'!#REF!,_xlfn.AGGREGATE(15,3,('Raw Data'!$O$1:$O$1044=Invoice!$E$3)/('Raw Data'!$O$1:$O$1044=Invoice!$E$3)*(ROW('Raw Data'!$O$1:O1062)-ROW('Raw Data'!$O$1)),ROWS($A$44:E62)))),"")</f>
        <v/>
      </c>
    </row>
    <row r="63" spans="2:7" ht="14.4" customHeight="1">
      <c r="B63" s="31" t="str">
        <f>IFERROR(INDEX('Raw Data'!$P$2:$P$1044,_xlfn.AGGREGATE(15,3,('Raw Data'!$O$1:$O$1044=Invoice!$E$3)/('Raw Data'!$O$1:$O$1044=Invoice!$E$3)*(ROW('Raw Data'!$O$1:O1063)-ROW('Raw Data'!$O$1)),ROWS($A$44:A63))),"")</f>
        <v/>
      </c>
      <c r="C63" s="36" t="str">
        <f>IFERROR(INDEX('Raw Data'!$C$2:$C$1044,_xlfn.AGGREGATE(15,3,('Raw Data'!$O$1:$O$1044=Invoice!$E$3)/('Raw Data'!$O$1:$O$1044=Invoice!$E$3)*(ROW('Raw Data'!$O$1:O1063)-ROW('Raw Data'!$O$1)),ROWS($A$44:A63))),"")</f>
        <v/>
      </c>
      <c r="D63" s="36" t="str">
        <f>IFERROR(INDEX('Raw Data'!$R$2:$R$1044,_xlfn.AGGREGATE(15,3,('Raw Data'!$O$1:$O$1044=Invoice!$E$3)/('Raw Data'!$O$1:$O$1044=Invoice!$E$3)*(ROW('Raw Data'!$O$1:O1063)-ROW('Raw Data'!$O$1)),ROWS($A$44:B63))),"")</f>
        <v/>
      </c>
      <c r="E63" s="252" t="str">
        <f>IFERROR(INDEX('Raw Data'!$N$3:$N$1045,_xlfn.AGGREGATE(15,3,('Raw Data'!$O$1:$O$1044=Invoice!$E$3)/('Raw Data'!$O$1:$O$1044=Invoice!$E$3)*(ROW('Raw Data'!$O$1:O1063)-ROW('Raw Data'!$O$1)),ROWS($A$44:B63))),"")</f>
        <v/>
      </c>
      <c r="F63" s="252"/>
      <c r="G63" s="37" t="str">
        <f>IFERROR(_xlfn.SINGLE(INDEX('Raw Data'!#REF!,_xlfn.AGGREGATE(15,3,('Raw Data'!$O$1:$O$1044=Invoice!$E$3)/('Raw Data'!$O$1:$O$1044=Invoice!$E$3)*(ROW('Raw Data'!$O$1:O1063)-ROW('Raw Data'!$O$1)),ROWS($A$44:E63)))),"")</f>
        <v/>
      </c>
    </row>
    <row r="64" spans="2:7" ht="14.4">
      <c r="B64" s="31" t="str">
        <f>IFERROR(INDEX('Raw Data'!$P$2:$P$1044,_xlfn.AGGREGATE(15,3,('Raw Data'!$O$1:$O$1044=Invoice!$E$3)/('Raw Data'!$O$1:$O$1044=Invoice!$E$3)*(ROW('Raw Data'!$O$1:O1064)-ROW('Raw Data'!$O$1)),ROWS($A$44:A64))),"")</f>
        <v/>
      </c>
      <c r="C64" s="36" t="str">
        <f>IFERROR(INDEX('Raw Data'!$C$2:$C$1044,_xlfn.AGGREGATE(15,3,('Raw Data'!$O$1:$O$1044=Invoice!$E$3)/('Raw Data'!$O$1:$O$1044=Invoice!$E$3)*(ROW('Raw Data'!$O$1:O1064)-ROW('Raw Data'!$O$1)),ROWS($A$44:A64))),"")</f>
        <v/>
      </c>
      <c r="D64" s="36" t="str">
        <f>IFERROR(INDEX('Raw Data'!$R$2:$R$1044,_xlfn.AGGREGATE(15,3,('Raw Data'!$O$1:$O$1044=Invoice!$E$3)/('Raw Data'!$O$1:$O$1044=Invoice!$E$3)*(ROW('Raw Data'!$O$1:O1064)-ROW('Raw Data'!$O$1)),ROWS($A$44:B64))),"")</f>
        <v/>
      </c>
      <c r="E64" s="252" t="str">
        <f>IFERROR(INDEX('Raw Data'!$N$3:$N$1045,_xlfn.AGGREGATE(15,3,('Raw Data'!$O$1:$O$1044=Invoice!$E$3)/('Raw Data'!$O$1:$O$1044=Invoice!$E$3)*(ROW('Raw Data'!$O$1:O1064)-ROW('Raw Data'!$O$1)),ROWS($A$44:B64))),"")</f>
        <v/>
      </c>
      <c r="F64" s="252"/>
      <c r="G64" s="37" t="str">
        <f>IFERROR(_xlfn.SINGLE(INDEX('Raw Data'!#REF!,_xlfn.AGGREGATE(15,3,('Raw Data'!$O$1:$O$1044=Invoice!$E$3)/('Raw Data'!$O$1:$O$1044=Invoice!$E$3)*(ROW('Raw Data'!$O$1:O1064)-ROW('Raw Data'!$O$1)),ROWS($A$44:E64)))),"")</f>
        <v/>
      </c>
    </row>
    <row r="65" spans="2:7" ht="14.4">
      <c r="B65" s="31" t="str">
        <f>IFERROR(INDEX('Raw Data'!$P$2:$P$1044,_xlfn.AGGREGATE(15,3,('Raw Data'!$O$1:$O$1044=Invoice!$E$3)/('Raw Data'!$O$1:$O$1044=Invoice!$E$3)*(ROW('Raw Data'!$O$1:O1065)-ROW('Raw Data'!$O$1)),ROWS($A$44:A65))),"")</f>
        <v/>
      </c>
      <c r="C65" s="36" t="str">
        <f>IFERROR(INDEX('Raw Data'!$C$2:$C$1044,_xlfn.AGGREGATE(15,3,('Raw Data'!$O$1:$O$1044=Invoice!$E$3)/('Raw Data'!$O$1:$O$1044=Invoice!$E$3)*(ROW('Raw Data'!$O$1:O1065)-ROW('Raw Data'!$O$1)),ROWS($A$44:A65))),"")</f>
        <v/>
      </c>
      <c r="D65" s="36" t="str">
        <f>IFERROR(INDEX('Raw Data'!$R$2:$R$1044,_xlfn.AGGREGATE(15,3,('Raw Data'!$O$1:$O$1044=Invoice!$E$3)/('Raw Data'!$O$1:$O$1044=Invoice!$E$3)*(ROW('Raw Data'!$O$1:O1065)-ROW('Raw Data'!$O$1)),ROWS($A$44:B65))),"")</f>
        <v/>
      </c>
      <c r="E65" s="252" t="str">
        <f>IFERROR(INDEX('Raw Data'!$N$3:$N$1045,_xlfn.AGGREGATE(15,3,('Raw Data'!$O$1:$O$1044=Invoice!$E$3)/('Raw Data'!$O$1:$O$1044=Invoice!$E$3)*(ROW('Raw Data'!$O$1:O1065)-ROW('Raw Data'!$O$1)),ROWS($A$44:B65))),"")</f>
        <v/>
      </c>
      <c r="F65" s="252"/>
      <c r="G65" s="37" t="str">
        <f>IFERROR(_xlfn.SINGLE(INDEX('Raw Data'!#REF!,_xlfn.AGGREGATE(15,3,('Raw Data'!$O$1:$O$1044=Invoice!$E$3)/('Raw Data'!$O$1:$O$1044=Invoice!$E$3)*(ROW('Raw Data'!$O$1:O1065)-ROW('Raw Data'!$O$1)),ROWS($A$44:E65)))),"")</f>
        <v/>
      </c>
    </row>
    <row r="66" spans="2:7" ht="14.4">
      <c r="B66" s="31" t="str">
        <f>IFERROR(INDEX('Raw Data'!$P$2:$P$1044,_xlfn.AGGREGATE(15,3,('Raw Data'!$O$1:$O$1044=Invoice!$E$3)/('Raw Data'!$O$1:$O$1044=Invoice!$E$3)*(ROW('Raw Data'!$O$1:O1066)-ROW('Raw Data'!$O$1)),ROWS($A$44:A66))),"")</f>
        <v/>
      </c>
      <c r="C66" s="36" t="str">
        <f>IFERROR(INDEX('Raw Data'!$C$2:$C$1044,_xlfn.AGGREGATE(15,3,('Raw Data'!$O$1:$O$1044=Invoice!$E$3)/('Raw Data'!$O$1:$O$1044=Invoice!$E$3)*(ROW('Raw Data'!$O$1:O1066)-ROW('Raw Data'!$O$1)),ROWS($A$44:A66))),"")</f>
        <v/>
      </c>
      <c r="D66" s="36" t="str">
        <f>IFERROR(INDEX('Raw Data'!$R$2:$R$1044,_xlfn.AGGREGATE(15,3,('Raw Data'!$O$1:$O$1044=Invoice!$E$3)/('Raw Data'!$O$1:$O$1044=Invoice!$E$3)*(ROW('Raw Data'!$O$1:O1066)-ROW('Raw Data'!$O$1)),ROWS($A$44:B66))),"")</f>
        <v/>
      </c>
      <c r="E66" s="252" t="str">
        <f>IFERROR(INDEX('Raw Data'!$N$3:$N$1045,_xlfn.AGGREGATE(15,3,('Raw Data'!$O$1:$O$1044=Invoice!$E$3)/('Raw Data'!$O$1:$O$1044=Invoice!$E$3)*(ROW('Raw Data'!$O$1:O1066)-ROW('Raw Data'!$O$1)),ROWS($A$44:B66))),"")</f>
        <v/>
      </c>
      <c r="F66" s="252"/>
      <c r="G66" s="37" t="str">
        <f>IFERROR(_xlfn.SINGLE(INDEX('Raw Data'!#REF!,_xlfn.AGGREGATE(15,3,('Raw Data'!$O$1:$O$1044=Invoice!$E$3)/('Raw Data'!$O$1:$O$1044=Invoice!$E$3)*(ROW('Raw Data'!$O$1:O1066)-ROW('Raw Data'!$O$1)),ROWS($A$44:E66)))),"")</f>
        <v/>
      </c>
    </row>
    <row r="67" spans="2:7" ht="14.4">
      <c r="B67" s="31" t="str">
        <f>IFERROR(INDEX('Raw Data'!$P$2:$P$1044,_xlfn.AGGREGATE(15,3,('Raw Data'!$O$1:$O$1044=Invoice!$E$3)/('Raw Data'!$O$1:$O$1044=Invoice!$E$3)*(ROW('Raw Data'!$O$1:O1067)-ROW('Raw Data'!$O$1)),ROWS($A$44:A67))),"")</f>
        <v/>
      </c>
      <c r="C67" s="36" t="str">
        <f>IFERROR(INDEX('Raw Data'!$C$2:$C$1044,_xlfn.AGGREGATE(15,3,('Raw Data'!$O$1:$O$1044=Invoice!$E$3)/('Raw Data'!$O$1:$O$1044=Invoice!$E$3)*(ROW('Raw Data'!$O$1:O1067)-ROW('Raw Data'!$O$1)),ROWS($A$44:A67))),"")</f>
        <v/>
      </c>
      <c r="D67" s="36" t="str">
        <f>IFERROR(INDEX('Raw Data'!$R$2:$R$1044,_xlfn.AGGREGATE(15,3,('Raw Data'!$O$1:$O$1044=Invoice!$E$3)/('Raw Data'!$O$1:$O$1044=Invoice!$E$3)*(ROW('Raw Data'!$O$1:O1067)-ROW('Raw Data'!$O$1)),ROWS($A$44:B67))),"")</f>
        <v/>
      </c>
      <c r="E67" s="252" t="str">
        <f>IFERROR(INDEX('Raw Data'!$N$3:$N$1045,_xlfn.AGGREGATE(15,3,('Raw Data'!$O$1:$O$1044=Invoice!$E$3)/('Raw Data'!$O$1:$O$1044=Invoice!$E$3)*(ROW('Raw Data'!$O$1:O1067)-ROW('Raw Data'!$O$1)),ROWS($A$44:B67))),"")</f>
        <v/>
      </c>
      <c r="F67" s="252"/>
      <c r="G67" s="37" t="str">
        <f>IFERROR(_xlfn.SINGLE(INDEX('Raw Data'!#REF!,_xlfn.AGGREGATE(15,3,('Raw Data'!$O$1:$O$1044=Invoice!$E$3)/('Raw Data'!$O$1:$O$1044=Invoice!$E$3)*(ROW('Raw Data'!$O$1:O1067)-ROW('Raw Data'!$O$1)),ROWS($A$44:E67)))),"")</f>
        <v/>
      </c>
    </row>
    <row r="68" spans="2:7" ht="14.4">
      <c r="B68" s="31" t="str">
        <f>IFERROR(INDEX('Raw Data'!$P$2:$P$1044,_xlfn.AGGREGATE(15,3,('Raw Data'!$O$1:$O$1044=Invoice!$E$3)/('Raw Data'!$O$1:$O$1044=Invoice!$E$3)*(ROW('Raw Data'!$O$1:O1068)-ROW('Raw Data'!$O$1)),ROWS($A$44:A68))),"")</f>
        <v/>
      </c>
      <c r="C68" s="36" t="str">
        <f>IFERROR(INDEX('Raw Data'!$C$2:$C$1044,_xlfn.AGGREGATE(15,3,('Raw Data'!$O$1:$O$1044=Invoice!$E$3)/('Raw Data'!$O$1:$O$1044=Invoice!$E$3)*(ROW('Raw Data'!$O$1:O1068)-ROW('Raw Data'!$O$1)),ROWS($A$44:A68))),"")</f>
        <v/>
      </c>
      <c r="D68" s="36" t="str">
        <f>IFERROR(INDEX('Raw Data'!$R$2:$R$1044,_xlfn.AGGREGATE(15,3,('Raw Data'!$O$1:$O$1044=Invoice!$E$3)/('Raw Data'!$O$1:$O$1044=Invoice!$E$3)*(ROW('Raw Data'!$O$1:O1068)-ROW('Raw Data'!$O$1)),ROWS($A$44:B68))),"")</f>
        <v/>
      </c>
      <c r="E68" s="252" t="str">
        <f>IFERROR(INDEX('Raw Data'!$N$3:$N$1045,_xlfn.AGGREGATE(15,3,('Raw Data'!$O$1:$O$1044=Invoice!$E$3)/('Raw Data'!$O$1:$O$1044=Invoice!$E$3)*(ROW('Raw Data'!$O$1:O1068)-ROW('Raw Data'!$O$1)),ROWS($A$44:B68))),"")</f>
        <v/>
      </c>
      <c r="F68" s="252"/>
      <c r="G68" s="37" t="str">
        <f>IFERROR(_xlfn.SINGLE(INDEX('Raw Data'!#REF!,_xlfn.AGGREGATE(15,3,('Raw Data'!$O$1:$O$1044=Invoice!$E$3)/('Raw Data'!$O$1:$O$1044=Invoice!$E$3)*(ROW('Raw Data'!$O$1:O1068)-ROW('Raw Data'!$O$1)),ROWS($A$44:E68)))),"")</f>
        <v/>
      </c>
    </row>
    <row r="69" spans="2:7" ht="14.4">
      <c r="B69" s="31" t="str">
        <f>IFERROR(INDEX('Raw Data'!$P$2:$P$1044,_xlfn.AGGREGATE(15,3,('Raw Data'!$O$1:$O$1044=Invoice!$E$3)/('Raw Data'!$O$1:$O$1044=Invoice!$E$3)*(ROW('Raw Data'!$O$1:O1069)-ROW('Raw Data'!$O$1)),ROWS($A$44:A69))),"")</f>
        <v/>
      </c>
      <c r="C69" s="36" t="str">
        <f>IFERROR(INDEX('Raw Data'!$C$2:$C$1044,_xlfn.AGGREGATE(15,3,('Raw Data'!$O$1:$O$1044=Invoice!$E$3)/('Raw Data'!$O$1:$O$1044=Invoice!$E$3)*(ROW('Raw Data'!$O$1:O1069)-ROW('Raw Data'!$O$1)),ROWS($A$44:A69))),"")</f>
        <v/>
      </c>
      <c r="D69" s="36" t="str">
        <f>IFERROR(INDEX('Raw Data'!$R$2:$R$1044,_xlfn.AGGREGATE(15,3,('Raw Data'!$O$1:$O$1044=Invoice!$E$3)/('Raw Data'!$O$1:$O$1044=Invoice!$E$3)*(ROW('Raw Data'!$O$1:O1069)-ROW('Raw Data'!$O$1)),ROWS($A$44:B69))),"")</f>
        <v/>
      </c>
      <c r="E69" s="252" t="str">
        <f>IFERROR(INDEX('Raw Data'!$N$3:$N$1045,_xlfn.AGGREGATE(15,3,('Raw Data'!$O$1:$O$1044=Invoice!$E$3)/('Raw Data'!$O$1:$O$1044=Invoice!$E$3)*(ROW('Raw Data'!$O$1:O1069)-ROW('Raw Data'!$O$1)),ROWS($A$44:B69))),"")</f>
        <v/>
      </c>
      <c r="F69" s="252"/>
      <c r="G69" s="37" t="str">
        <f>IFERROR(_xlfn.SINGLE(INDEX('Raw Data'!#REF!,_xlfn.AGGREGATE(15,3,('Raw Data'!$O$1:$O$1044=Invoice!$E$3)/('Raw Data'!$O$1:$O$1044=Invoice!$E$3)*(ROW('Raw Data'!$O$1:O1069)-ROW('Raw Data'!$O$1)),ROWS($A$44:E69)))),"")</f>
        <v/>
      </c>
    </row>
    <row r="70" spans="2:7" ht="14.4">
      <c r="B70" s="31" t="str">
        <f>IFERROR(INDEX('Raw Data'!$P$2:$P$1044,_xlfn.AGGREGATE(15,3,('Raw Data'!$O$1:$O$1044=Invoice!$E$3)/('Raw Data'!$O$1:$O$1044=Invoice!$E$3)*(ROW('Raw Data'!$O$1:O1070)-ROW('Raw Data'!$O$1)),ROWS($A$44:A70))),"")</f>
        <v/>
      </c>
      <c r="C70" s="36" t="str">
        <f>IFERROR(INDEX('Raw Data'!$C$2:$C$1044,_xlfn.AGGREGATE(15,3,('Raw Data'!$O$1:$O$1044=Invoice!$E$3)/('Raw Data'!$O$1:$O$1044=Invoice!$E$3)*(ROW('Raw Data'!$O$1:O1070)-ROW('Raw Data'!$O$1)),ROWS($A$44:A70))),"")</f>
        <v/>
      </c>
      <c r="D70" s="36" t="str">
        <f>IFERROR(INDEX('Raw Data'!$R$2:$R$1044,_xlfn.AGGREGATE(15,3,('Raw Data'!$O$1:$O$1044=Invoice!$E$3)/('Raw Data'!$O$1:$O$1044=Invoice!$E$3)*(ROW('Raw Data'!$O$1:O1070)-ROW('Raw Data'!$O$1)),ROWS($A$44:B70))),"")</f>
        <v/>
      </c>
      <c r="E70" s="252" t="str">
        <f>IFERROR(INDEX('Raw Data'!$N$3:$N$1045,_xlfn.AGGREGATE(15,3,('Raw Data'!$O$1:$O$1044=Invoice!$E$3)/('Raw Data'!$O$1:$O$1044=Invoice!$E$3)*(ROW('Raw Data'!$O$1:O1070)-ROW('Raw Data'!$O$1)),ROWS($A$44:B70))),"")</f>
        <v/>
      </c>
      <c r="F70" s="252"/>
      <c r="G70" s="37" t="str">
        <f>IFERROR(_xlfn.SINGLE(INDEX('Raw Data'!#REF!,_xlfn.AGGREGATE(15,3,('Raw Data'!$O$1:$O$1044=Invoice!$E$3)/('Raw Data'!$O$1:$O$1044=Invoice!$E$3)*(ROW('Raw Data'!$O$1:O1070)-ROW('Raw Data'!$O$1)),ROWS($A$44:E70)))),"")</f>
        <v/>
      </c>
    </row>
    <row r="71" spans="2:7" ht="14.4">
      <c r="B71" s="31" t="str">
        <f>IFERROR(INDEX('Raw Data'!$P$2:$P$1044,_xlfn.AGGREGATE(15,3,('Raw Data'!$O$1:$O$1044=Invoice!$E$3)/('Raw Data'!$O$1:$O$1044=Invoice!$E$3)*(ROW('Raw Data'!$O$1:O1071)-ROW('Raw Data'!$O$1)),ROWS($A$44:A71))),"")</f>
        <v/>
      </c>
      <c r="C71" s="36" t="str">
        <f>IFERROR(INDEX('Raw Data'!$C$2:$C$1044,_xlfn.AGGREGATE(15,3,('Raw Data'!$O$1:$O$1044=Invoice!$E$3)/('Raw Data'!$O$1:$O$1044=Invoice!$E$3)*(ROW('Raw Data'!$O$1:O1071)-ROW('Raw Data'!$O$1)),ROWS($A$44:A71))),"")</f>
        <v/>
      </c>
      <c r="D71" s="36" t="str">
        <f>IFERROR(INDEX('Raw Data'!$R$2:$R$1044,_xlfn.AGGREGATE(15,3,('Raw Data'!$O$1:$O$1044=Invoice!$E$3)/('Raw Data'!$O$1:$O$1044=Invoice!$E$3)*(ROW('Raw Data'!$O$1:O1071)-ROW('Raw Data'!$O$1)),ROWS($A$44:B71))),"")</f>
        <v/>
      </c>
      <c r="E71" s="252" t="str">
        <f>IFERROR(INDEX('Raw Data'!$N$3:$N$1045,_xlfn.AGGREGATE(15,3,('Raw Data'!$O$1:$O$1044=Invoice!$E$3)/('Raw Data'!$O$1:$O$1044=Invoice!$E$3)*(ROW('Raw Data'!$O$1:O1071)-ROW('Raw Data'!$O$1)),ROWS($A$44:B71))),"")</f>
        <v/>
      </c>
      <c r="F71" s="252"/>
      <c r="G71" s="37" t="str">
        <f>IFERROR(_xlfn.SINGLE(INDEX('Raw Data'!#REF!,_xlfn.AGGREGATE(15,3,('Raw Data'!$O$1:$O$1044=Invoice!$E$3)/('Raw Data'!$O$1:$O$1044=Invoice!$E$3)*(ROW('Raw Data'!$O$1:O1071)-ROW('Raw Data'!$O$1)),ROWS($A$44:E71)))),"")</f>
        <v/>
      </c>
    </row>
    <row r="72" spans="2:7" ht="14.4">
      <c r="B72" s="31" t="str">
        <f>IFERROR(INDEX('Raw Data'!$P$2:$P$1044,_xlfn.AGGREGATE(15,3,('Raw Data'!$O$1:$O$1044=Invoice!$E$3)/('Raw Data'!$O$1:$O$1044=Invoice!$E$3)*(ROW('Raw Data'!$O$1:O1072)-ROW('Raw Data'!$O$1)),ROWS($A$44:A72))),"")</f>
        <v/>
      </c>
      <c r="C72" s="36" t="str">
        <f>IFERROR(INDEX('Raw Data'!$C$2:$C$1044,_xlfn.AGGREGATE(15,3,('Raw Data'!$O$1:$O$1044=Invoice!$E$3)/('Raw Data'!$O$1:$O$1044=Invoice!$E$3)*(ROW('Raw Data'!$O$1:O1072)-ROW('Raw Data'!$O$1)),ROWS($A$44:A72))),"")</f>
        <v/>
      </c>
      <c r="D72" s="36" t="str">
        <f>IFERROR(INDEX('Raw Data'!$R$2:$R$1044,_xlfn.AGGREGATE(15,3,('Raw Data'!$O$1:$O$1044=Invoice!$E$3)/('Raw Data'!$O$1:$O$1044=Invoice!$E$3)*(ROW('Raw Data'!$O$1:O1072)-ROW('Raw Data'!$O$1)),ROWS($A$44:B72))),"")</f>
        <v/>
      </c>
      <c r="E72" s="252" t="str">
        <f>IFERROR(INDEX('Raw Data'!$N$3:$N$1045,_xlfn.AGGREGATE(15,3,('Raw Data'!$O$1:$O$1044=Invoice!$E$3)/('Raw Data'!$O$1:$O$1044=Invoice!$E$3)*(ROW('Raw Data'!$O$1:O1072)-ROW('Raw Data'!$O$1)),ROWS($A$44:B72))),"")</f>
        <v/>
      </c>
      <c r="F72" s="252"/>
      <c r="G72" s="37" t="str">
        <f>IFERROR(_xlfn.SINGLE(INDEX('Raw Data'!#REF!,_xlfn.AGGREGATE(15,3,('Raw Data'!$O$1:$O$1044=Invoice!$E$3)/('Raw Data'!$O$1:$O$1044=Invoice!$E$3)*(ROW('Raw Data'!$O$1:O1072)-ROW('Raw Data'!$O$1)),ROWS($A$44:E72)))),"")</f>
        <v/>
      </c>
    </row>
    <row r="73" spans="2:7" ht="14.4">
      <c r="B73" s="31" t="str">
        <f>IFERROR(INDEX('Raw Data'!$P$2:$P$1044,_xlfn.AGGREGATE(15,3,('Raw Data'!$O$1:$O$1044=Invoice!$E$3)/('Raw Data'!$O$1:$O$1044=Invoice!$E$3)*(ROW('Raw Data'!$O$1:O1073)-ROW('Raw Data'!$O$1)),ROWS($A$44:A73))),"")</f>
        <v/>
      </c>
      <c r="C73" s="36" t="str">
        <f>IFERROR(INDEX('Raw Data'!$C$2:$C$1044,_xlfn.AGGREGATE(15,3,('Raw Data'!$O$1:$O$1044=Invoice!$E$3)/('Raw Data'!$O$1:$O$1044=Invoice!$E$3)*(ROW('Raw Data'!$O$1:O1073)-ROW('Raw Data'!$O$1)),ROWS($A$44:A73))),"")</f>
        <v/>
      </c>
      <c r="D73" s="36" t="str">
        <f>IFERROR(INDEX('Raw Data'!$R$2:$R$1044,_xlfn.AGGREGATE(15,3,('Raw Data'!$O$1:$O$1044=Invoice!$E$3)/('Raw Data'!$O$1:$O$1044=Invoice!$E$3)*(ROW('Raw Data'!$O$1:O1073)-ROW('Raw Data'!$O$1)),ROWS($A$44:B73))),"")</f>
        <v/>
      </c>
      <c r="E73" s="252" t="str">
        <f>IFERROR(INDEX('Raw Data'!$N$3:$N$1045,_xlfn.AGGREGATE(15,3,('Raw Data'!$O$1:$O$1044=Invoice!$E$3)/('Raw Data'!$O$1:$O$1044=Invoice!$E$3)*(ROW('Raw Data'!$O$1:O1073)-ROW('Raw Data'!$O$1)),ROWS($A$44:B73))),"")</f>
        <v/>
      </c>
      <c r="F73" s="252"/>
      <c r="G73" s="37" t="str">
        <f>IFERROR(_xlfn.SINGLE(INDEX('Raw Data'!#REF!,_xlfn.AGGREGATE(15,3,('Raw Data'!$O$1:$O$1044=Invoice!$E$3)/('Raw Data'!$O$1:$O$1044=Invoice!$E$3)*(ROW('Raw Data'!$O$1:O1073)-ROW('Raw Data'!$O$1)),ROWS($A$44:E73)))),"")</f>
        <v/>
      </c>
    </row>
    <row r="74" spans="2:7" ht="14.4">
      <c r="B74" s="31" t="str">
        <f>IFERROR(INDEX('Raw Data'!$P$2:$P$1044,_xlfn.AGGREGATE(15,3,('Raw Data'!$O$1:$O$1044=Invoice!$E$3)/('Raw Data'!$O$1:$O$1044=Invoice!$E$3)*(ROW('Raw Data'!$O$1:O1074)-ROW('Raw Data'!$O$1)),ROWS($A$44:A74))),"")</f>
        <v/>
      </c>
      <c r="C74" s="36" t="str">
        <f>IFERROR(INDEX('Raw Data'!$C$2:$C$1044,_xlfn.AGGREGATE(15,3,('Raw Data'!$O$1:$O$1044=Invoice!$E$3)/('Raw Data'!$O$1:$O$1044=Invoice!$E$3)*(ROW('Raw Data'!$O$1:O1074)-ROW('Raw Data'!$O$1)),ROWS($A$44:A74))),"")</f>
        <v/>
      </c>
      <c r="D74" s="36" t="str">
        <f>IFERROR(INDEX('Raw Data'!$R$2:$R$1044,_xlfn.AGGREGATE(15,3,('Raw Data'!$O$1:$O$1044=Invoice!$E$3)/('Raw Data'!$O$1:$O$1044=Invoice!$E$3)*(ROW('Raw Data'!$O$1:O1074)-ROW('Raw Data'!$O$1)),ROWS($A$44:B74))),"")</f>
        <v/>
      </c>
      <c r="E74" s="252" t="str">
        <f>IFERROR(INDEX('Raw Data'!$N$3:$N$1045,_xlfn.AGGREGATE(15,3,('Raw Data'!$O$1:$O$1044=Invoice!$E$3)/('Raw Data'!$O$1:$O$1044=Invoice!$E$3)*(ROW('Raw Data'!$O$1:O1074)-ROW('Raw Data'!$O$1)),ROWS($A$44:B74))),"")</f>
        <v/>
      </c>
      <c r="F74" s="252"/>
      <c r="G74" s="37" t="str">
        <f>IFERROR(_xlfn.SINGLE(INDEX('Raw Data'!#REF!,_xlfn.AGGREGATE(15,3,('Raw Data'!$O$1:$O$1044=Invoice!$E$3)/('Raw Data'!$O$1:$O$1044=Invoice!$E$3)*(ROW('Raw Data'!$O$1:O1074)-ROW('Raw Data'!$O$1)),ROWS($A$44:E74)))),"")</f>
        <v/>
      </c>
    </row>
    <row r="75" spans="2:7" ht="14.4">
      <c r="B75" s="31" t="str">
        <f>IFERROR(INDEX('Raw Data'!$P$2:$P$1044,_xlfn.AGGREGATE(15,3,('Raw Data'!$O$1:$O$1044=Invoice!$E$3)/('Raw Data'!$O$1:$O$1044=Invoice!$E$3)*(ROW('Raw Data'!$O$1:O1075)-ROW('Raw Data'!$O$1)),ROWS($A$44:A75))),"")</f>
        <v/>
      </c>
      <c r="C75" s="36" t="str">
        <f>IFERROR(INDEX('Raw Data'!$C$2:$C$1044,_xlfn.AGGREGATE(15,3,('Raw Data'!$O$1:$O$1044=Invoice!$E$3)/('Raw Data'!$O$1:$O$1044=Invoice!$E$3)*(ROW('Raw Data'!$O$1:O1075)-ROW('Raw Data'!$O$1)),ROWS($A$44:A75))),"")</f>
        <v/>
      </c>
      <c r="D75" s="36" t="str">
        <f>IFERROR(INDEX('Raw Data'!$R$2:$R$1044,_xlfn.AGGREGATE(15,3,('Raw Data'!$O$1:$O$1044=Invoice!$E$3)/('Raw Data'!$O$1:$O$1044=Invoice!$E$3)*(ROW('Raw Data'!$O$1:O1075)-ROW('Raw Data'!$O$1)),ROWS($A$44:B75))),"")</f>
        <v/>
      </c>
      <c r="E75" s="252" t="str">
        <f>IFERROR(INDEX('Raw Data'!$N$3:$N$1045,_xlfn.AGGREGATE(15,3,('Raw Data'!$O$1:$O$1044=Invoice!$E$3)/('Raw Data'!$O$1:$O$1044=Invoice!$E$3)*(ROW('Raw Data'!$O$1:O1075)-ROW('Raw Data'!$O$1)),ROWS($A$44:B75))),"")</f>
        <v/>
      </c>
      <c r="F75" s="252"/>
      <c r="G75" s="37" t="str">
        <f>IFERROR(_xlfn.SINGLE(INDEX('Raw Data'!#REF!,_xlfn.AGGREGATE(15,3,('Raw Data'!$O$1:$O$1044=Invoice!$E$3)/('Raw Data'!$O$1:$O$1044=Invoice!$E$3)*(ROW('Raw Data'!$O$1:O1075)-ROW('Raw Data'!$O$1)),ROWS($A$44:E75)))),"")</f>
        <v/>
      </c>
    </row>
    <row r="76" spans="2:7" ht="14.4">
      <c r="B76" s="31" t="str">
        <f>IFERROR(INDEX('Raw Data'!$P$2:$P$1044,_xlfn.AGGREGATE(15,3,('Raw Data'!$O$1:$O$1044=Invoice!$E$3)/('Raw Data'!$O$1:$O$1044=Invoice!$E$3)*(ROW('Raw Data'!$O$1:O1076)-ROW('Raw Data'!$O$1)),ROWS($A$44:A76))),"")</f>
        <v/>
      </c>
      <c r="C76" s="36" t="str">
        <f>IFERROR(INDEX('Raw Data'!$C$2:$C$1044,_xlfn.AGGREGATE(15,3,('Raw Data'!$O$1:$O$1044=Invoice!$E$3)/('Raw Data'!$O$1:$O$1044=Invoice!$E$3)*(ROW('Raw Data'!$O$1:O1076)-ROW('Raw Data'!$O$1)),ROWS($A$44:A76))),"")</f>
        <v/>
      </c>
      <c r="D76" s="36" t="str">
        <f>IFERROR(INDEX('Raw Data'!$R$2:$R$1044,_xlfn.AGGREGATE(15,3,('Raw Data'!$O$1:$O$1044=Invoice!$E$3)/('Raw Data'!$O$1:$O$1044=Invoice!$E$3)*(ROW('Raw Data'!$O$1:O1076)-ROW('Raw Data'!$O$1)),ROWS($A$44:B76))),"")</f>
        <v/>
      </c>
      <c r="E76" s="252" t="str">
        <f>IFERROR(INDEX('Raw Data'!$N$3:$N$1045,_xlfn.AGGREGATE(15,3,('Raw Data'!$O$1:$O$1044=Invoice!$E$3)/('Raw Data'!$O$1:$O$1044=Invoice!$E$3)*(ROW('Raw Data'!$O$1:O1076)-ROW('Raw Data'!$O$1)),ROWS($A$44:B76))),"")</f>
        <v/>
      </c>
      <c r="F76" s="252"/>
      <c r="G76" s="37" t="str">
        <f>IFERROR(_xlfn.SINGLE(INDEX('Raw Data'!#REF!,_xlfn.AGGREGATE(15,3,('Raw Data'!$O$1:$O$1044=Invoice!$E$3)/('Raw Data'!$O$1:$O$1044=Invoice!$E$3)*(ROW('Raw Data'!$O$1:O1076)-ROW('Raw Data'!$O$1)),ROWS($A$44:E76)))),"")</f>
        <v/>
      </c>
    </row>
    <row r="77" spans="2:7" ht="14.4">
      <c r="B77" s="31" t="str">
        <f>IFERROR(INDEX('Raw Data'!$P$2:$P$1044,_xlfn.AGGREGATE(15,3,('Raw Data'!$O$1:$O$1044=Invoice!$E$3)/('Raw Data'!$O$1:$O$1044=Invoice!$E$3)*(ROW('Raw Data'!$O$1:O1077)-ROW('Raw Data'!$O$1)),ROWS($A$44:A77))),"")</f>
        <v/>
      </c>
      <c r="C77" s="36" t="str">
        <f>IFERROR(INDEX('Raw Data'!$C$2:$C$1044,_xlfn.AGGREGATE(15,3,('Raw Data'!$O$1:$O$1044=Invoice!$E$3)/('Raw Data'!$O$1:$O$1044=Invoice!$E$3)*(ROW('Raw Data'!$O$1:O1077)-ROW('Raw Data'!$O$1)),ROWS($A$44:A77))),"")</f>
        <v/>
      </c>
      <c r="D77" s="36" t="str">
        <f>IFERROR(INDEX('Raw Data'!$R$2:$R$1044,_xlfn.AGGREGATE(15,3,('Raw Data'!$O$1:$O$1044=Invoice!$E$3)/('Raw Data'!$O$1:$O$1044=Invoice!$E$3)*(ROW('Raw Data'!$O$1:O1077)-ROW('Raw Data'!$O$1)),ROWS($A$44:B77))),"")</f>
        <v/>
      </c>
      <c r="E77" s="252" t="str">
        <f>IFERROR(INDEX('Raw Data'!$N$3:$N$1045,_xlfn.AGGREGATE(15,3,('Raw Data'!$O$1:$O$1044=Invoice!$E$3)/('Raw Data'!$O$1:$O$1044=Invoice!$E$3)*(ROW('Raw Data'!$O$1:O1077)-ROW('Raw Data'!$O$1)),ROWS($A$44:B77))),"")</f>
        <v/>
      </c>
      <c r="F77" s="252"/>
      <c r="G77" s="37" t="str">
        <f>IFERROR(_xlfn.SINGLE(INDEX('Raw Data'!#REF!,_xlfn.AGGREGATE(15,3,('Raw Data'!$O$1:$O$1044=Invoice!$E$3)/('Raw Data'!$O$1:$O$1044=Invoice!$E$3)*(ROW('Raw Data'!$O$1:O1077)-ROW('Raw Data'!$O$1)),ROWS($A$44:E77)))),"")</f>
        <v/>
      </c>
    </row>
    <row r="78" spans="2:7" ht="14.4">
      <c r="B78" s="31" t="str">
        <f>IFERROR(INDEX('Raw Data'!$P$2:$P$1044,_xlfn.AGGREGATE(15,3,('Raw Data'!$O$1:$O$1044=Invoice!$E$3)/('Raw Data'!$O$1:$O$1044=Invoice!$E$3)*(ROW('Raw Data'!$O$1:O1078)-ROW('Raw Data'!$O$1)),ROWS($A$44:A78))),"")</f>
        <v/>
      </c>
      <c r="C78" s="36" t="str">
        <f>IFERROR(INDEX('Raw Data'!$C$2:$C$1044,_xlfn.AGGREGATE(15,3,('Raw Data'!$O$1:$O$1044=Invoice!$E$3)/('Raw Data'!$O$1:$O$1044=Invoice!$E$3)*(ROW('Raw Data'!$O$1:O1078)-ROW('Raw Data'!$O$1)),ROWS($A$44:A78))),"")</f>
        <v/>
      </c>
      <c r="D78" s="36" t="str">
        <f>IFERROR(INDEX('Raw Data'!$R$2:$R$1044,_xlfn.AGGREGATE(15,3,('Raw Data'!$O$1:$O$1044=Invoice!$E$3)/('Raw Data'!$O$1:$O$1044=Invoice!$E$3)*(ROW('Raw Data'!$O$1:O1078)-ROW('Raw Data'!$O$1)),ROWS($A$44:B78))),"")</f>
        <v/>
      </c>
      <c r="E78" s="252" t="str">
        <f>IFERROR(INDEX('Raw Data'!$N$3:$N$1045,_xlfn.AGGREGATE(15,3,('Raw Data'!$O$1:$O$1044=Invoice!$E$3)/('Raw Data'!$O$1:$O$1044=Invoice!$E$3)*(ROW('Raw Data'!$O$1:O1078)-ROW('Raw Data'!$O$1)),ROWS($A$44:B78))),"")</f>
        <v/>
      </c>
      <c r="F78" s="252"/>
      <c r="G78" s="37" t="str">
        <f>IFERROR(_xlfn.SINGLE(INDEX('Raw Data'!#REF!,_xlfn.AGGREGATE(15,3,('Raw Data'!$O$1:$O$1044=Invoice!$E$3)/('Raw Data'!$O$1:$O$1044=Invoice!$E$3)*(ROW('Raw Data'!$O$1:O1078)-ROW('Raw Data'!$O$1)),ROWS($A$44:E78)))),"")</f>
        <v/>
      </c>
    </row>
    <row r="79" spans="2:7" ht="14.4">
      <c r="B79" s="31" t="str">
        <f>IFERROR(INDEX('Raw Data'!$P$2:$P$1044,_xlfn.AGGREGATE(15,3,('Raw Data'!$O$1:$O$1044=Invoice!$E$3)/('Raw Data'!$O$1:$O$1044=Invoice!$E$3)*(ROW('Raw Data'!$O$1:O1079)-ROW('Raw Data'!$O$1)),ROWS($A$44:A79))),"")</f>
        <v/>
      </c>
      <c r="C79" s="36" t="str">
        <f>IFERROR(INDEX('Raw Data'!$C$2:$C$1044,_xlfn.AGGREGATE(15,3,('Raw Data'!$O$1:$O$1044=Invoice!$E$3)/('Raw Data'!$O$1:$O$1044=Invoice!$E$3)*(ROW('Raw Data'!$O$1:O1079)-ROW('Raw Data'!$O$1)),ROWS($A$44:A79))),"")</f>
        <v/>
      </c>
      <c r="D79" s="36" t="str">
        <f>IFERROR(INDEX('Raw Data'!$R$2:$R$1044,_xlfn.AGGREGATE(15,3,('Raw Data'!$O$1:$O$1044=Invoice!$E$3)/('Raw Data'!$O$1:$O$1044=Invoice!$E$3)*(ROW('Raw Data'!$O$1:O1079)-ROW('Raw Data'!$O$1)),ROWS($A$44:B79))),"")</f>
        <v/>
      </c>
      <c r="E79" s="252" t="str">
        <f>IFERROR(INDEX('Raw Data'!$N$3:$N$1045,_xlfn.AGGREGATE(15,3,('Raw Data'!$O$1:$O$1044=Invoice!$E$3)/('Raw Data'!$O$1:$O$1044=Invoice!$E$3)*(ROW('Raw Data'!$O$1:O1079)-ROW('Raw Data'!$O$1)),ROWS($A$44:B79))),"")</f>
        <v/>
      </c>
      <c r="F79" s="252"/>
      <c r="G79" s="37" t="str">
        <f>IFERROR(_xlfn.SINGLE(INDEX('Raw Data'!#REF!,_xlfn.AGGREGATE(15,3,('Raw Data'!$O$1:$O$1044=Invoice!$E$3)/('Raw Data'!$O$1:$O$1044=Invoice!$E$3)*(ROW('Raw Data'!$O$1:O1079)-ROW('Raw Data'!$O$1)),ROWS($A$44:E79)))),"")</f>
        <v/>
      </c>
    </row>
    <row r="80" spans="2:7" ht="14.4">
      <c r="B80" s="31" t="str">
        <f>IFERROR(INDEX('Raw Data'!$P$2:$P$1044,_xlfn.AGGREGATE(15,3,('Raw Data'!$O$1:$O$1044=Invoice!$E$3)/('Raw Data'!$O$1:$O$1044=Invoice!$E$3)*(ROW('Raw Data'!$O$1:O1080)-ROW('Raw Data'!$O$1)),ROWS($A$44:A80))),"")</f>
        <v/>
      </c>
      <c r="C80" s="36" t="str">
        <f>IFERROR(INDEX('Raw Data'!$C$2:$C$1044,_xlfn.AGGREGATE(15,3,('Raw Data'!$O$1:$O$1044=Invoice!$E$3)/('Raw Data'!$O$1:$O$1044=Invoice!$E$3)*(ROW('Raw Data'!$O$1:O1080)-ROW('Raw Data'!$O$1)),ROWS($A$44:A80))),"")</f>
        <v/>
      </c>
      <c r="D80" s="36" t="str">
        <f>IFERROR(INDEX('Raw Data'!$R$2:$R$1044,_xlfn.AGGREGATE(15,3,('Raw Data'!$O$1:$O$1044=Invoice!$E$3)/('Raw Data'!$O$1:$O$1044=Invoice!$E$3)*(ROW('Raw Data'!$O$1:O1080)-ROW('Raw Data'!$O$1)),ROWS($A$44:B80))),"")</f>
        <v/>
      </c>
      <c r="E80" s="252" t="str">
        <f>IFERROR(INDEX('Raw Data'!$N$3:$N$1045,_xlfn.AGGREGATE(15,3,('Raw Data'!$O$1:$O$1044=Invoice!$E$3)/('Raw Data'!$O$1:$O$1044=Invoice!$E$3)*(ROW('Raw Data'!$O$1:O1080)-ROW('Raw Data'!$O$1)),ROWS($A$44:B80))),"")</f>
        <v/>
      </c>
      <c r="F80" s="252"/>
      <c r="G80" s="37" t="str">
        <f>IFERROR(_xlfn.SINGLE(INDEX('Raw Data'!#REF!,_xlfn.AGGREGATE(15,3,('Raw Data'!$O$1:$O$1044=Invoice!$E$3)/('Raw Data'!$O$1:$O$1044=Invoice!$E$3)*(ROW('Raw Data'!$O$1:O1080)-ROW('Raw Data'!$O$1)),ROWS($A$44:E80)))),"")</f>
        <v/>
      </c>
    </row>
    <row r="81" spans="2:7" ht="14.4">
      <c r="B81" s="31" t="str">
        <f>IFERROR(INDEX('Raw Data'!$P$2:$P$1044,_xlfn.AGGREGATE(15,3,('Raw Data'!$O$1:$O$1044=Invoice!$E$3)/('Raw Data'!$O$1:$O$1044=Invoice!$E$3)*(ROW('Raw Data'!$O$1:O1081)-ROW('Raw Data'!$O$1)),ROWS($A$44:A81))),"")</f>
        <v/>
      </c>
      <c r="C81" s="36" t="str">
        <f>IFERROR(INDEX('Raw Data'!$C$2:$C$1044,_xlfn.AGGREGATE(15,3,('Raw Data'!$O$1:$O$1044=Invoice!$E$3)/('Raw Data'!$O$1:$O$1044=Invoice!$E$3)*(ROW('Raw Data'!$O$1:O1081)-ROW('Raw Data'!$O$1)),ROWS($A$44:A81))),"")</f>
        <v/>
      </c>
      <c r="D81" s="36" t="str">
        <f>IFERROR(INDEX('Raw Data'!$R$2:$R$1044,_xlfn.AGGREGATE(15,3,('Raw Data'!$O$1:$O$1044=Invoice!$E$3)/('Raw Data'!$O$1:$O$1044=Invoice!$E$3)*(ROW('Raw Data'!$O$1:O1081)-ROW('Raw Data'!$O$1)),ROWS($A$44:B81))),"")</f>
        <v/>
      </c>
      <c r="E81" s="252" t="str">
        <f>IFERROR(INDEX('Raw Data'!$N$3:$N$1045,_xlfn.AGGREGATE(15,3,('Raw Data'!$O$1:$O$1044=Invoice!$E$3)/('Raw Data'!$O$1:$O$1044=Invoice!$E$3)*(ROW('Raw Data'!$O$1:O1081)-ROW('Raw Data'!$O$1)),ROWS($A$44:B81))),"")</f>
        <v/>
      </c>
      <c r="F81" s="252"/>
      <c r="G81" s="37" t="str">
        <f>IFERROR(_xlfn.SINGLE(INDEX('Raw Data'!#REF!,_xlfn.AGGREGATE(15,3,('Raw Data'!$O$1:$O$1044=Invoice!$E$3)/('Raw Data'!$O$1:$O$1044=Invoice!$E$3)*(ROW('Raw Data'!$O$1:O1081)-ROW('Raw Data'!$O$1)),ROWS($A$44:E81)))),"")</f>
        <v/>
      </c>
    </row>
    <row r="82" spans="2:7" ht="14.4">
      <c r="B82" s="31" t="str">
        <f>IFERROR(INDEX('Raw Data'!$P$2:$P$1044,_xlfn.AGGREGATE(15,3,('Raw Data'!$O$1:$O$1044=Invoice!$E$3)/('Raw Data'!$O$1:$O$1044=Invoice!$E$3)*(ROW('Raw Data'!$O$1:O1082)-ROW('Raw Data'!$O$1)),ROWS($A$44:A82))),"")</f>
        <v/>
      </c>
      <c r="C82" s="36" t="str">
        <f>IFERROR(INDEX('Raw Data'!$C$2:$C$1044,_xlfn.AGGREGATE(15,3,('Raw Data'!$O$1:$O$1044=Invoice!$E$3)/('Raw Data'!$O$1:$O$1044=Invoice!$E$3)*(ROW('Raw Data'!$O$1:O1082)-ROW('Raw Data'!$O$1)),ROWS($A$44:A82))),"")</f>
        <v/>
      </c>
      <c r="D82" s="36" t="str">
        <f>IFERROR(INDEX('Raw Data'!$R$2:$R$1044,_xlfn.AGGREGATE(15,3,('Raw Data'!$O$1:$O$1044=Invoice!$E$3)/('Raw Data'!$O$1:$O$1044=Invoice!$E$3)*(ROW('Raw Data'!$O$1:O1082)-ROW('Raw Data'!$O$1)),ROWS($A$44:B82))),"")</f>
        <v/>
      </c>
      <c r="E82" s="252" t="str">
        <f>IFERROR(INDEX('Raw Data'!$N$3:$N$1045,_xlfn.AGGREGATE(15,3,('Raw Data'!$O$1:$O$1044=Invoice!$E$3)/('Raw Data'!$O$1:$O$1044=Invoice!$E$3)*(ROW('Raw Data'!$O$1:O1082)-ROW('Raw Data'!$O$1)),ROWS($A$44:B82))),"")</f>
        <v/>
      </c>
      <c r="F82" s="252"/>
      <c r="G82" s="37" t="str">
        <f>IFERROR(_xlfn.SINGLE(INDEX('Raw Data'!#REF!,_xlfn.AGGREGATE(15,3,('Raw Data'!$O$1:$O$1044=Invoice!$E$3)/('Raw Data'!$O$1:$O$1044=Invoice!$E$3)*(ROW('Raw Data'!$O$1:O1082)-ROW('Raw Data'!$O$1)),ROWS($A$44:E82)))),"")</f>
        <v/>
      </c>
    </row>
    <row r="83" spans="2:7" ht="14.4">
      <c r="B83" s="31" t="str">
        <f>IFERROR(INDEX('Raw Data'!$P$2:$P$1044,_xlfn.AGGREGATE(15,3,('Raw Data'!$O$1:$O$1044=Invoice!$E$3)/('Raw Data'!$O$1:$O$1044=Invoice!$E$3)*(ROW('Raw Data'!$O$1:O1083)-ROW('Raw Data'!$O$1)),ROWS($A$44:A83))),"")</f>
        <v/>
      </c>
      <c r="C83" s="36" t="str">
        <f>IFERROR(INDEX('Raw Data'!$C$2:$C$1044,_xlfn.AGGREGATE(15,3,('Raw Data'!$O$1:$O$1044=Invoice!$E$3)/('Raw Data'!$O$1:$O$1044=Invoice!$E$3)*(ROW('Raw Data'!$O$1:O1083)-ROW('Raw Data'!$O$1)),ROWS($A$44:A83))),"")</f>
        <v/>
      </c>
      <c r="D83" s="36" t="str">
        <f>IFERROR(INDEX('Raw Data'!$R$2:$R$1044,_xlfn.AGGREGATE(15,3,('Raw Data'!$O$1:$O$1044=Invoice!$E$3)/('Raw Data'!$O$1:$O$1044=Invoice!$E$3)*(ROW('Raw Data'!$O$1:O1083)-ROW('Raw Data'!$O$1)),ROWS($A$44:B83))),"")</f>
        <v/>
      </c>
      <c r="E83" s="252" t="str">
        <f>IFERROR(INDEX('Raw Data'!$N$3:$N$1045,_xlfn.AGGREGATE(15,3,('Raw Data'!$O$1:$O$1044=Invoice!$E$3)/('Raw Data'!$O$1:$O$1044=Invoice!$E$3)*(ROW('Raw Data'!$O$1:O1083)-ROW('Raw Data'!$O$1)),ROWS($A$44:B83))),"")</f>
        <v/>
      </c>
      <c r="F83" s="252"/>
      <c r="G83" s="37" t="str">
        <f>IFERROR(_xlfn.SINGLE(INDEX('Raw Data'!#REF!,_xlfn.AGGREGATE(15,3,('Raw Data'!$O$1:$O$1044=Invoice!$E$3)/('Raw Data'!$O$1:$O$1044=Invoice!$E$3)*(ROW('Raw Data'!$O$1:O1083)-ROW('Raw Data'!$O$1)),ROWS($A$44:E83)))),"")</f>
        <v/>
      </c>
    </row>
    <row r="84" spans="2:7" ht="14.4">
      <c r="B84" s="31" t="str">
        <f>IFERROR(INDEX('Raw Data'!$P$2:$P$1044,_xlfn.AGGREGATE(15,3,('Raw Data'!$O$1:$O$1044=Invoice!$E$3)/('Raw Data'!$O$1:$O$1044=Invoice!$E$3)*(ROW('Raw Data'!$O$1:O1084)-ROW('Raw Data'!$O$1)),ROWS($A$44:A84))),"")</f>
        <v/>
      </c>
      <c r="C84" s="36" t="str">
        <f>IFERROR(INDEX('Raw Data'!$C$2:$C$1044,_xlfn.AGGREGATE(15,3,('Raw Data'!$O$1:$O$1044=Invoice!$E$3)/('Raw Data'!$O$1:$O$1044=Invoice!$E$3)*(ROW('Raw Data'!$O$1:O1084)-ROW('Raw Data'!$O$1)),ROWS($A$44:A84))),"")</f>
        <v/>
      </c>
      <c r="D84" s="36" t="str">
        <f>IFERROR(INDEX('Raw Data'!$R$2:$R$1044,_xlfn.AGGREGATE(15,3,('Raw Data'!$O$1:$O$1044=Invoice!$E$3)/('Raw Data'!$O$1:$O$1044=Invoice!$E$3)*(ROW('Raw Data'!$O$1:O1084)-ROW('Raw Data'!$O$1)),ROWS($A$44:B84))),"")</f>
        <v/>
      </c>
      <c r="E84" s="252" t="str">
        <f>IFERROR(INDEX('Raw Data'!$N$3:$N$1045,_xlfn.AGGREGATE(15,3,('Raw Data'!$O$1:$O$1044=Invoice!$E$3)/('Raw Data'!$O$1:$O$1044=Invoice!$E$3)*(ROW('Raw Data'!$O$1:O1084)-ROW('Raw Data'!$O$1)),ROWS($A$44:B84))),"")</f>
        <v/>
      </c>
      <c r="F84" s="252"/>
      <c r="G84" s="37" t="str">
        <f>IFERROR(_xlfn.SINGLE(INDEX('Raw Data'!#REF!,_xlfn.AGGREGATE(15,3,('Raw Data'!$O$1:$O$1044=Invoice!$E$3)/('Raw Data'!$O$1:$O$1044=Invoice!$E$3)*(ROW('Raw Data'!$O$1:O1084)-ROW('Raw Data'!$O$1)),ROWS($A$44:E84)))),"")</f>
        <v/>
      </c>
    </row>
    <row r="85" spans="2:7" ht="14.4">
      <c r="B85" s="31" t="str">
        <f>IFERROR(INDEX('Raw Data'!$P$2:$P$1044,_xlfn.AGGREGATE(15,3,('Raw Data'!$O$1:$O$1044=Invoice!$E$3)/('Raw Data'!$O$1:$O$1044=Invoice!$E$3)*(ROW('Raw Data'!$O$1:O1085)-ROW('Raw Data'!$O$1)),ROWS($A$44:A85))),"")</f>
        <v/>
      </c>
      <c r="C85" s="36" t="str">
        <f>IFERROR(INDEX('Raw Data'!$C$2:$C$1044,_xlfn.AGGREGATE(15,3,('Raw Data'!$O$1:$O$1044=Invoice!$E$3)/('Raw Data'!$O$1:$O$1044=Invoice!$E$3)*(ROW('Raw Data'!$O$1:O1085)-ROW('Raw Data'!$O$1)),ROWS($A$44:A85))),"")</f>
        <v/>
      </c>
      <c r="D85" s="36" t="str">
        <f>IFERROR(INDEX('Raw Data'!$R$2:$R$1044,_xlfn.AGGREGATE(15,3,('Raw Data'!$O$1:$O$1044=Invoice!$E$3)/('Raw Data'!$O$1:$O$1044=Invoice!$E$3)*(ROW('Raw Data'!$O$1:O1085)-ROW('Raw Data'!$O$1)),ROWS($A$44:B85))),"")</f>
        <v/>
      </c>
      <c r="E85" s="252" t="str">
        <f>IFERROR(INDEX('Raw Data'!$N$3:$N$1045,_xlfn.AGGREGATE(15,3,('Raw Data'!$O$1:$O$1044=Invoice!$E$3)/('Raw Data'!$O$1:$O$1044=Invoice!$E$3)*(ROW('Raw Data'!$O$1:O1085)-ROW('Raw Data'!$O$1)),ROWS($A$44:B85))),"")</f>
        <v/>
      </c>
      <c r="F85" s="252"/>
      <c r="G85" s="37" t="str">
        <f>IFERROR(_xlfn.SINGLE(INDEX('Raw Data'!#REF!,_xlfn.AGGREGATE(15,3,('Raw Data'!$O$1:$O$1044=Invoice!$E$3)/('Raw Data'!$O$1:$O$1044=Invoice!$E$3)*(ROW('Raw Data'!$O$1:O1085)-ROW('Raw Data'!$O$1)),ROWS($A$44:E85)))),"")</f>
        <v/>
      </c>
    </row>
    <row r="86" spans="2:7" ht="14.4">
      <c r="B86" s="31" t="str">
        <f>IFERROR(INDEX('Raw Data'!$P$2:$P$1044,_xlfn.AGGREGATE(15,3,('Raw Data'!$O$1:$O$1044=Invoice!$E$3)/('Raw Data'!$O$1:$O$1044=Invoice!$E$3)*(ROW('Raw Data'!$O$1:O1086)-ROW('Raw Data'!$O$1)),ROWS($A$44:A86))),"")</f>
        <v/>
      </c>
      <c r="C86" s="36" t="str">
        <f>IFERROR(INDEX('Raw Data'!$C$2:$C$1044,_xlfn.AGGREGATE(15,3,('Raw Data'!$O$1:$O$1044=Invoice!$E$3)/('Raw Data'!$O$1:$O$1044=Invoice!$E$3)*(ROW('Raw Data'!$O$1:O1086)-ROW('Raw Data'!$O$1)),ROWS($A$44:A86))),"")</f>
        <v/>
      </c>
      <c r="D86" s="36" t="str">
        <f>IFERROR(INDEX('Raw Data'!$R$2:$R$1044,_xlfn.AGGREGATE(15,3,('Raw Data'!$O$1:$O$1044=Invoice!$E$3)/('Raw Data'!$O$1:$O$1044=Invoice!$E$3)*(ROW('Raw Data'!$O$1:O1086)-ROW('Raw Data'!$O$1)),ROWS($A$44:B86))),"")</f>
        <v/>
      </c>
      <c r="E86" s="252" t="str">
        <f>IFERROR(INDEX('Raw Data'!$N$3:$N$1045,_xlfn.AGGREGATE(15,3,('Raw Data'!$O$1:$O$1044=Invoice!$E$3)/('Raw Data'!$O$1:$O$1044=Invoice!$E$3)*(ROW('Raw Data'!$O$1:O1086)-ROW('Raw Data'!$O$1)),ROWS($A$44:B86))),"")</f>
        <v/>
      </c>
      <c r="F86" s="252"/>
      <c r="G86" s="37" t="str">
        <f>IFERROR(_xlfn.SINGLE(INDEX('Raw Data'!#REF!,_xlfn.AGGREGATE(15,3,('Raw Data'!$O$1:$O$1044=Invoice!$E$3)/('Raw Data'!$O$1:$O$1044=Invoice!$E$3)*(ROW('Raw Data'!$O$1:O1086)-ROW('Raw Data'!$O$1)),ROWS($A$44:E86)))),"")</f>
        <v/>
      </c>
    </row>
    <row r="87" spans="2:7" ht="14.4">
      <c r="B87" s="31" t="str">
        <f>IFERROR(INDEX('Raw Data'!$P$2:$P$1044,_xlfn.AGGREGATE(15,3,('Raw Data'!$O$1:$O$1044=Invoice!$E$3)/('Raw Data'!$O$1:$O$1044=Invoice!$E$3)*(ROW('Raw Data'!$O$1:O1087)-ROW('Raw Data'!$O$1)),ROWS($A$44:A87))),"")</f>
        <v/>
      </c>
      <c r="C87" s="36" t="str">
        <f>IFERROR(INDEX('Raw Data'!$C$2:$C$1044,_xlfn.AGGREGATE(15,3,('Raw Data'!$O$1:$O$1044=Invoice!$E$3)/('Raw Data'!$O$1:$O$1044=Invoice!$E$3)*(ROW('Raw Data'!$O$1:O1087)-ROW('Raw Data'!$O$1)),ROWS($A$44:A87))),"")</f>
        <v/>
      </c>
      <c r="D87" s="36" t="str">
        <f>IFERROR(INDEX('Raw Data'!$R$2:$R$1044,_xlfn.AGGREGATE(15,3,('Raw Data'!$O$1:$O$1044=Invoice!$E$3)/('Raw Data'!$O$1:$O$1044=Invoice!$E$3)*(ROW('Raw Data'!$O$1:O1087)-ROW('Raw Data'!$O$1)),ROWS($A$44:B87))),"")</f>
        <v/>
      </c>
      <c r="E87" s="252" t="str">
        <f>IFERROR(INDEX('Raw Data'!$N$3:$N$1045,_xlfn.AGGREGATE(15,3,('Raw Data'!$O$1:$O$1044=Invoice!$E$3)/('Raw Data'!$O$1:$O$1044=Invoice!$E$3)*(ROW('Raw Data'!$O$1:O1087)-ROW('Raw Data'!$O$1)),ROWS($A$44:B87))),"")</f>
        <v/>
      </c>
      <c r="F87" s="252"/>
      <c r="G87" s="37" t="str">
        <f>IFERROR(_xlfn.SINGLE(INDEX('Raw Data'!#REF!,_xlfn.AGGREGATE(15,3,('Raw Data'!$O$1:$O$1044=Invoice!$E$3)/('Raw Data'!$O$1:$O$1044=Invoice!$E$3)*(ROW('Raw Data'!$O$1:O1087)-ROW('Raw Data'!$O$1)),ROWS($A$44:E87)))),"")</f>
        <v/>
      </c>
    </row>
    <row r="88" spans="2:7" ht="30" customHeight="1">
      <c r="B88" s="31" t="str">
        <f>IFERROR(INDEX('Raw Data'!$P$2:$P$1044,_xlfn.AGGREGATE(15,3,('Raw Data'!$O$1:$O$1044=Invoice!$E$3)/('Raw Data'!$O$1:$O$1044=Invoice!$E$3)*(ROW('Raw Data'!$O$1:O1088)-ROW('Raw Data'!$O$1)),ROWS($A$44:A88))),"")</f>
        <v/>
      </c>
      <c r="C88" s="36" t="str">
        <f>IFERROR(INDEX('Raw Data'!$C$2:$C$1044,_xlfn.AGGREGATE(15,3,('Raw Data'!$O$1:$O$1044=Invoice!$E$3)/('Raw Data'!$O$1:$O$1044=Invoice!$E$3)*(ROW('Raw Data'!$O$1:O1088)-ROW('Raw Data'!$O$1)),ROWS($A$44:A88))),"")</f>
        <v/>
      </c>
      <c r="D88" s="36" t="str">
        <f>IFERROR(INDEX('Raw Data'!$R$2:$R$1044,_xlfn.AGGREGATE(15,3,('Raw Data'!$O$1:$O$1044=Invoice!$E$3)/('Raw Data'!$O$1:$O$1044=Invoice!$E$3)*(ROW('Raw Data'!$O$1:O1088)-ROW('Raw Data'!$O$1)),ROWS($A$44:B88))),"")</f>
        <v/>
      </c>
      <c r="E88" s="252" t="str">
        <f>IFERROR(INDEX('Raw Data'!$N$3:$N$1045,_xlfn.AGGREGATE(15,3,('Raw Data'!$O$1:$O$1044=Invoice!$E$3)/('Raw Data'!$O$1:$O$1044=Invoice!$E$3)*(ROW('Raw Data'!$O$1:O1088)-ROW('Raw Data'!$O$1)),ROWS($A$44:B88))),"")</f>
        <v/>
      </c>
      <c r="F88" s="252"/>
      <c r="G88" s="37" t="str">
        <f>IFERROR(_xlfn.SINGLE(INDEX('Raw Data'!#REF!,_xlfn.AGGREGATE(15,3,('Raw Data'!$O$1:$O$1044=Invoice!$E$3)/('Raw Data'!$O$1:$O$1044=Invoice!$E$3)*(ROW('Raw Data'!$O$1:O1088)-ROW('Raw Data'!$O$1)),ROWS($A$44:E88)))),"")</f>
        <v/>
      </c>
    </row>
    <row r="89" spans="2:7" ht="30" customHeight="1">
      <c r="B89" s="31" t="str">
        <f>IFERROR(INDEX('Raw Data'!$P$2:$P$1044,_xlfn.AGGREGATE(15,3,('Raw Data'!$O$1:$O$1044=Invoice!$E$3)/('Raw Data'!$O$1:$O$1044=Invoice!$E$3)*(ROW('Raw Data'!$O$1:O1089)-ROW('Raw Data'!$O$1)),ROWS($A$44:A89))),"")</f>
        <v/>
      </c>
      <c r="C89" s="36" t="str">
        <f>IFERROR(INDEX('Raw Data'!$C$2:$C$1044,_xlfn.AGGREGATE(15,3,('Raw Data'!$O$1:$O$1044=Invoice!$E$3)/('Raw Data'!$O$1:$O$1044=Invoice!$E$3)*(ROW('Raw Data'!$O$1:O1089)-ROW('Raw Data'!$O$1)),ROWS($A$44:A89))),"")</f>
        <v/>
      </c>
      <c r="D89" s="36" t="str">
        <f>IFERROR(INDEX('Raw Data'!$R$2:$R$1044,_xlfn.AGGREGATE(15,3,('Raw Data'!$O$1:$O$1044=Invoice!$E$3)/('Raw Data'!$O$1:$O$1044=Invoice!$E$3)*(ROW('Raw Data'!$O$1:O1089)-ROW('Raw Data'!$O$1)),ROWS($A$44:B89))),"")</f>
        <v/>
      </c>
      <c r="E89" s="252" t="str">
        <f>IFERROR(INDEX('Raw Data'!$N$3:$N$1045,_xlfn.AGGREGATE(15,3,('Raw Data'!$O$1:$O$1044=Invoice!$E$3)/('Raw Data'!$O$1:$O$1044=Invoice!$E$3)*(ROW('Raw Data'!$O$1:O1089)-ROW('Raw Data'!$O$1)),ROWS($A$44:B89))),"")</f>
        <v/>
      </c>
      <c r="F89" s="252"/>
      <c r="G89" s="37" t="str">
        <f>IFERROR(_xlfn.SINGLE(INDEX('Raw Data'!#REF!,_xlfn.AGGREGATE(15,3,('Raw Data'!$O$1:$O$1044=Invoice!$E$3)/('Raw Data'!$O$1:$O$1044=Invoice!$E$3)*(ROW('Raw Data'!$O$1:O1089)-ROW('Raw Data'!$O$1)),ROWS($A$44:E89)))),"")</f>
        <v/>
      </c>
    </row>
    <row r="90" spans="2:7" ht="30" customHeight="1">
      <c r="B90" s="31" t="str">
        <f>IFERROR(INDEX('Raw Data'!$P$2:$P$1044,_xlfn.AGGREGATE(15,3,('Raw Data'!$O$1:$O$1044=Invoice!$E$3)/('Raw Data'!$O$1:$O$1044=Invoice!$E$3)*(ROW('Raw Data'!$O$1:O1090)-ROW('Raw Data'!$O$1)),ROWS($A$44:A90))),"")</f>
        <v/>
      </c>
      <c r="C90" s="36" t="str">
        <f>IFERROR(INDEX('Raw Data'!$C$2:$C$1044,_xlfn.AGGREGATE(15,3,('Raw Data'!$O$1:$O$1044=Invoice!$E$3)/('Raw Data'!$O$1:$O$1044=Invoice!$E$3)*(ROW('Raw Data'!$O$1:O1090)-ROW('Raw Data'!$O$1)),ROWS($A$44:A90))),"")</f>
        <v/>
      </c>
      <c r="D90" s="36" t="str">
        <f>IFERROR(INDEX('Raw Data'!$R$2:$R$1044,_xlfn.AGGREGATE(15,3,('Raw Data'!$O$1:$O$1044=Invoice!$E$3)/('Raw Data'!$O$1:$O$1044=Invoice!$E$3)*(ROW('Raw Data'!$O$1:O1090)-ROW('Raw Data'!$O$1)),ROWS($A$44:B90))),"")</f>
        <v/>
      </c>
      <c r="E90" s="252" t="str">
        <f>IFERROR(INDEX('Raw Data'!$N$3:$N$1045,_xlfn.AGGREGATE(15,3,('Raw Data'!$O$1:$O$1044=Invoice!$E$3)/('Raw Data'!$O$1:$O$1044=Invoice!$E$3)*(ROW('Raw Data'!$O$1:O1090)-ROW('Raw Data'!$O$1)),ROWS($A$44:B90))),"")</f>
        <v/>
      </c>
      <c r="F90" s="252"/>
      <c r="G90" s="37" t="str">
        <f>IFERROR(_xlfn.SINGLE(INDEX('Raw Data'!#REF!,_xlfn.AGGREGATE(15,3,('Raw Data'!$O$1:$O$1044=Invoice!$E$3)/('Raw Data'!$O$1:$O$1044=Invoice!$E$3)*(ROW('Raw Data'!$O$1:O1090)-ROW('Raw Data'!$O$1)),ROWS($A$44:E90)))),"")</f>
        <v/>
      </c>
    </row>
    <row r="91" spans="2:7" ht="30" customHeight="1">
      <c r="B91" s="31" t="str">
        <f>IFERROR(INDEX('Raw Data'!$P$2:$P$1044,_xlfn.AGGREGATE(15,3,('Raw Data'!$O$1:$O$1044=Invoice!$E$3)/('Raw Data'!$O$1:$O$1044=Invoice!$E$3)*(ROW('Raw Data'!$O$1:O1091)-ROW('Raw Data'!$O$1)),ROWS($A$44:A91))),"")</f>
        <v/>
      </c>
      <c r="C91" s="36" t="str">
        <f>IFERROR(INDEX('Raw Data'!$C$2:$C$1044,_xlfn.AGGREGATE(15,3,('Raw Data'!$O$1:$O$1044=Invoice!$E$3)/('Raw Data'!$O$1:$O$1044=Invoice!$E$3)*(ROW('Raw Data'!$O$1:O1091)-ROW('Raw Data'!$O$1)),ROWS($A$44:A91))),"")</f>
        <v/>
      </c>
      <c r="D91" s="36" t="str">
        <f>IFERROR(INDEX('Raw Data'!$R$2:$R$1044,_xlfn.AGGREGATE(15,3,('Raw Data'!$O$1:$O$1044=Invoice!$E$3)/('Raw Data'!$O$1:$O$1044=Invoice!$E$3)*(ROW('Raw Data'!$O$1:O1091)-ROW('Raw Data'!$O$1)),ROWS($A$44:B91))),"")</f>
        <v/>
      </c>
      <c r="E91" s="252" t="str">
        <f>IFERROR(INDEX('Raw Data'!$N$3:$N$1045,_xlfn.AGGREGATE(15,3,('Raw Data'!$O$1:$O$1044=Invoice!$E$3)/('Raw Data'!$O$1:$O$1044=Invoice!$E$3)*(ROW('Raw Data'!$O$1:O1091)-ROW('Raw Data'!$O$1)),ROWS($A$44:B91))),"")</f>
        <v/>
      </c>
      <c r="F91" s="252"/>
      <c r="G91" s="37" t="str">
        <f>IFERROR(_xlfn.SINGLE(INDEX('Raw Data'!#REF!,_xlfn.AGGREGATE(15,3,('Raw Data'!$O$1:$O$1044=Invoice!$E$3)/('Raw Data'!$O$1:$O$1044=Invoice!$E$3)*(ROW('Raw Data'!$O$1:O1091)-ROW('Raw Data'!$O$1)),ROWS($A$44:E91)))),"")</f>
        <v/>
      </c>
    </row>
    <row r="92" spans="2:7" ht="30" customHeight="1">
      <c r="B92" s="31" t="str">
        <f>IFERROR(INDEX('Raw Data'!$P$2:$P$1044,_xlfn.AGGREGATE(15,3,('Raw Data'!$O$1:$O$1044=Invoice!$E$3)/('Raw Data'!$O$1:$O$1044=Invoice!$E$3)*(ROW('Raw Data'!$O$1:O1092)-ROW('Raw Data'!$O$1)),ROWS($A$44:A92))),"")</f>
        <v/>
      </c>
      <c r="C92" s="36" t="str">
        <f>IFERROR(INDEX('Raw Data'!$C$2:$C$1044,_xlfn.AGGREGATE(15,3,('Raw Data'!$O$1:$O$1044=Invoice!$E$3)/('Raw Data'!$O$1:$O$1044=Invoice!$E$3)*(ROW('Raw Data'!$O$1:O1092)-ROW('Raw Data'!$O$1)),ROWS($A$44:A92))),"")</f>
        <v/>
      </c>
      <c r="D92" s="36" t="str">
        <f>IFERROR(INDEX('Raw Data'!$R$2:$R$1044,_xlfn.AGGREGATE(15,3,('Raw Data'!$O$1:$O$1044=Invoice!$E$3)/('Raw Data'!$O$1:$O$1044=Invoice!$E$3)*(ROW('Raw Data'!$O$1:O1092)-ROW('Raw Data'!$O$1)),ROWS($A$44:B92))),"")</f>
        <v/>
      </c>
      <c r="E92" s="252" t="str">
        <f>IFERROR(INDEX('Raw Data'!$N$3:$N$1045,_xlfn.AGGREGATE(15,3,('Raw Data'!$O$1:$O$1044=Invoice!$E$3)/('Raw Data'!$O$1:$O$1044=Invoice!$E$3)*(ROW('Raw Data'!$O$1:O1092)-ROW('Raw Data'!$O$1)),ROWS($A$44:B92))),"")</f>
        <v/>
      </c>
      <c r="F92" s="252"/>
      <c r="G92" s="37" t="str">
        <f>IFERROR(_xlfn.SINGLE(INDEX('Raw Data'!#REF!,_xlfn.AGGREGATE(15,3,('Raw Data'!$O$1:$O$1044=Invoice!$E$3)/('Raw Data'!$O$1:$O$1044=Invoice!$E$3)*(ROW('Raw Data'!$O$1:O1092)-ROW('Raw Data'!$O$1)),ROWS($A$44:E92)))),"")</f>
        <v/>
      </c>
    </row>
    <row r="93" spans="2:7" ht="30" customHeight="1">
      <c r="B93" s="31" t="str">
        <f>IFERROR(INDEX('Raw Data'!$P$2:$P$1044,_xlfn.AGGREGATE(15,3,('Raw Data'!$O$1:$O$1044=Invoice!$E$3)/('Raw Data'!$O$1:$O$1044=Invoice!$E$3)*(ROW('Raw Data'!$O$1:O1093)-ROW('Raw Data'!$O$1)),ROWS($A$44:A93))),"")</f>
        <v/>
      </c>
      <c r="C93" s="36" t="str">
        <f>IFERROR(INDEX('Raw Data'!$C$2:$C$1044,_xlfn.AGGREGATE(15,3,('Raw Data'!$O$1:$O$1044=Invoice!$E$3)/('Raw Data'!$O$1:$O$1044=Invoice!$E$3)*(ROW('Raw Data'!$O$1:O1093)-ROW('Raw Data'!$O$1)),ROWS($A$44:A93))),"")</f>
        <v/>
      </c>
      <c r="D93" s="36" t="str">
        <f>IFERROR(INDEX('Raw Data'!$R$2:$R$1044,_xlfn.AGGREGATE(15,3,('Raw Data'!$O$1:$O$1044=Invoice!$E$3)/('Raw Data'!$O$1:$O$1044=Invoice!$E$3)*(ROW('Raw Data'!$O$1:O1093)-ROW('Raw Data'!$O$1)),ROWS($A$44:B93))),"")</f>
        <v/>
      </c>
      <c r="E93" s="252" t="str">
        <f>IFERROR(INDEX('Raw Data'!$N$3:$N$1045,_xlfn.AGGREGATE(15,3,('Raw Data'!$O$1:$O$1044=Invoice!$E$3)/('Raw Data'!$O$1:$O$1044=Invoice!$E$3)*(ROW('Raw Data'!$O$1:O1093)-ROW('Raw Data'!$O$1)),ROWS($A$44:B93))),"")</f>
        <v/>
      </c>
      <c r="F93" s="252"/>
      <c r="G93" s="37" t="str">
        <f>IFERROR(_xlfn.SINGLE(INDEX('Raw Data'!#REF!,_xlfn.AGGREGATE(15,3,('Raw Data'!$O$1:$O$1044=Invoice!$E$3)/('Raw Data'!$O$1:$O$1044=Invoice!$E$3)*(ROW('Raw Data'!$O$1:O1093)-ROW('Raw Data'!$O$1)),ROWS($A$44:E93)))),"")</f>
        <v/>
      </c>
    </row>
    <row r="94" spans="2:7" ht="30" customHeight="1">
      <c r="B94" s="31" t="str">
        <f>IFERROR(INDEX('Raw Data'!$P$2:$P$1044,_xlfn.AGGREGATE(15,3,('Raw Data'!$O$1:$O$1044=Invoice!$E$3)/('Raw Data'!$O$1:$O$1044=Invoice!$E$3)*(ROW('Raw Data'!$O$1:O1094)-ROW('Raw Data'!$O$1)),ROWS($A$44:A94))),"")</f>
        <v/>
      </c>
      <c r="C94" s="36" t="str">
        <f>IFERROR(INDEX('Raw Data'!$C$2:$C$1044,_xlfn.AGGREGATE(15,3,('Raw Data'!$O$1:$O$1044=Invoice!$E$3)/('Raw Data'!$O$1:$O$1044=Invoice!$E$3)*(ROW('Raw Data'!$O$1:O1094)-ROW('Raw Data'!$O$1)),ROWS($A$44:A94))),"")</f>
        <v/>
      </c>
      <c r="D94" s="36" t="str">
        <f>IFERROR(INDEX('Raw Data'!$R$2:$R$1044,_xlfn.AGGREGATE(15,3,('Raw Data'!$O$1:$O$1044=Invoice!$E$3)/('Raw Data'!$O$1:$O$1044=Invoice!$E$3)*(ROW('Raw Data'!$O$1:O1094)-ROW('Raw Data'!$O$1)),ROWS($A$44:B94))),"")</f>
        <v/>
      </c>
      <c r="E94" s="252" t="str">
        <f>IFERROR(INDEX('Raw Data'!$N$3:$N$1045,_xlfn.AGGREGATE(15,3,('Raw Data'!$O$1:$O$1044=Invoice!$E$3)/('Raw Data'!$O$1:$O$1044=Invoice!$E$3)*(ROW('Raw Data'!$O$1:O1094)-ROW('Raw Data'!$O$1)),ROWS($A$44:B94))),"")</f>
        <v/>
      </c>
      <c r="F94" s="252"/>
      <c r="G94" s="37" t="str">
        <f>IFERROR(_xlfn.SINGLE(INDEX('Raw Data'!#REF!,_xlfn.AGGREGATE(15,3,('Raw Data'!$O$1:$O$1044=Invoice!$E$3)/('Raw Data'!$O$1:$O$1044=Invoice!$E$3)*(ROW('Raw Data'!$O$1:O1094)-ROW('Raw Data'!$O$1)),ROWS($A$44:E94)))),"")</f>
        <v/>
      </c>
    </row>
    <row r="95" spans="2:7" ht="30" customHeight="1">
      <c r="B95" s="31" t="str">
        <f>IFERROR(INDEX('Raw Data'!$P$2:$P$1044,_xlfn.AGGREGATE(15,3,('Raw Data'!$O$1:$O$1044=Invoice!$E$3)/('Raw Data'!$O$1:$O$1044=Invoice!$E$3)*(ROW('Raw Data'!$O$1:O1095)-ROW('Raw Data'!$O$1)),ROWS($A$44:A95))),"")</f>
        <v/>
      </c>
      <c r="C95" s="36" t="str">
        <f>IFERROR(INDEX('Raw Data'!$C$2:$C$1044,_xlfn.AGGREGATE(15,3,('Raw Data'!$O$1:$O$1044=Invoice!$E$3)/('Raw Data'!$O$1:$O$1044=Invoice!$E$3)*(ROW('Raw Data'!$O$1:O1095)-ROW('Raw Data'!$O$1)),ROWS($A$44:A95))),"")</f>
        <v/>
      </c>
      <c r="D95" s="36" t="str">
        <f>IFERROR(INDEX('Raw Data'!$R$2:$R$1044,_xlfn.AGGREGATE(15,3,('Raw Data'!$O$1:$O$1044=Invoice!$E$3)/('Raw Data'!$O$1:$O$1044=Invoice!$E$3)*(ROW('Raw Data'!$O$1:O1095)-ROW('Raw Data'!$O$1)),ROWS($A$44:B95))),"")</f>
        <v/>
      </c>
      <c r="E95" s="252" t="str">
        <f>IFERROR(INDEX('Raw Data'!$N$3:$N$1045,_xlfn.AGGREGATE(15,3,('Raw Data'!$O$1:$O$1044=Invoice!$E$3)/('Raw Data'!$O$1:$O$1044=Invoice!$E$3)*(ROW('Raw Data'!$O$1:O1095)-ROW('Raw Data'!$O$1)),ROWS($A$44:B95))),"")</f>
        <v/>
      </c>
      <c r="F95" s="252"/>
      <c r="G95" s="37" t="str">
        <f>IFERROR(_xlfn.SINGLE(INDEX('Raw Data'!#REF!,_xlfn.AGGREGATE(15,3,('Raw Data'!$O$1:$O$1044=Invoice!$E$3)/('Raw Data'!$O$1:$O$1044=Invoice!$E$3)*(ROW('Raw Data'!$O$1:O1095)-ROW('Raw Data'!$O$1)),ROWS($A$44:E95)))),"")</f>
        <v/>
      </c>
    </row>
    <row r="96" spans="2:7" ht="30" customHeight="1">
      <c r="B96" s="31" t="str">
        <f>IFERROR(INDEX('Raw Data'!$P$2:$P$1044,_xlfn.AGGREGATE(15,3,('Raw Data'!$O$1:$O$1044=Invoice!$E$3)/('Raw Data'!$O$1:$O$1044=Invoice!$E$3)*(ROW('Raw Data'!$O$1:O1096)-ROW('Raw Data'!$O$1)),ROWS($A$44:A96))),"")</f>
        <v/>
      </c>
      <c r="C96" s="36" t="str">
        <f>IFERROR(INDEX('Raw Data'!$C$2:$C$1044,_xlfn.AGGREGATE(15,3,('Raw Data'!$O$1:$O$1044=Invoice!$E$3)/('Raw Data'!$O$1:$O$1044=Invoice!$E$3)*(ROW('Raw Data'!$O$1:O1096)-ROW('Raw Data'!$O$1)),ROWS($A$44:A96))),"")</f>
        <v/>
      </c>
      <c r="D96" s="36" t="str">
        <f>IFERROR(INDEX('Raw Data'!$R$2:$R$1044,_xlfn.AGGREGATE(15,3,('Raw Data'!$O$1:$O$1044=Invoice!$E$3)/('Raw Data'!$O$1:$O$1044=Invoice!$E$3)*(ROW('Raw Data'!$O$1:O1096)-ROW('Raw Data'!$O$1)),ROWS($A$44:B96))),"")</f>
        <v/>
      </c>
      <c r="E96" s="252" t="str">
        <f>IFERROR(INDEX('Raw Data'!$N$3:$N$1045,_xlfn.AGGREGATE(15,3,('Raw Data'!$O$1:$O$1044=Invoice!$E$3)/('Raw Data'!$O$1:$O$1044=Invoice!$E$3)*(ROW('Raw Data'!$O$1:O1096)-ROW('Raw Data'!$O$1)),ROWS($A$44:B96))),"")</f>
        <v/>
      </c>
      <c r="F96" s="252"/>
      <c r="G96" s="37" t="str">
        <f>IFERROR(_xlfn.SINGLE(INDEX('Raw Data'!#REF!,_xlfn.AGGREGATE(15,3,('Raw Data'!$O$1:$O$1044=Invoice!$E$3)/('Raw Data'!$O$1:$O$1044=Invoice!$E$3)*(ROW('Raw Data'!$O$1:O1096)-ROW('Raw Data'!$O$1)),ROWS($A$44:E96)))),"")</f>
        <v/>
      </c>
    </row>
    <row r="97" spans="2:7" ht="30" customHeight="1">
      <c r="B97" s="31" t="str">
        <f>IFERROR(INDEX('Raw Data'!$P$2:$P$1044,_xlfn.AGGREGATE(15,3,('Raw Data'!$O$1:$O$1044=Invoice!$E$3)/('Raw Data'!$O$1:$O$1044=Invoice!$E$3)*(ROW('Raw Data'!$O$1:O1097)-ROW('Raw Data'!$O$1)),ROWS($A$44:A97))),"")</f>
        <v/>
      </c>
      <c r="C97" s="36" t="str">
        <f>IFERROR(INDEX('Raw Data'!$C$2:$C$1044,_xlfn.AGGREGATE(15,3,('Raw Data'!$O$1:$O$1044=Invoice!$E$3)/('Raw Data'!$O$1:$O$1044=Invoice!$E$3)*(ROW('Raw Data'!$O$1:O1097)-ROW('Raw Data'!$O$1)),ROWS($A$44:A97))),"")</f>
        <v/>
      </c>
      <c r="D97" s="36" t="str">
        <f>IFERROR(INDEX('Raw Data'!$R$2:$R$1044,_xlfn.AGGREGATE(15,3,('Raw Data'!$O$1:$O$1044=Invoice!$E$3)/('Raw Data'!$O$1:$O$1044=Invoice!$E$3)*(ROW('Raw Data'!$O$1:O1097)-ROW('Raw Data'!$O$1)),ROWS($A$44:B97))),"")</f>
        <v/>
      </c>
      <c r="E97" s="252" t="str">
        <f>IFERROR(INDEX('Raw Data'!$N$3:$N$1045,_xlfn.AGGREGATE(15,3,('Raw Data'!$O$1:$O$1044=Invoice!$E$3)/('Raw Data'!$O$1:$O$1044=Invoice!$E$3)*(ROW('Raw Data'!$O$1:O1097)-ROW('Raw Data'!$O$1)),ROWS($A$44:B97))),"")</f>
        <v/>
      </c>
      <c r="F97" s="252"/>
      <c r="G97" s="37" t="str">
        <f>IFERROR(_xlfn.SINGLE(INDEX('Raw Data'!#REF!,_xlfn.AGGREGATE(15,3,('Raw Data'!$O$1:$O$1044=Invoice!$E$3)/('Raw Data'!$O$1:$O$1044=Invoice!$E$3)*(ROW('Raw Data'!$O$1:O1097)-ROW('Raw Data'!$O$1)),ROWS($A$44:E97)))),"")</f>
        <v/>
      </c>
    </row>
    <row r="98" spans="2:7" ht="30" customHeight="1">
      <c r="B98" s="31" t="str">
        <f>IFERROR(INDEX('Raw Data'!$P$2:$P$1044,_xlfn.AGGREGATE(15,3,('Raw Data'!$O$1:$O$1044=Invoice!$E$3)/('Raw Data'!$O$1:$O$1044=Invoice!$E$3)*(ROW('Raw Data'!$O$1:O1098)-ROW('Raw Data'!$O$1)),ROWS($A$44:A98))),"")</f>
        <v/>
      </c>
      <c r="C98" s="36" t="str">
        <f>IFERROR(INDEX('Raw Data'!$C$2:$C$1044,_xlfn.AGGREGATE(15,3,('Raw Data'!$O$1:$O$1044=Invoice!$E$3)/('Raw Data'!$O$1:$O$1044=Invoice!$E$3)*(ROW('Raw Data'!$O$1:O1098)-ROW('Raw Data'!$O$1)),ROWS($A$44:A98))),"")</f>
        <v/>
      </c>
      <c r="D98" s="36" t="str">
        <f>IFERROR(INDEX('Raw Data'!$R$2:$R$1044,_xlfn.AGGREGATE(15,3,('Raw Data'!$O$1:$O$1044=Invoice!$E$3)/('Raw Data'!$O$1:$O$1044=Invoice!$E$3)*(ROW('Raw Data'!$O$1:O1098)-ROW('Raw Data'!$O$1)),ROWS($A$44:B98))),"")</f>
        <v/>
      </c>
      <c r="E98" s="252" t="str">
        <f>IFERROR(INDEX('Raw Data'!$N$3:$N$1045,_xlfn.AGGREGATE(15,3,('Raw Data'!$O$1:$O$1044=Invoice!$E$3)/('Raw Data'!$O$1:$O$1044=Invoice!$E$3)*(ROW('Raw Data'!$O$1:O1098)-ROW('Raw Data'!$O$1)),ROWS($A$44:B98))),"")</f>
        <v/>
      </c>
      <c r="F98" s="252"/>
      <c r="G98" s="37" t="str">
        <f>IFERROR(_xlfn.SINGLE(INDEX('Raw Data'!#REF!,_xlfn.AGGREGATE(15,3,('Raw Data'!$O$1:$O$1044=Invoice!$E$3)/('Raw Data'!$O$1:$O$1044=Invoice!$E$3)*(ROW('Raw Data'!$O$1:O1098)-ROW('Raw Data'!$O$1)),ROWS($A$44:E98)))),"")</f>
        <v/>
      </c>
    </row>
    <row r="99" spans="2:7" ht="30" customHeight="1">
      <c r="B99" s="31" t="str">
        <f>IFERROR(INDEX('Raw Data'!$P$2:$P$1044,_xlfn.AGGREGATE(15,3,('Raw Data'!$O$1:$O$1044=Invoice!$E$3)/('Raw Data'!$O$1:$O$1044=Invoice!$E$3)*(ROW('Raw Data'!$O$1:O1099)-ROW('Raw Data'!$O$1)),ROWS($A$44:A99))),"")</f>
        <v/>
      </c>
      <c r="C99" s="36" t="str">
        <f>IFERROR(INDEX('Raw Data'!$C$2:$C$1044,_xlfn.AGGREGATE(15,3,('Raw Data'!$O$1:$O$1044=Invoice!$E$3)/('Raw Data'!$O$1:$O$1044=Invoice!$E$3)*(ROW('Raw Data'!$O$1:O1099)-ROW('Raw Data'!$O$1)),ROWS($A$44:A99))),"")</f>
        <v/>
      </c>
      <c r="D99" s="36" t="str">
        <f>IFERROR(INDEX('Raw Data'!$R$2:$R$1044,_xlfn.AGGREGATE(15,3,('Raw Data'!$O$1:$O$1044=Invoice!$E$3)/('Raw Data'!$O$1:$O$1044=Invoice!$E$3)*(ROW('Raw Data'!$O$1:O1099)-ROW('Raw Data'!$O$1)),ROWS($A$44:B99))),"")</f>
        <v/>
      </c>
      <c r="E99" s="252" t="str">
        <f>IFERROR(INDEX('Raw Data'!$N$3:$N$1045,_xlfn.AGGREGATE(15,3,('Raw Data'!$O$1:$O$1044=Invoice!$E$3)/('Raw Data'!$O$1:$O$1044=Invoice!$E$3)*(ROW('Raw Data'!$O$1:O1099)-ROW('Raw Data'!$O$1)),ROWS($A$44:B99))),"")</f>
        <v/>
      </c>
      <c r="F99" s="252"/>
      <c r="G99" s="37" t="str">
        <f>IFERROR(_xlfn.SINGLE(INDEX('Raw Data'!#REF!,_xlfn.AGGREGATE(15,3,('Raw Data'!$O$1:$O$1044=Invoice!$E$3)/('Raw Data'!$O$1:$O$1044=Invoice!$E$3)*(ROW('Raw Data'!$O$1:O1099)-ROW('Raw Data'!$O$1)),ROWS($A$44:E99)))),"")</f>
        <v/>
      </c>
    </row>
    <row r="100" spans="2:7" ht="30" customHeight="1">
      <c r="B100" s="31" t="str">
        <f>IFERROR(INDEX('Raw Data'!$P$2:$P$1044,_xlfn.AGGREGATE(15,3,('Raw Data'!$O$1:$O$1044=Invoice!$E$3)/('Raw Data'!$O$1:$O$1044=Invoice!$E$3)*(ROW('Raw Data'!$O$1:O1100)-ROW('Raw Data'!$O$1)),ROWS($A$44:A100))),"")</f>
        <v/>
      </c>
      <c r="C100" s="36" t="str">
        <f>IFERROR(INDEX('Raw Data'!$C$2:$C$1044,_xlfn.AGGREGATE(15,3,('Raw Data'!$O$1:$O$1044=Invoice!$E$3)/('Raw Data'!$O$1:$O$1044=Invoice!$E$3)*(ROW('Raw Data'!$O$1:O1100)-ROW('Raw Data'!$O$1)),ROWS($A$44:A100))),"")</f>
        <v/>
      </c>
      <c r="D100" s="36" t="str">
        <f>IFERROR(INDEX('Raw Data'!$R$2:$R$1044,_xlfn.AGGREGATE(15,3,('Raw Data'!$O$1:$O$1044=Invoice!$E$3)/('Raw Data'!$O$1:$O$1044=Invoice!$E$3)*(ROW('Raw Data'!$O$1:O1100)-ROW('Raw Data'!$O$1)),ROWS($A$44:B100))),"")</f>
        <v/>
      </c>
      <c r="E100" s="252" t="str">
        <f>IFERROR(INDEX('Raw Data'!$N$3:$N$1045,_xlfn.AGGREGATE(15,3,('Raw Data'!$O$1:$O$1044=Invoice!$E$3)/('Raw Data'!$O$1:$O$1044=Invoice!$E$3)*(ROW('Raw Data'!$O$1:O1100)-ROW('Raw Data'!$O$1)),ROWS($A$44:B100))),"")</f>
        <v/>
      </c>
      <c r="F100" s="252"/>
      <c r="G100" s="37" t="str">
        <f>IFERROR(_xlfn.SINGLE(INDEX('Raw Data'!#REF!,_xlfn.AGGREGATE(15,3,('Raw Data'!$O$1:$O$1044=Invoice!$E$3)/('Raw Data'!$O$1:$O$1044=Invoice!$E$3)*(ROW('Raw Data'!$O$1:O1100)-ROW('Raw Data'!$O$1)),ROWS($A$44:E100)))),"")</f>
        <v/>
      </c>
    </row>
    <row r="101" spans="2:7" ht="30" customHeight="1">
      <c r="B101" s="31" t="str">
        <f>IFERROR(INDEX('Raw Data'!$P$2:$P$1044,_xlfn.AGGREGATE(15,3,('Raw Data'!$O$1:$O$1044=Invoice!$E$3)/('Raw Data'!$O$1:$O$1044=Invoice!$E$3)*(ROW('Raw Data'!$O$1:O1101)-ROW('Raw Data'!$O$1)),ROWS($A$44:A101))),"")</f>
        <v/>
      </c>
      <c r="C101" s="36" t="str">
        <f>IFERROR(INDEX('Raw Data'!$C$2:$C$1044,_xlfn.AGGREGATE(15,3,('Raw Data'!$O$1:$O$1044=Invoice!$E$3)/('Raw Data'!$O$1:$O$1044=Invoice!$E$3)*(ROW('Raw Data'!$O$1:O1101)-ROW('Raw Data'!$O$1)),ROWS($A$44:A101))),"")</f>
        <v/>
      </c>
      <c r="D101" s="36" t="str">
        <f>IFERROR(INDEX('Raw Data'!$R$2:$R$1044,_xlfn.AGGREGATE(15,3,('Raw Data'!$O$1:$O$1044=Invoice!$E$3)/('Raw Data'!$O$1:$O$1044=Invoice!$E$3)*(ROW('Raw Data'!$O$1:O1101)-ROW('Raw Data'!$O$1)),ROWS($A$44:B101))),"")</f>
        <v/>
      </c>
      <c r="E101" s="252" t="str">
        <f>IFERROR(INDEX('Raw Data'!$N$3:$N$1045,_xlfn.AGGREGATE(15,3,('Raw Data'!$O$1:$O$1044=Invoice!$E$3)/('Raw Data'!$O$1:$O$1044=Invoice!$E$3)*(ROW('Raw Data'!$O$1:O1101)-ROW('Raw Data'!$O$1)),ROWS($A$44:B101))),"")</f>
        <v/>
      </c>
      <c r="F101" s="252"/>
      <c r="G101" s="37" t="str">
        <f>IFERROR(_xlfn.SINGLE(INDEX('Raw Data'!#REF!,_xlfn.AGGREGATE(15,3,('Raw Data'!$O$1:$O$1044=Invoice!$E$3)/('Raw Data'!$O$1:$O$1044=Invoice!$E$3)*(ROW('Raw Data'!$O$1:O1101)-ROW('Raw Data'!$O$1)),ROWS($A$44:E101)))),"")</f>
        <v/>
      </c>
    </row>
    <row r="102" spans="2:7" ht="30" customHeight="1">
      <c r="B102" s="31" t="str">
        <f>IFERROR(INDEX('Raw Data'!$P$2:$P$1044,_xlfn.AGGREGATE(15,3,('Raw Data'!$O$1:$O$1044=Invoice!$E$3)/('Raw Data'!$O$1:$O$1044=Invoice!$E$3)*(ROW('Raw Data'!$O$1:O1102)-ROW('Raw Data'!$O$1)),ROWS($A$44:A102))),"")</f>
        <v/>
      </c>
      <c r="C102" s="36" t="str">
        <f>IFERROR(INDEX('Raw Data'!$C$2:$C$1044,_xlfn.AGGREGATE(15,3,('Raw Data'!$O$1:$O$1044=Invoice!$E$3)/('Raw Data'!$O$1:$O$1044=Invoice!$E$3)*(ROW('Raw Data'!$O$1:O1102)-ROW('Raw Data'!$O$1)),ROWS($A$44:A102))),"")</f>
        <v/>
      </c>
      <c r="D102" s="36" t="str">
        <f>IFERROR(INDEX('Raw Data'!$R$2:$R$1044,_xlfn.AGGREGATE(15,3,('Raw Data'!$O$1:$O$1044=Invoice!$E$3)/('Raw Data'!$O$1:$O$1044=Invoice!$E$3)*(ROW('Raw Data'!$O$1:O1102)-ROW('Raw Data'!$O$1)),ROWS($A$44:B102))),"")</f>
        <v/>
      </c>
      <c r="E102" s="252" t="str">
        <f>IFERROR(INDEX('Raw Data'!$N$3:$N$1045,_xlfn.AGGREGATE(15,3,('Raw Data'!$O$1:$O$1044=Invoice!$E$3)/('Raw Data'!$O$1:$O$1044=Invoice!$E$3)*(ROW('Raw Data'!$O$1:O1102)-ROW('Raw Data'!$O$1)),ROWS($A$44:B102))),"")</f>
        <v/>
      </c>
      <c r="F102" s="252"/>
      <c r="G102" s="37" t="str">
        <f>IFERROR(_xlfn.SINGLE(INDEX('Raw Data'!#REF!,_xlfn.AGGREGATE(15,3,('Raw Data'!$O$1:$O$1044=Invoice!$E$3)/('Raw Data'!$O$1:$O$1044=Invoice!$E$3)*(ROW('Raw Data'!$O$1:O1102)-ROW('Raw Data'!$O$1)),ROWS($A$44:E102)))),"")</f>
        <v/>
      </c>
    </row>
    <row r="103" spans="2:7" ht="30" customHeight="1">
      <c r="B103" s="31" t="str">
        <f>IFERROR(INDEX('Raw Data'!$P$2:$P$1044,_xlfn.AGGREGATE(15,3,('Raw Data'!$O$1:$O$1044=Invoice!$E$3)/('Raw Data'!$O$1:$O$1044=Invoice!$E$3)*(ROW('Raw Data'!$O$1:O1103)-ROW('Raw Data'!$O$1)),ROWS($A$44:A103))),"")</f>
        <v/>
      </c>
      <c r="C103" s="36" t="str">
        <f>IFERROR(INDEX('Raw Data'!$C$2:$C$1044,_xlfn.AGGREGATE(15,3,('Raw Data'!$O$1:$O$1044=Invoice!$E$3)/('Raw Data'!$O$1:$O$1044=Invoice!$E$3)*(ROW('Raw Data'!$O$1:O1103)-ROW('Raw Data'!$O$1)),ROWS($A$44:A103))),"")</f>
        <v/>
      </c>
      <c r="D103" s="36" t="str">
        <f>IFERROR(INDEX('Raw Data'!$R$2:$R$1044,_xlfn.AGGREGATE(15,3,('Raw Data'!$O$1:$O$1044=Invoice!$E$3)/('Raw Data'!$O$1:$O$1044=Invoice!$E$3)*(ROW('Raw Data'!$O$1:O1103)-ROW('Raw Data'!$O$1)),ROWS($A$44:B103))),"")</f>
        <v/>
      </c>
      <c r="E103" s="252" t="str">
        <f>IFERROR(INDEX('Raw Data'!$N$3:$N$1045,_xlfn.AGGREGATE(15,3,('Raw Data'!$O$1:$O$1044=Invoice!$E$3)/('Raw Data'!$O$1:$O$1044=Invoice!$E$3)*(ROW('Raw Data'!$O$1:O1103)-ROW('Raw Data'!$O$1)),ROWS($A$44:B103))),"")</f>
        <v/>
      </c>
      <c r="F103" s="252"/>
      <c r="G103" s="37" t="str">
        <f>IFERROR(_xlfn.SINGLE(INDEX('Raw Data'!#REF!,_xlfn.AGGREGATE(15,3,('Raw Data'!$O$1:$O$1044=Invoice!$E$3)/('Raw Data'!$O$1:$O$1044=Invoice!$E$3)*(ROW('Raw Data'!$O$1:O1103)-ROW('Raw Data'!$O$1)),ROWS($A$44:E103)))),"")</f>
        <v/>
      </c>
    </row>
    <row r="104" spans="2:7" ht="30" customHeight="1">
      <c r="B104" s="31" t="str">
        <f>IFERROR(INDEX('Raw Data'!$P$2:$P$1044,_xlfn.AGGREGATE(15,3,('Raw Data'!$O$1:$O$1044=Invoice!$E$3)/('Raw Data'!$O$1:$O$1044=Invoice!$E$3)*(ROW('Raw Data'!$O$1:O1104)-ROW('Raw Data'!$O$1)),ROWS($A$44:A104))),"")</f>
        <v/>
      </c>
      <c r="C104" s="36" t="str">
        <f>IFERROR(INDEX('Raw Data'!$C$2:$C$1044,_xlfn.AGGREGATE(15,3,('Raw Data'!$O$1:$O$1044=Invoice!$E$3)/('Raw Data'!$O$1:$O$1044=Invoice!$E$3)*(ROW('Raw Data'!$O$1:O1104)-ROW('Raw Data'!$O$1)),ROWS($A$44:A104))),"")</f>
        <v/>
      </c>
      <c r="D104" s="36" t="str">
        <f>IFERROR(INDEX('Raw Data'!$R$2:$R$1044,_xlfn.AGGREGATE(15,3,('Raw Data'!$O$1:$O$1044=Invoice!$E$3)/('Raw Data'!$O$1:$O$1044=Invoice!$E$3)*(ROW('Raw Data'!$O$1:O1104)-ROW('Raw Data'!$O$1)),ROWS($A$44:B104))),"")</f>
        <v/>
      </c>
      <c r="E104" s="252" t="str">
        <f>IFERROR(INDEX('Raw Data'!$N$3:$N$1045,_xlfn.AGGREGATE(15,3,('Raw Data'!$O$1:$O$1044=Invoice!$E$3)/('Raw Data'!$O$1:$O$1044=Invoice!$E$3)*(ROW('Raw Data'!$O$1:O1104)-ROW('Raw Data'!$O$1)),ROWS($A$44:B104))),"")</f>
        <v/>
      </c>
      <c r="F104" s="252"/>
      <c r="G104" s="37" t="str">
        <f>IFERROR(_xlfn.SINGLE(INDEX('Raw Data'!#REF!,_xlfn.AGGREGATE(15,3,('Raw Data'!$O$1:$O$1044=Invoice!$E$3)/('Raw Data'!$O$1:$O$1044=Invoice!$E$3)*(ROW('Raw Data'!$O$1:O1104)-ROW('Raw Data'!$O$1)),ROWS($A$44:E104)))),"")</f>
        <v/>
      </c>
    </row>
    <row r="105" spans="2:7" ht="30" customHeight="1">
      <c r="B105" s="31" t="str">
        <f>IFERROR(INDEX('Raw Data'!$P$2:$P$1044,_xlfn.AGGREGATE(15,3,('Raw Data'!$O$1:$O$1044=Invoice!$E$3)/('Raw Data'!$O$1:$O$1044=Invoice!$E$3)*(ROW('Raw Data'!$O$1:O1105)-ROW('Raw Data'!$O$1)),ROWS($A$44:A105))),"")</f>
        <v/>
      </c>
      <c r="C105" s="36" t="str">
        <f>IFERROR(INDEX('Raw Data'!$C$2:$C$1044,_xlfn.AGGREGATE(15,3,('Raw Data'!$O$1:$O$1044=Invoice!$E$3)/('Raw Data'!$O$1:$O$1044=Invoice!$E$3)*(ROW('Raw Data'!$O$1:O1105)-ROW('Raw Data'!$O$1)),ROWS($A$44:A105))),"")</f>
        <v/>
      </c>
      <c r="D105" s="36" t="str">
        <f>IFERROR(INDEX('Raw Data'!$R$2:$R$1044,_xlfn.AGGREGATE(15,3,('Raw Data'!$O$1:$O$1044=Invoice!$E$3)/('Raw Data'!$O$1:$O$1044=Invoice!$E$3)*(ROW('Raw Data'!$O$1:O1105)-ROW('Raw Data'!$O$1)),ROWS($A$44:B105))),"")</f>
        <v/>
      </c>
      <c r="E105" s="252" t="str">
        <f>IFERROR(INDEX('Raw Data'!$N$3:$N$1045,_xlfn.AGGREGATE(15,3,('Raw Data'!$O$1:$O$1044=Invoice!$E$3)/('Raw Data'!$O$1:$O$1044=Invoice!$E$3)*(ROW('Raw Data'!$O$1:O1105)-ROW('Raw Data'!$O$1)),ROWS($A$44:B105))),"")</f>
        <v/>
      </c>
      <c r="F105" s="252"/>
      <c r="G105" s="37" t="str">
        <f>IFERROR(_xlfn.SINGLE(INDEX('Raw Data'!#REF!,_xlfn.AGGREGATE(15,3,('Raw Data'!$O$1:$O$1044=Invoice!$E$3)/('Raw Data'!$O$1:$O$1044=Invoice!$E$3)*(ROW('Raw Data'!$O$1:O1105)-ROW('Raw Data'!$O$1)),ROWS($A$44:E105)))),"")</f>
        <v/>
      </c>
    </row>
    <row r="106" spans="2:7" ht="30" customHeight="1">
      <c r="B106" s="31" t="str">
        <f>IFERROR(INDEX('Raw Data'!$P$2:$P$1044,_xlfn.AGGREGATE(15,3,('Raw Data'!$O$1:$O$1044=Invoice!$E$3)/('Raw Data'!$O$1:$O$1044=Invoice!$E$3)*(ROW('Raw Data'!$O$1:O1106)-ROW('Raw Data'!$O$1)),ROWS($A$44:A106))),"")</f>
        <v/>
      </c>
      <c r="C106" s="36" t="str">
        <f>IFERROR(INDEX('Raw Data'!$C$2:$C$1044,_xlfn.AGGREGATE(15,3,('Raw Data'!$O$1:$O$1044=Invoice!$E$3)/('Raw Data'!$O$1:$O$1044=Invoice!$E$3)*(ROW('Raw Data'!$O$1:O1106)-ROW('Raw Data'!$O$1)),ROWS($A$44:A106))),"")</f>
        <v/>
      </c>
      <c r="D106" s="36" t="str">
        <f>IFERROR(INDEX('Raw Data'!$R$2:$R$1044,_xlfn.AGGREGATE(15,3,('Raw Data'!$O$1:$O$1044=Invoice!$E$3)/('Raw Data'!$O$1:$O$1044=Invoice!$E$3)*(ROW('Raw Data'!$O$1:O1106)-ROW('Raw Data'!$O$1)),ROWS($A$44:B106))),"")</f>
        <v/>
      </c>
      <c r="E106" s="252" t="str">
        <f>IFERROR(INDEX('Raw Data'!$N$3:$N$1045,_xlfn.AGGREGATE(15,3,('Raw Data'!$O$1:$O$1044=Invoice!$E$3)/('Raw Data'!$O$1:$O$1044=Invoice!$E$3)*(ROW('Raw Data'!$O$1:O1106)-ROW('Raw Data'!$O$1)),ROWS($A$44:B106))),"")</f>
        <v/>
      </c>
      <c r="F106" s="252"/>
      <c r="G106" s="37" t="str">
        <f>IFERROR(_xlfn.SINGLE(INDEX('Raw Data'!#REF!,_xlfn.AGGREGATE(15,3,('Raw Data'!$O$1:$O$1044=Invoice!$E$3)/('Raw Data'!$O$1:$O$1044=Invoice!$E$3)*(ROW('Raw Data'!$O$1:O1106)-ROW('Raw Data'!$O$1)),ROWS($A$44:E106)))),"")</f>
        <v/>
      </c>
    </row>
    <row r="107" spans="2:7" ht="30" customHeight="1">
      <c r="B107" s="31" t="str">
        <f>IFERROR(INDEX('Raw Data'!$P$2:$P$1044,_xlfn.AGGREGATE(15,3,('Raw Data'!$O$1:$O$1044=Invoice!$E$3)/('Raw Data'!$O$1:$O$1044=Invoice!$E$3)*(ROW('Raw Data'!$O$1:O1107)-ROW('Raw Data'!$O$1)),ROWS($A$44:A107))),"")</f>
        <v/>
      </c>
      <c r="C107" s="36" t="str">
        <f>IFERROR(INDEX('Raw Data'!$C$2:$C$1044,_xlfn.AGGREGATE(15,3,('Raw Data'!$O$1:$O$1044=Invoice!$E$3)/('Raw Data'!$O$1:$O$1044=Invoice!$E$3)*(ROW('Raw Data'!$O$1:O1107)-ROW('Raw Data'!$O$1)),ROWS($A$44:A107))),"")</f>
        <v/>
      </c>
      <c r="D107" s="36" t="str">
        <f>IFERROR(INDEX('Raw Data'!$R$2:$R$1044,_xlfn.AGGREGATE(15,3,('Raw Data'!$O$1:$O$1044=Invoice!$E$3)/('Raw Data'!$O$1:$O$1044=Invoice!$E$3)*(ROW('Raw Data'!$O$1:O1107)-ROW('Raw Data'!$O$1)),ROWS($A$44:B107))),"")</f>
        <v/>
      </c>
      <c r="E107" s="252" t="str">
        <f>IFERROR(INDEX('Raw Data'!$N$3:$N$1045,_xlfn.AGGREGATE(15,3,('Raw Data'!$O$1:$O$1044=Invoice!$E$3)/('Raw Data'!$O$1:$O$1044=Invoice!$E$3)*(ROW('Raw Data'!$O$1:O1107)-ROW('Raw Data'!$O$1)),ROWS($A$44:B107))),"")</f>
        <v/>
      </c>
      <c r="F107" s="252"/>
      <c r="G107" s="37" t="str">
        <f>IFERROR(_xlfn.SINGLE(INDEX('Raw Data'!#REF!,_xlfn.AGGREGATE(15,3,('Raw Data'!$O$1:$O$1044=Invoice!$E$3)/('Raw Data'!$O$1:$O$1044=Invoice!$E$3)*(ROW('Raw Data'!$O$1:O1107)-ROW('Raw Data'!$O$1)),ROWS($A$44:E107)))),"")</f>
        <v/>
      </c>
    </row>
    <row r="108" spans="2:7" ht="30" customHeight="1">
      <c r="B108" s="31" t="str">
        <f>IFERROR(INDEX('Raw Data'!$P$2:$P$1044,_xlfn.AGGREGATE(15,3,('Raw Data'!$O$1:$O$1044=Invoice!$E$3)/('Raw Data'!$O$1:$O$1044=Invoice!$E$3)*(ROW('Raw Data'!$O$1:O1108)-ROW('Raw Data'!$O$1)),ROWS($A$44:A108))),"")</f>
        <v/>
      </c>
      <c r="C108" s="36" t="str">
        <f>IFERROR(INDEX('Raw Data'!$C$2:$C$1044,_xlfn.AGGREGATE(15,3,('Raw Data'!$O$1:$O$1044=Invoice!$E$3)/('Raw Data'!$O$1:$O$1044=Invoice!$E$3)*(ROW('Raw Data'!$O$1:O1108)-ROW('Raw Data'!$O$1)),ROWS($A$44:A108))),"")</f>
        <v/>
      </c>
      <c r="D108" s="36" t="str">
        <f>IFERROR(INDEX('Raw Data'!$R$2:$R$1044,_xlfn.AGGREGATE(15,3,('Raw Data'!$O$1:$O$1044=Invoice!$E$3)/('Raw Data'!$O$1:$O$1044=Invoice!$E$3)*(ROW('Raw Data'!$O$1:O1108)-ROW('Raw Data'!$O$1)),ROWS($A$44:B108))),"")</f>
        <v/>
      </c>
      <c r="E108" s="252" t="str">
        <f>IFERROR(INDEX('Raw Data'!$N$3:$N$1045,_xlfn.AGGREGATE(15,3,('Raw Data'!$O$1:$O$1044=Invoice!$E$3)/('Raw Data'!$O$1:$O$1044=Invoice!$E$3)*(ROW('Raw Data'!$O$1:O1108)-ROW('Raw Data'!$O$1)),ROWS($A$44:B108))),"")</f>
        <v/>
      </c>
      <c r="F108" s="252"/>
      <c r="G108" s="37" t="str">
        <f>IFERROR(_xlfn.SINGLE(INDEX('Raw Data'!#REF!,_xlfn.AGGREGATE(15,3,('Raw Data'!$O$1:$O$1044=Invoice!$E$3)/('Raw Data'!$O$1:$O$1044=Invoice!$E$3)*(ROW('Raw Data'!$O$1:O1108)-ROW('Raw Data'!$O$1)),ROWS($A$44:E108)))),"")</f>
        <v/>
      </c>
    </row>
    <row r="109" spans="2:7" ht="30" customHeight="1">
      <c r="B109" s="31" t="str">
        <f>IFERROR(INDEX('Raw Data'!$P$2:$P$1044,_xlfn.AGGREGATE(15,3,('Raw Data'!$O$1:$O$1044=Invoice!$E$3)/('Raw Data'!$O$1:$O$1044=Invoice!$E$3)*(ROW('Raw Data'!$O$1:O1109)-ROW('Raw Data'!$O$1)),ROWS($A$44:A109))),"")</f>
        <v/>
      </c>
      <c r="C109" s="36" t="str">
        <f>IFERROR(INDEX('Raw Data'!$C$2:$C$1044,_xlfn.AGGREGATE(15,3,('Raw Data'!$O$1:$O$1044=Invoice!$E$3)/('Raw Data'!$O$1:$O$1044=Invoice!$E$3)*(ROW('Raw Data'!$O$1:O1109)-ROW('Raw Data'!$O$1)),ROWS($A$44:A109))),"")</f>
        <v/>
      </c>
      <c r="D109" s="36" t="str">
        <f>IFERROR(INDEX('Raw Data'!$R$2:$R$1044,_xlfn.AGGREGATE(15,3,('Raw Data'!$O$1:$O$1044=Invoice!$E$3)/('Raw Data'!$O$1:$O$1044=Invoice!$E$3)*(ROW('Raw Data'!$O$1:O1109)-ROW('Raw Data'!$O$1)),ROWS($A$44:B109))),"")</f>
        <v/>
      </c>
      <c r="E109" s="252" t="str">
        <f>IFERROR(INDEX('Raw Data'!$N$3:$N$1045,_xlfn.AGGREGATE(15,3,('Raw Data'!$O$1:$O$1044=Invoice!$E$3)/('Raw Data'!$O$1:$O$1044=Invoice!$E$3)*(ROW('Raw Data'!$O$1:O1109)-ROW('Raw Data'!$O$1)),ROWS($A$44:B109))),"")</f>
        <v/>
      </c>
      <c r="F109" s="252"/>
      <c r="G109" s="37" t="str">
        <f>IFERROR(_xlfn.SINGLE(INDEX('Raw Data'!#REF!,_xlfn.AGGREGATE(15,3,('Raw Data'!$O$1:$O$1044=Invoice!$E$3)/('Raw Data'!$O$1:$O$1044=Invoice!$E$3)*(ROW('Raw Data'!$O$1:O1109)-ROW('Raw Data'!$O$1)),ROWS($A$44:E109)))),"")</f>
        <v/>
      </c>
    </row>
    <row r="110" spans="2:7" ht="30" customHeight="1">
      <c r="B110" s="31" t="str">
        <f>IFERROR(INDEX('Raw Data'!$P$2:$P$1044,_xlfn.AGGREGATE(15,3,('Raw Data'!$O$1:$O$1044=Invoice!$E$3)/('Raw Data'!$O$1:$O$1044=Invoice!$E$3)*(ROW('Raw Data'!$O$1:O1110)-ROW('Raw Data'!$O$1)),ROWS($A$44:A110))),"")</f>
        <v/>
      </c>
      <c r="C110" s="36" t="str">
        <f>IFERROR(INDEX('Raw Data'!$C$2:$C$1044,_xlfn.AGGREGATE(15,3,('Raw Data'!$O$1:$O$1044=Invoice!$E$3)/('Raw Data'!$O$1:$O$1044=Invoice!$E$3)*(ROW('Raw Data'!$O$1:O1110)-ROW('Raw Data'!$O$1)),ROWS($A$44:A110))),"")</f>
        <v/>
      </c>
      <c r="D110" s="36" t="str">
        <f>IFERROR(INDEX('Raw Data'!$R$2:$R$1044,_xlfn.AGGREGATE(15,3,('Raw Data'!$O$1:$O$1044=Invoice!$E$3)/('Raw Data'!$O$1:$O$1044=Invoice!$E$3)*(ROW('Raw Data'!$O$1:O1110)-ROW('Raw Data'!$O$1)),ROWS($A$44:B110))),"")</f>
        <v/>
      </c>
      <c r="E110" s="252" t="str">
        <f>IFERROR(INDEX('Raw Data'!$N$3:$N$1045,_xlfn.AGGREGATE(15,3,('Raw Data'!$O$1:$O$1044=Invoice!$E$3)/('Raw Data'!$O$1:$O$1044=Invoice!$E$3)*(ROW('Raw Data'!$O$1:O1110)-ROW('Raw Data'!$O$1)),ROWS($A$44:B110))),"")</f>
        <v/>
      </c>
      <c r="F110" s="252"/>
      <c r="G110" s="37" t="str">
        <f>IFERROR(_xlfn.SINGLE(INDEX('Raw Data'!#REF!,_xlfn.AGGREGATE(15,3,('Raw Data'!$O$1:$O$1044=Invoice!$E$3)/('Raw Data'!$O$1:$O$1044=Invoice!$E$3)*(ROW('Raw Data'!$O$1:O1110)-ROW('Raw Data'!$O$1)),ROWS($A$44:E110)))),"")</f>
        <v/>
      </c>
    </row>
    <row r="111" spans="2:7" ht="30" customHeight="1">
      <c r="B111" s="31" t="str">
        <f>IFERROR(INDEX('Raw Data'!$P$2:$P$1044,_xlfn.AGGREGATE(15,3,('Raw Data'!$O$1:$O$1044=Invoice!$E$3)/('Raw Data'!$O$1:$O$1044=Invoice!$E$3)*(ROW('Raw Data'!$O$1:O1111)-ROW('Raw Data'!$O$1)),ROWS($A$44:A111))),"")</f>
        <v/>
      </c>
      <c r="C111" s="36" t="str">
        <f>IFERROR(INDEX('Raw Data'!$C$2:$C$1044,_xlfn.AGGREGATE(15,3,('Raw Data'!$O$1:$O$1044=Invoice!$E$3)/('Raw Data'!$O$1:$O$1044=Invoice!$E$3)*(ROW('Raw Data'!$O$1:O1111)-ROW('Raw Data'!$O$1)),ROWS($A$44:A111))),"")</f>
        <v/>
      </c>
      <c r="D111" s="36" t="str">
        <f>IFERROR(INDEX('Raw Data'!$R$2:$R$1044,_xlfn.AGGREGATE(15,3,('Raw Data'!$O$1:$O$1044=Invoice!$E$3)/('Raw Data'!$O$1:$O$1044=Invoice!$E$3)*(ROW('Raw Data'!$O$1:O1111)-ROW('Raw Data'!$O$1)),ROWS($A$44:B111))),"")</f>
        <v/>
      </c>
      <c r="E111" s="252" t="str">
        <f>IFERROR(INDEX('Raw Data'!$N$3:$N$1045,_xlfn.AGGREGATE(15,3,('Raw Data'!$O$1:$O$1044=Invoice!$E$3)/('Raw Data'!$O$1:$O$1044=Invoice!$E$3)*(ROW('Raw Data'!$O$1:O1111)-ROW('Raw Data'!$O$1)),ROWS($A$44:B111))),"")</f>
        <v/>
      </c>
      <c r="F111" s="252"/>
      <c r="G111" s="37" t="str">
        <f>IFERROR(_xlfn.SINGLE(INDEX('Raw Data'!#REF!,_xlfn.AGGREGATE(15,3,('Raw Data'!$O$1:$O$1044=Invoice!$E$3)/('Raw Data'!$O$1:$O$1044=Invoice!$E$3)*(ROW('Raw Data'!$O$1:O1111)-ROW('Raw Data'!$O$1)),ROWS($A$44:E111)))),"")</f>
        <v/>
      </c>
    </row>
    <row r="112" spans="2:7" ht="30" customHeight="1">
      <c r="B112" s="31" t="str">
        <f>IFERROR(INDEX('Raw Data'!$P$2:$P$1044,_xlfn.AGGREGATE(15,3,('Raw Data'!$O$1:$O$1044=Invoice!$E$3)/('Raw Data'!$O$1:$O$1044=Invoice!$E$3)*(ROW('Raw Data'!$O$1:O1112)-ROW('Raw Data'!$O$1)),ROWS($A$44:A112))),"")</f>
        <v/>
      </c>
      <c r="C112" s="36" t="str">
        <f>IFERROR(INDEX('Raw Data'!$C$2:$C$1044,_xlfn.AGGREGATE(15,3,('Raw Data'!$O$1:$O$1044=Invoice!$E$3)/('Raw Data'!$O$1:$O$1044=Invoice!$E$3)*(ROW('Raw Data'!$O$1:O1112)-ROW('Raw Data'!$O$1)),ROWS($A$44:A112))),"")</f>
        <v/>
      </c>
      <c r="D112" s="36" t="str">
        <f>IFERROR(INDEX('Raw Data'!$R$2:$R$1044,_xlfn.AGGREGATE(15,3,('Raw Data'!$O$1:$O$1044=Invoice!$E$3)/('Raw Data'!$O$1:$O$1044=Invoice!$E$3)*(ROW('Raw Data'!$O$1:O1112)-ROW('Raw Data'!$O$1)),ROWS($A$44:B112))),"")</f>
        <v/>
      </c>
      <c r="E112" s="252" t="str">
        <f>IFERROR(INDEX('Raw Data'!$N$3:$N$1045,_xlfn.AGGREGATE(15,3,('Raw Data'!$O$1:$O$1044=Invoice!$E$3)/('Raw Data'!$O$1:$O$1044=Invoice!$E$3)*(ROW('Raw Data'!$O$1:O1112)-ROW('Raw Data'!$O$1)),ROWS($A$44:B112))),"")</f>
        <v/>
      </c>
      <c r="F112" s="252"/>
      <c r="G112" s="37" t="str">
        <f>IFERROR(_xlfn.SINGLE(INDEX('Raw Data'!#REF!,_xlfn.AGGREGATE(15,3,('Raw Data'!$O$1:$O$1044=Invoice!$E$3)/('Raw Data'!$O$1:$O$1044=Invoice!$E$3)*(ROW('Raw Data'!$O$1:O1112)-ROW('Raw Data'!$O$1)),ROWS($A$44:E112)))),"")</f>
        <v/>
      </c>
    </row>
    <row r="113" spans="2:7" ht="30" customHeight="1">
      <c r="B113" s="31" t="str">
        <f>IFERROR(INDEX('Raw Data'!$P$2:$P$1044,_xlfn.AGGREGATE(15,3,('Raw Data'!$O$1:$O$1044=Invoice!$E$3)/('Raw Data'!$O$1:$O$1044=Invoice!$E$3)*(ROW('Raw Data'!$O$1:O1113)-ROW('Raw Data'!$O$1)),ROWS($A$44:A113))),"")</f>
        <v/>
      </c>
      <c r="C113" s="36" t="str">
        <f>IFERROR(INDEX('Raw Data'!$C$2:$C$1044,_xlfn.AGGREGATE(15,3,('Raw Data'!$O$1:$O$1044=Invoice!$E$3)/('Raw Data'!$O$1:$O$1044=Invoice!$E$3)*(ROW('Raw Data'!$O$1:O1113)-ROW('Raw Data'!$O$1)),ROWS($A$44:A113))),"")</f>
        <v/>
      </c>
      <c r="D113" s="36" t="str">
        <f>IFERROR(INDEX('Raw Data'!$R$2:$R$1044,_xlfn.AGGREGATE(15,3,('Raw Data'!$O$1:$O$1044=Invoice!$E$3)/('Raw Data'!$O$1:$O$1044=Invoice!$E$3)*(ROW('Raw Data'!$O$1:O1113)-ROW('Raw Data'!$O$1)),ROWS($A$44:B113))),"")</f>
        <v/>
      </c>
      <c r="E113" s="252" t="str">
        <f>IFERROR(INDEX('Raw Data'!$N$3:$N$1045,_xlfn.AGGREGATE(15,3,('Raw Data'!$O$1:$O$1044=Invoice!$E$3)/('Raw Data'!$O$1:$O$1044=Invoice!$E$3)*(ROW('Raw Data'!$O$1:O1113)-ROW('Raw Data'!$O$1)),ROWS($A$44:B113))),"")</f>
        <v/>
      </c>
      <c r="F113" s="252"/>
      <c r="G113" s="37" t="str">
        <f>IFERROR(_xlfn.SINGLE(INDEX('Raw Data'!#REF!,_xlfn.AGGREGATE(15,3,('Raw Data'!$O$1:$O$1044=Invoice!$E$3)/('Raw Data'!$O$1:$O$1044=Invoice!$E$3)*(ROW('Raw Data'!$O$1:O1113)-ROW('Raw Data'!$O$1)),ROWS($A$44:E113)))),"")</f>
        <v/>
      </c>
    </row>
    <row r="114" spans="2:7" ht="30" customHeight="1">
      <c r="B114" s="31" t="str">
        <f>IFERROR(INDEX('Raw Data'!$P$2:$P$1044,_xlfn.AGGREGATE(15,3,('Raw Data'!$O$1:$O$1044=Invoice!$E$3)/('Raw Data'!$O$1:$O$1044=Invoice!$E$3)*(ROW('Raw Data'!$O$1:O1114)-ROW('Raw Data'!$O$1)),ROWS($A$44:A114))),"")</f>
        <v/>
      </c>
      <c r="C114" s="36" t="str">
        <f>IFERROR(INDEX('Raw Data'!$C$2:$C$1044,_xlfn.AGGREGATE(15,3,('Raw Data'!$O$1:$O$1044=Invoice!$E$3)/('Raw Data'!$O$1:$O$1044=Invoice!$E$3)*(ROW('Raw Data'!$O$1:O1114)-ROW('Raw Data'!$O$1)),ROWS($A$44:A114))),"")</f>
        <v/>
      </c>
      <c r="D114" s="36" t="str">
        <f>IFERROR(INDEX('Raw Data'!$R$2:$R$1044,_xlfn.AGGREGATE(15,3,('Raw Data'!$O$1:$O$1044=Invoice!$E$3)/('Raw Data'!$O$1:$O$1044=Invoice!$E$3)*(ROW('Raw Data'!$O$1:O1114)-ROW('Raw Data'!$O$1)),ROWS($A$44:B114))),"")</f>
        <v/>
      </c>
      <c r="E114" s="252" t="str">
        <f>IFERROR(INDEX('Raw Data'!$N$3:$N$1045,_xlfn.AGGREGATE(15,3,('Raw Data'!$O$1:$O$1044=Invoice!$E$3)/('Raw Data'!$O$1:$O$1044=Invoice!$E$3)*(ROW('Raw Data'!$O$1:O1114)-ROW('Raw Data'!$O$1)),ROWS($A$44:B114))),"")</f>
        <v/>
      </c>
      <c r="F114" s="252"/>
      <c r="G114" s="37" t="str">
        <f>IFERROR(_xlfn.SINGLE(INDEX('Raw Data'!#REF!,_xlfn.AGGREGATE(15,3,('Raw Data'!$O$1:$O$1044=Invoice!$E$3)/('Raw Data'!$O$1:$O$1044=Invoice!$E$3)*(ROW('Raw Data'!$O$1:O1114)-ROW('Raw Data'!$O$1)),ROWS($A$44:E114)))),"")</f>
        <v/>
      </c>
    </row>
    <row r="115" spans="2:7" ht="30" customHeight="1">
      <c r="B115" s="31" t="str">
        <f>IFERROR(INDEX('Raw Data'!$P$2:$P$1044,_xlfn.AGGREGATE(15,3,('Raw Data'!$O$1:$O$1044=Invoice!$E$3)/('Raw Data'!$O$1:$O$1044=Invoice!$E$3)*(ROW('Raw Data'!$O$1:O1115)-ROW('Raw Data'!$O$1)),ROWS($A$44:A115))),"")</f>
        <v/>
      </c>
      <c r="C115" s="36" t="str">
        <f>IFERROR(INDEX('Raw Data'!$C$2:$C$1044,_xlfn.AGGREGATE(15,3,('Raw Data'!$O$1:$O$1044=Invoice!$E$3)/('Raw Data'!$O$1:$O$1044=Invoice!$E$3)*(ROW('Raw Data'!$O$1:O1115)-ROW('Raw Data'!$O$1)),ROWS($A$44:A115))),"")</f>
        <v/>
      </c>
      <c r="D115" s="36" t="str">
        <f>IFERROR(INDEX('Raw Data'!$R$2:$R$1044,_xlfn.AGGREGATE(15,3,('Raw Data'!$O$1:$O$1044=Invoice!$E$3)/('Raw Data'!$O$1:$O$1044=Invoice!$E$3)*(ROW('Raw Data'!$O$1:O1115)-ROW('Raw Data'!$O$1)),ROWS($A$44:B115))),"")</f>
        <v/>
      </c>
      <c r="E115" s="252" t="str">
        <f>IFERROR(INDEX('Raw Data'!$N$3:$N$1045,_xlfn.AGGREGATE(15,3,('Raw Data'!$O$1:$O$1044=Invoice!$E$3)/('Raw Data'!$O$1:$O$1044=Invoice!$E$3)*(ROW('Raw Data'!$O$1:O1115)-ROW('Raw Data'!$O$1)),ROWS($A$44:B115))),"")</f>
        <v/>
      </c>
      <c r="F115" s="252"/>
      <c r="G115" s="37" t="str">
        <f>IFERROR(_xlfn.SINGLE(INDEX('Raw Data'!#REF!,_xlfn.AGGREGATE(15,3,('Raw Data'!$O$1:$O$1044=Invoice!$E$3)/('Raw Data'!$O$1:$O$1044=Invoice!$E$3)*(ROW('Raw Data'!$O$1:O1115)-ROW('Raw Data'!$O$1)),ROWS($A$44:E115)))),"")</f>
        <v/>
      </c>
    </row>
    <row r="116" spans="2:7" ht="30" customHeight="1">
      <c r="B116" s="31" t="str">
        <f>IFERROR(INDEX('Raw Data'!$P$2:$P$1044,_xlfn.AGGREGATE(15,3,('Raw Data'!$O$1:$O$1044=Invoice!$E$3)/('Raw Data'!$O$1:$O$1044=Invoice!$E$3)*(ROW('Raw Data'!$O$1:O1116)-ROW('Raw Data'!$O$1)),ROWS($A$44:A116))),"")</f>
        <v/>
      </c>
      <c r="C116" s="36" t="str">
        <f>IFERROR(INDEX('Raw Data'!$C$2:$C$1044,_xlfn.AGGREGATE(15,3,('Raw Data'!$O$1:$O$1044=Invoice!$E$3)/('Raw Data'!$O$1:$O$1044=Invoice!$E$3)*(ROW('Raw Data'!$O$1:O1116)-ROW('Raw Data'!$O$1)),ROWS($A$44:A116))),"")</f>
        <v/>
      </c>
      <c r="D116" s="36" t="str">
        <f>IFERROR(INDEX('Raw Data'!$R$2:$R$1044,_xlfn.AGGREGATE(15,3,('Raw Data'!$O$1:$O$1044=Invoice!$E$3)/('Raw Data'!$O$1:$O$1044=Invoice!$E$3)*(ROW('Raw Data'!$O$1:O1116)-ROW('Raw Data'!$O$1)),ROWS($A$44:B116))),"")</f>
        <v/>
      </c>
      <c r="E116" s="252" t="str">
        <f>IFERROR(INDEX('Raw Data'!$N$3:$N$1045,_xlfn.AGGREGATE(15,3,('Raw Data'!$O$1:$O$1044=Invoice!$E$3)/('Raw Data'!$O$1:$O$1044=Invoice!$E$3)*(ROW('Raw Data'!$O$1:O1116)-ROW('Raw Data'!$O$1)),ROWS($A$44:B116))),"")</f>
        <v/>
      </c>
      <c r="F116" s="252"/>
      <c r="G116" s="37" t="str">
        <f>IFERROR(_xlfn.SINGLE(INDEX('Raw Data'!#REF!,_xlfn.AGGREGATE(15,3,('Raw Data'!$O$1:$O$1044=Invoice!$E$3)/('Raw Data'!$O$1:$O$1044=Invoice!$E$3)*(ROW('Raw Data'!$O$1:O1116)-ROW('Raw Data'!$O$1)),ROWS($A$44:E116)))),"")</f>
        <v/>
      </c>
    </row>
    <row r="117" spans="2:7" ht="30" customHeight="1">
      <c r="B117" s="31" t="str">
        <f>IFERROR(INDEX('Raw Data'!$P$2:$P$1044,_xlfn.AGGREGATE(15,3,('Raw Data'!$O$1:$O$1044=Invoice!$E$3)/('Raw Data'!$O$1:$O$1044=Invoice!$E$3)*(ROW('Raw Data'!$O$1:O1117)-ROW('Raw Data'!$O$1)),ROWS($A$44:A117))),"")</f>
        <v/>
      </c>
      <c r="C117" s="36" t="str">
        <f>IFERROR(INDEX('Raw Data'!$C$2:$C$1044,_xlfn.AGGREGATE(15,3,('Raw Data'!$O$1:$O$1044=Invoice!$E$3)/('Raw Data'!$O$1:$O$1044=Invoice!$E$3)*(ROW('Raw Data'!$O$1:O1117)-ROW('Raw Data'!$O$1)),ROWS($A$44:A117))),"")</f>
        <v/>
      </c>
      <c r="D117" s="36" t="str">
        <f>IFERROR(INDEX('Raw Data'!$R$2:$R$1044,_xlfn.AGGREGATE(15,3,('Raw Data'!$O$1:$O$1044=Invoice!$E$3)/('Raw Data'!$O$1:$O$1044=Invoice!$E$3)*(ROW('Raw Data'!$O$1:O1117)-ROW('Raw Data'!$O$1)),ROWS($A$44:B117))),"")</f>
        <v/>
      </c>
      <c r="E117" s="252" t="str">
        <f>IFERROR(INDEX('Raw Data'!$N$3:$N$1045,_xlfn.AGGREGATE(15,3,('Raw Data'!$O$1:$O$1044=Invoice!$E$3)/('Raw Data'!$O$1:$O$1044=Invoice!$E$3)*(ROW('Raw Data'!$O$1:O1117)-ROW('Raw Data'!$O$1)),ROWS($A$44:B117))),"")</f>
        <v/>
      </c>
      <c r="F117" s="252"/>
      <c r="G117" s="37" t="str">
        <f>IFERROR(_xlfn.SINGLE(INDEX('Raw Data'!#REF!,_xlfn.AGGREGATE(15,3,('Raw Data'!$O$1:$O$1044=Invoice!$E$3)/('Raw Data'!$O$1:$O$1044=Invoice!$E$3)*(ROW('Raw Data'!$O$1:O1117)-ROW('Raw Data'!$O$1)),ROWS($A$44:E117)))),"")</f>
        <v/>
      </c>
    </row>
    <row r="118" spans="2:7" ht="30" customHeight="1">
      <c r="B118" s="31" t="str">
        <f>IFERROR(INDEX('Raw Data'!$P$2:$P$1044,_xlfn.AGGREGATE(15,3,('Raw Data'!$O$1:$O$1044=Invoice!$E$3)/('Raw Data'!$O$1:$O$1044=Invoice!$E$3)*(ROW('Raw Data'!$O$1:O1118)-ROW('Raw Data'!$O$1)),ROWS($A$44:A118))),"")</f>
        <v/>
      </c>
      <c r="C118" s="36" t="str">
        <f>IFERROR(INDEX('Raw Data'!$C$2:$C$1044,_xlfn.AGGREGATE(15,3,('Raw Data'!$O$1:$O$1044=Invoice!$E$3)/('Raw Data'!$O$1:$O$1044=Invoice!$E$3)*(ROW('Raw Data'!$O$1:O1118)-ROW('Raw Data'!$O$1)),ROWS($A$44:A118))),"")</f>
        <v/>
      </c>
      <c r="D118" s="36" t="str">
        <f>IFERROR(INDEX('Raw Data'!$R$2:$R$1044,_xlfn.AGGREGATE(15,3,('Raw Data'!$O$1:$O$1044=Invoice!$E$3)/('Raw Data'!$O$1:$O$1044=Invoice!$E$3)*(ROW('Raw Data'!$O$1:O1118)-ROW('Raw Data'!$O$1)),ROWS($A$44:B118))),"")</f>
        <v/>
      </c>
      <c r="E118" s="252" t="str">
        <f>IFERROR(INDEX('Raw Data'!$N$3:$N$1045,_xlfn.AGGREGATE(15,3,('Raw Data'!$O$1:$O$1044=Invoice!$E$3)/('Raw Data'!$O$1:$O$1044=Invoice!$E$3)*(ROW('Raw Data'!$O$1:O1118)-ROW('Raw Data'!$O$1)),ROWS($A$44:B118))),"")</f>
        <v/>
      </c>
      <c r="F118" s="252"/>
      <c r="G118" s="37" t="str">
        <f>IFERROR(_xlfn.SINGLE(INDEX('Raw Data'!#REF!,_xlfn.AGGREGATE(15,3,('Raw Data'!$O$1:$O$1044=Invoice!$E$3)/('Raw Data'!$O$1:$O$1044=Invoice!$E$3)*(ROW('Raw Data'!$O$1:O1118)-ROW('Raw Data'!$O$1)),ROWS($A$44:E118)))),"")</f>
        <v/>
      </c>
    </row>
    <row r="119" spans="2:7" ht="30" customHeight="1">
      <c r="B119" s="31" t="str">
        <f>IFERROR(INDEX('Raw Data'!$P$2:$P$1044,_xlfn.AGGREGATE(15,3,('Raw Data'!$O$1:$O$1044=Invoice!$E$3)/('Raw Data'!$O$1:$O$1044=Invoice!$E$3)*(ROW('Raw Data'!$O$1:O1119)-ROW('Raw Data'!$O$1)),ROWS($A$44:A119))),"")</f>
        <v/>
      </c>
      <c r="C119" s="36" t="str">
        <f>IFERROR(INDEX('Raw Data'!$C$2:$C$1044,_xlfn.AGGREGATE(15,3,('Raw Data'!$O$1:$O$1044=Invoice!$E$3)/('Raw Data'!$O$1:$O$1044=Invoice!$E$3)*(ROW('Raw Data'!$O$1:O1119)-ROW('Raw Data'!$O$1)),ROWS($A$44:A119))),"")</f>
        <v/>
      </c>
      <c r="D119" s="36" t="str">
        <f>IFERROR(INDEX('Raw Data'!$R$2:$R$1044,_xlfn.AGGREGATE(15,3,('Raw Data'!$O$1:$O$1044=Invoice!$E$3)/('Raw Data'!$O$1:$O$1044=Invoice!$E$3)*(ROW('Raw Data'!$O$1:O1119)-ROW('Raw Data'!$O$1)),ROWS($A$44:B119))),"")</f>
        <v/>
      </c>
      <c r="E119" s="252" t="str">
        <f>IFERROR(INDEX('Raw Data'!$N$3:$N$1045,_xlfn.AGGREGATE(15,3,('Raw Data'!$O$1:$O$1044=Invoice!$E$3)/('Raw Data'!$O$1:$O$1044=Invoice!$E$3)*(ROW('Raw Data'!$O$1:O1119)-ROW('Raw Data'!$O$1)),ROWS($A$44:B119))),"")</f>
        <v/>
      </c>
      <c r="F119" s="252"/>
      <c r="G119" s="37" t="str">
        <f>IFERROR(_xlfn.SINGLE(INDEX('Raw Data'!#REF!,_xlfn.AGGREGATE(15,3,('Raw Data'!$O$1:$O$1044=Invoice!$E$3)/('Raw Data'!$O$1:$O$1044=Invoice!$E$3)*(ROW('Raw Data'!$O$1:O1119)-ROW('Raw Data'!$O$1)),ROWS($A$44:E119)))),"")</f>
        <v/>
      </c>
    </row>
    <row r="120" spans="2:7" ht="30" customHeight="1">
      <c r="B120" s="31" t="str">
        <f>IFERROR(INDEX('Raw Data'!$P$2:$P$1044,_xlfn.AGGREGATE(15,3,('Raw Data'!$O$1:$O$1044=Invoice!$E$3)/('Raw Data'!$O$1:$O$1044=Invoice!$E$3)*(ROW('Raw Data'!$O$1:O1120)-ROW('Raw Data'!$O$1)),ROWS($A$44:A120))),"")</f>
        <v/>
      </c>
      <c r="C120" s="36" t="str">
        <f>IFERROR(INDEX('Raw Data'!$C$2:$C$1044,_xlfn.AGGREGATE(15,3,('Raw Data'!$O$1:$O$1044=Invoice!$E$3)/('Raw Data'!$O$1:$O$1044=Invoice!$E$3)*(ROW('Raw Data'!$O$1:O1120)-ROW('Raw Data'!$O$1)),ROWS($A$44:A120))),"")</f>
        <v/>
      </c>
      <c r="D120" s="36" t="str">
        <f>IFERROR(INDEX('Raw Data'!$R$2:$R$1044,_xlfn.AGGREGATE(15,3,('Raw Data'!$O$1:$O$1044=Invoice!$E$3)/('Raw Data'!$O$1:$O$1044=Invoice!$E$3)*(ROW('Raw Data'!$O$1:O1120)-ROW('Raw Data'!$O$1)),ROWS($A$44:B120))),"")</f>
        <v/>
      </c>
      <c r="E120" s="252" t="str">
        <f>IFERROR(INDEX('Raw Data'!$N$3:$N$1045,_xlfn.AGGREGATE(15,3,('Raw Data'!$O$1:$O$1044=Invoice!$E$3)/('Raw Data'!$O$1:$O$1044=Invoice!$E$3)*(ROW('Raw Data'!$O$1:O1120)-ROW('Raw Data'!$O$1)),ROWS($A$44:B120))),"")</f>
        <v/>
      </c>
      <c r="F120" s="252"/>
      <c r="G120" s="37" t="str">
        <f>IFERROR(_xlfn.SINGLE(INDEX('Raw Data'!#REF!,_xlfn.AGGREGATE(15,3,('Raw Data'!$O$1:$O$1044=Invoice!$E$3)/('Raw Data'!$O$1:$O$1044=Invoice!$E$3)*(ROW('Raw Data'!$O$1:O1120)-ROW('Raw Data'!$O$1)),ROWS($A$44:E120)))),"")</f>
        <v/>
      </c>
    </row>
    <row r="121" spans="2:7" ht="30" customHeight="1">
      <c r="B121" s="31" t="str">
        <f>IFERROR(INDEX('Raw Data'!$P$2:$P$1044,_xlfn.AGGREGATE(15,3,('Raw Data'!$O$1:$O$1044=Invoice!$E$3)/('Raw Data'!$O$1:$O$1044=Invoice!$E$3)*(ROW('Raw Data'!$O$1:O1121)-ROW('Raw Data'!$O$1)),ROWS($A$44:A121))),"")</f>
        <v/>
      </c>
      <c r="C121" s="36" t="str">
        <f>IFERROR(INDEX('Raw Data'!$C$2:$C$1044,_xlfn.AGGREGATE(15,3,('Raw Data'!$O$1:$O$1044=Invoice!$E$3)/('Raw Data'!$O$1:$O$1044=Invoice!$E$3)*(ROW('Raw Data'!$O$1:O1121)-ROW('Raw Data'!$O$1)),ROWS($A$44:A121))),"")</f>
        <v/>
      </c>
      <c r="D121" s="36" t="str">
        <f>IFERROR(INDEX('Raw Data'!$R$2:$R$1044,_xlfn.AGGREGATE(15,3,('Raw Data'!$O$1:$O$1044=Invoice!$E$3)/('Raw Data'!$O$1:$O$1044=Invoice!$E$3)*(ROW('Raw Data'!$O$1:O1121)-ROW('Raw Data'!$O$1)),ROWS($A$44:B121))),"")</f>
        <v/>
      </c>
      <c r="E121" s="252" t="str">
        <f>IFERROR(INDEX('Raw Data'!$N$3:$N$1045,_xlfn.AGGREGATE(15,3,('Raw Data'!$O$1:$O$1044=Invoice!$E$3)/('Raw Data'!$O$1:$O$1044=Invoice!$E$3)*(ROW('Raw Data'!$O$1:O1121)-ROW('Raw Data'!$O$1)),ROWS($A$44:B121))),"")</f>
        <v/>
      </c>
      <c r="F121" s="252"/>
      <c r="G121" s="37" t="str">
        <f>IFERROR(_xlfn.SINGLE(INDEX('Raw Data'!#REF!,_xlfn.AGGREGATE(15,3,('Raw Data'!$O$1:$O$1044=Invoice!$E$3)/('Raw Data'!$O$1:$O$1044=Invoice!$E$3)*(ROW('Raw Data'!$O$1:O1121)-ROW('Raw Data'!$O$1)),ROWS($A$44:E121)))),"")</f>
        <v/>
      </c>
    </row>
    <row r="122" spans="2:7" ht="30" customHeight="1">
      <c r="B122" s="31" t="str">
        <f>IFERROR(INDEX('Raw Data'!$P$2:$P$1044,_xlfn.AGGREGATE(15,3,('Raw Data'!$O$1:$O$1044=Invoice!$E$3)/('Raw Data'!$O$1:$O$1044=Invoice!$E$3)*(ROW('Raw Data'!$O$1:O1122)-ROW('Raw Data'!$O$1)),ROWS($A$44:A122))),"")</f>
        <v/>
      </c>
      <c r="C122" s="36" t="str">
        <f>IFERROR(INDEX('Raw Data'!$C$2:$C$1044,_xlfn.AGGREGATE(15,3,('Raw Data'!$O$1:$O$1044=Invoice!$E$3)/('Raw Data'!$O$1:$O$1044=Invoice!$E$3)*(ROW('Raw Data'!$O$1:O1122)-ROW('Raw Data'!$O$1)),ROWS($A$44:A122))),"")</f>
        <v/>
      </c>
      <c r="D122" s="36" t="str">
        <f>IFERROR(INDEX('Raw Data'!$R$2:$R$1044,_xlfn.AGGREGATE(15,3,('Raw Data'!$O$1:$O$1044=Invoice!$E$3)/('Raw Data'!$O$1:$O$1044=Invoice!$E$3)*(ROW('Raw Data'!$O$1:O1122)-ROW('Raw Data'!$O$1)),ROWS($A$44:B122))),"")</f>
        <v/>
      </c>
      <c r="E122" s="252" t="str">
        <f>IFERROR(INDEX('Raw Data'!$N$3:$N$1045,_xlfn.AGGREGATE(15,3,('Raw Data'!$O$1:$O$1044=Invoice!$E$3)/('Raw Data'!$O$1:$O$1044=Invoice!$E$3)*(ROW('Raw Data'!$O$1:O1122)-ROW('Raw Data'!$O$1)),ROWS($A$44:B122))),"")</f>
        <v/>
      </c>
      <c r="F122" s="252"/>
      <c r="G122" s="37" t="str">
        <f>IFERROR(_xlfn.SINGLE(INDEX('Raw Data'!#REF!,_xlfn.AGGREGATE(15,3,('Raw Data'!$O$1:$O$1044=Invoice!$E$3)/('Raw Data'!$O$1:$O$1044=Invoice!$E$3)*(ROW('Raw Data'!$O$1:O1122)-ROW('Raw Data'!$O$1)),ROWS($A$44:E122)))),"")</f>
        <v/>
      </c>
    </row>
    <row r="123" spans="2:7" ht="30" customHeight="1">
      <c r="B123" s="31" t="str">
        <f>IFERROR(INDEX('Raw Data'!$P$2:$P$1044,_xlfn.AGGREGATE(15,3,('Raw Data'!$O$1:$O$1044=Invoice!$E$3)/('Raw Data'!$O$1:$O$1044=Invoice!$E$3)*(ROW('Raw Data'!$O$1:O1123)-ROW('Raw Data'!$O$1)),ROWS($A$44:A123))),"")</f>
        <v/>
      </c>
      <c r="C123" s="36" t="str">
        <f>IFERROR(INDEX('Raw Data'!$C$2:$C$1044,_xlfn.AGGREGATE(15,3,('Raw Data'!$O$1:$O$1044=Invoice!$E$3)/('Raw Data'!$O$1:$O$1044=Invoice!$E$3)*(ROW('Raw Data'!$O$1:O1123)-ROW('Raw Data'!$O$1)),ROWS($A$44:A123))),"")</f>
        <v/>
      </c>
      <c r="D123" s="36" t="str">
        <f>IFERROR(INDEX('Raw Data'!$R$2:$R$1044,_xlfn.AGGREGATE(15,3,('Raw Data'!$O$1:$O$1044=Invoice!$E$3)/('Raw Data'!$O$1:$O$1044=Invoice!$E$3)*(ROW('Raw Data'!$O$1:O1123)-ROW('Raw Data'!$O$1)),ROWS($A$44:B123))),"")</f>
        <v/>
      </c>
      <c r="E123" s="252" t="str">
        <f>IFERROR(INDEX('Raw Data'!$N$3:$N$1045,_xlfn.AGGREGATE(15,3,('Raw Data'!$O$1:$O$1044=Invoice!$E$3)/('Raw Data'!$O$1:$O$1044=Invoice!$E$3)*(ROW('Raw Data'!$O$1:O1123)-ROW('Raw Data'!$O$1)),ROWS($A$44:B123))),"")</f>
        <v/>
      </c>
      <c r="F123" s="252"/>
      <c r="G123" s="37" t="str">
        <f>IFERROR(_xlfn.SINGLE(INDEX('Raw Data'!#REF!,_xlfn.AGGREGATE(15,3,('Raw Data'!$O$1:$O$1044=Invoice!$E$3)/('Raw Data'!$O$1:$O$1044=Invoice!$E$3)*(ROW('Raw Data'!$O$1:O1123)-ROW('Raw Data'!$O$1)),ROWS($A$44:E123)))),"")</f>
        <v/>
      </c>
    </row>
    <row r="124" spans="2:7" ht="30" customHeight="1">
      <c r="B124" s="31" t="str">
        <f>IFERROR(INDEX('Raw Data'!$P$2:$P$1044,_xlfn.AGGREGATE(15,3,('Raw Data'!$O$1:$O$1044=Invoice!$E$3)/('Raw Data'!$O$1:$O$1044=Invoice!$E$3)*(ROW('Raw Data'!$O$1:O1124)-ROW('Raw Data'!$O$1)),ROWS($A$44:A124))),"")</f>
        <v/>
      </c>
      <c r="C124" s="36" t="str">
        <f>IFERROR(INDEX('Raw Data'!$C$2:$C$1044,_xlfn.AGGREGATE(15,3,('Raw Data'!$O$1:$O$1044=Invoice!$E$3)/('Raw Data'!$O$1:$O$1044=Invoice!$E$3)*(ROW('Raw Data'!$O$1:O1124)-ROW('Raw Data'!$O$1)),ROWS($A$44:A124))),"")</f>
        <v/>
      </c>
      <c r="D124" s="36" t="str">
        <f>IFERROR(INDEX('Raw Data'!$R$2:$R$1044,_xlfn.AGGREGATE(15,3,('Raw Data'!$O$1:$O$1044=Invoice!$E$3)/('Raw Data'!$O$1:$O$1044=Invoice!$E$3)*(ROW('Raw Data'!$O$1:O1124)-ROW('Raw Data'!$O$1)),ROWS($A$44:B124))),"")</f>
        <v/>
      </c>
      <c r="E124" s="252" t="str">
        <f>IFERROR(INDEX('Raw Data'!$N$3:$N$1045,_xlfn.AGGREGATE(15,3,('Raw Data'!$O$1:$O$1044=Invoice!$E$3)/('Raw Data'!$O$1:$O$1044=Invoice!$E$3)*(ROW('Raw Data'!$O$1:O1124)-ROW('Raw Data'!$O$1)),ROWS($A$44:B124))),"")</f>
        <v/>
      </c>
      <c r="F124" s="252"/>
      <c r="G124" s="37" t="str">
        <f>IFERROR(_xlfn.SINGLE(INDEX('Raw Data'!#REF!,_xlfn.AGGREGATE(15,3,('Raw Data'!$O$1:$O$1044=Invoice!$E$3)/('Raw Data'!$O$1:$O$1044=Invoice!$E$3)*(ROW('Raw Data'!$O$1:O1124)-ROW('Raw Data'!$O$1)),ROWS($A$44:E124)))),"")</f>
        <v/>
      </c>
    </row>
    <row r="125" spans="2:7" ht="30" customHeight="1">
      <c r="B125" s="31" t="str">
        <f>IFERROR(INDEX('Raw Data'!$P$2:$P$1044,_xlfn.AGGREGATE(15,3,('Raw Data'!$O$1:$O$1044=Invoice!$E$3)/('Raw Data'!$O$1:$O$1044=Invoice!$E$3)*(ROW('Raw Data'!$O$1:O1125)-ROW('Raw Data'!$O$1)),ROWS($A$44:A125))),"")</f>
        <v/>
      </c>
      <c r="C125" s="36" t="str">
        <f>IFERROR(INDEX('Raw Data'!$C$2:$C$1044,_xlfn.AGGREGATE(15,3,('Raw Data'!$O$1:$O$1044=Invoice!$E$3)/('Raw Data'!$O$1:$O$1044=Invoice!$E$3)*(ROW('Raw Data'!$O$1:O1125)-ROW('Raw Data'!$O$1)),ROWS($A$44:A125))),"")</f>
        <v/>
      </c>
      <c r="D125" s="36" t="str">
        <f>IFERROR(INDEX('Raw Data'!$R$2:$R$1044,_xlfn.AGGREGATE(15,3,('Raw Data'!$O$1:$O$1044=Invoice!$E$3)/('Raw Data'!$O$1:$O$1044=Invoice!$E$3)*(ROW('Raw Data'!$O$1:O1125)-ROW('Raw Data'!$O$1)),ROWS($A$44:B125))),"")</f>
        <v/>
      </c>
      <c r="E125" s="252" t="str">
        <f>IFERROR(INDEX('Raw Data'!$N$3:$N$1045,_xlfn.AGGREGATE(15,3,('Raw Data'!$O$1:$O$1044=Invoice!$E$3)/('Raw Data'!$O$1:$O$1044=Invoice!$E$3)*(ROW('Raw Data'!$O$1:O1125)-ROW('Raw Data'!$O$1)),ROWS($A$44:B125))),"")</f>
        <v/>
      </c>
      <c r="F125" s="252"/>
      <c r="G125" s="37" t="str">
        <f>IFERROR(_xlfn.SINGLE(INDEX('Raw Data'!#REF!,_xlfn.AGGREGATE(15,3,('Raw Data'!$O$1:$O$1044=Invoice!$E$3)/('Raw Data'!$O$1:$O$1044=Invoice!$E$3)*(ROW('Raw Data'!$O$1:O1125)-ROW('Raw Data'!$O$1)),ROWS($A$44:E125)))),"")</f>
        <v/>
      </c>
    </row>
    <row r="126" spans="2:7" ht="30" customHeight="1">
      <c r="B126" s="31" t="str">
        <f>IFERROR(INDEX('Raw Data'!$P$2:$P$1044,_xlfn.AGGREGATE(15,3,('Raw Data'!$O$1:$O$1044=Invoice!$E$3)/('Raw Data'!$O$1:$O$1044=Invoice!$E$3)*(ROW('Raw Data'!$O$1:O1126)-ROW('Raw Data'!$O$1)),ROWS($A$44:A126))),"")</f>
        <v/>
      </c>
      <c r="C126" s="36" t="str">
        <f>IFERROR(INDEX('Raw Data'!$C$2:$C$1044,_xlfn.AGGREGATE(15,3,('Raw Data'!$O$1:$O$1044=Invoice!$E$3)/('Raw Data'!$O$1:$O$1044=Invoice!$E$3)*(ROW('Raw Data'!$O$1:O1126)-ROW('Raw Data'!$O$1)),ROWS($A$44:A126))),"")</f>
        <v/>
      </c>
      <c r="D126" s="36" t="str">
        <f>IFERROR(INDEX('Raw Data'!$R$2:$R$1044,_xlfn.AGGREGATE(15,3,('Raw Data'!$O$1:$O$1044=Invoice!$E$3)/('Raw Data'!$O$1:$O$1044=Invoice!$E$3)*(ROW('Raw Data'!$O$1:O1126)-ROW('Raw Data'!$O$1)),ROWS($A$44:B126))),"")</f>
        <v/>
      </c>
      <c r="E126" s="252" t="str">
        <f>IFERROR(INDEX('Raw Data'!$N$3:$N$1045,_xlfn.AGGREGATE(15,3,('Raw Data'!$O$1:$O$1044=Invoice!$E$3)/('Raw Data'!$O$1:$O$1044=Invoice!$E$3)*(ROW('Raw Data'!$O$1:O1126)-ROW('Raw Data'!$O$1)),ROWS($A$44:B126))),"")</f>
        <v/>
      </c>
      <c r="F126" s="252"/>
      <c r="G126" s="37" t="str">
        <f>IFERROR(_xlfn.SINGLE(INDEX('Raw Data'!#REF!,_xlfn.AGGREGATE(15,3,('Raw Data'!$O$1:$O$1044=Invoice!$E$3)/('Raw Data'!$O$1:$O$1044=Invoice!$E$3)*(ROW('Raw Data'!$O$1:O1126)-ROW('Raw Data'!$O$1)),ROWS($A$44:E126)))),"")</f>
        <v/>
      </c>
    </row>
    <row r="127" spans="2:7" ht="30" customHeight="1">
      <c r="B127" s="31" t="str">
        <f>IFERROR(INDEX('Raw Data'!$P$2:$P$1044,_xlfn.AGGREGATE(15,3,('Raw Data'!$O$1:$O$1044=Invoice!$E$3)/('Raw Data'!$O$1:$O$1044=Invoice!$E$3)*(ROW('Raw Data'!$O$1:O1127)-ROW('Raw Data'!$O$1)),ROWS($A$44:A127))),"")</f>
        <v/>
      </c>
      <c r="C127" s="36" t="str">
        <f>IFERROR(INDEX('Raw Data'!$C$2:$C$1044,_xlfn.AGGREGATE(15,3,('Raw Data'!$O$1:$O$1044=Invoice!$E$3)/('Raw Data'!$O$1:$O$1044=Invoice!$E$3)*(ROW('Raw Data'!$O$1:O1127)-ROW('Raw Data'!$O$1)),ROWS($A$44:A127))),"")</f>
        <v/>
      </c>
      <c r="D127" s="36" t="str">
        <f>IFERROR(INDEX('Raw Data'!$R$2:$R$1044,_xlfn.AGGREGATE(15,3,('Raw Data'!$O$1:$O$1044=Invoice!$E$3)/('Raw Data'!$O$1:$O$1044=Invoice!$E$3)*(ROW('Raw Data'!$O$1:O1127)-ROW('Raw Data'!$O$1)),ROWS($A$44:B127))),"")</f>
        <v/>
      </c>
      <c r="E127" s="252" t="str">
        <f>IFERROR(INDEX('Raw Data'!$N$3:$N$1045,_xlfn.AGGREGATE(15,3,('Raw Data'!$O$1:$O$1044=Invoice!$E$3)/('Raw Data'!$O$1:$O$1044=Invoice!$E$3)*(ROW('Raw Data'!$O$1:O1127)-ROW('Raw Data'!$O$1)),ROWS($A$44:B127))),"")</f>
        <v/>
      </c>
      <c r="F127" s="252"/>
      <c r="G127" s="37" t="str">
        <f>IFERROR(_xlfn.SINGLE(INDEX('Raw Data'!#REF!,_xlfn.AGGREGATE(15,3,('Raw Data'!$O$1:$O$1044=Invoice!$E$3)/('Raw Data'!$O$1:$O$1044=Invoice!$E$3)*(ROW('Raw Data'!$O$1:O1127)-ROW('Raw Data'!$O$1)),ROWS($A$44:E127)))),"")</f>
        <v/>
      </c>
    </row>
    <row r="128" spans="2:7" ht="30" customHeight="1">
      <c r="B128" s="31" t="str">
        <f>IFERROR(INDEX('Raw Data'!$P$2:$P$1044,_xlfn.AGGREGATE(15,3,('Raw Data'!$O$1:$O$1044=Invoice!$E$3)/('Raw Data'!$O$1:$O$1044=Invoice!$E$3)*(ROW('Raw Data'!$O$1:O1128)-ROW('Raw Data'!$O$1)),ROWS($A$44:A128))),"")</f>
        <v/>
      </c>
      <c r="C128" s="36" t="str">
        <f>IFERROR(INDEX('Raw Data'!$C$2:$C$1044,_xlfn.AGGREGATE(15,3,('Raw Data'!$O$1:$O$1044=Invoice!$E$3)/('Raw Data'!$O$1:$O$1044=Invoice!$E$3)*(ROW('Raw Data'!$O$1:O1128)-ROW('Raw Data'!$O$1)),ROWS($A$44:A128))),"")</f>
        <v/>
      </c>
      <c r="D128" s="36" t="str">
        <f>IFERROR(INDEX('Raw Data'!$R$2:$R$1044,_xlfn.AGGREGATE(15,3,('Raw Data'!$O$1:$O$1044=Invoice!$E$3)/('Raw Data'!$O$1:$O$1044=Invoice!$E$3)*(ROW('Raw Data'!$O$1:O1128)-ROW('Raw Data'!$O$1)),ROWS($A$44:B128))),"")</f>
        <v/>
      </c>
      <c r="E128" s="252" t="str">
        <f>IFERROR(INDEX('Raw Data'!$N$3:$N$1045,_xlfn.AGGREGATE(15,3,('Raw Data'!$O$1:$O$1044=Invoice!$E$3)/('Raw Data'!$O$1:$O$1044=Invoice!$E$3)*(ROW('Raw Data'!$O$1:O1128)-ROW('Raw Data'!$O$1)),ROWS($A$44:B128))),"")</f>
        <v/>
      </c>
      <c r="F128" s="252"/>
      <c r="G128" s="37" t="str">
        <f>IFERROR(_xlfn.SINGLE(INDEX('Raw Data'!#REF!,_xlfn.AGGREGATE(15,3,('Raw Data'!$O$1:$O$1044=Invoice!$E$3)/('Raw Data'!$O$1:$O$1044=Invoice!$E$3)*(ROW('Raw Data'!$O$1:O1128)-ROW('Raw Data'!$O$1)),ROWS($A$44:E128)))),"")</f>
        <v/>
      </c>
    </row>
    <row r="129" spans="2:7" ht="30" customHeight="1">
      <c r="B129" s="31" t="str">
        <f>IFERROR(INDEX('Raw Data'!$P$2:$P$1044,_xlfn.AGGREGATE(15,3,('Raw Data'!$O$1:$O$1044=Invoice!$E$3)/('Raw Data'!$O$1:$O$1044=Invoice!$E$3)*(ROW('Raw Data'!$O$1:O1129)-ROW('Raw Data'!$O$1)),ROWS($A$44:A129))),"")</f>
        <v/>
      </c>
      <c r="C129" s="36" t="str">
        <f>IFERROR(INDEX('Raw Data'!$C$2:$C$1044,_xlfn.AGGREGATE(15,3,('Raw Data'!$O$1:$O$1044=Invoice!$E$3)/('Raw Data'!$O$1:$O$1044=Invoice!$E$3)*(ROW('Raw Data'!$O$1:O1129)-ROW('Raw Data'!$O$1)),ROWS($A$44:A129))),"")</f>
        <v/>
      </c>
      <c r="D129" s="36" t="str">
        <f>IFERROR(INDEX('Raw Data'!$R$2:$R$1044,_xlfn.AGGREGATE(15,3,('Raw Data'!$O$1:$O$1044=Invoice!$E$3)/('Raw Data'!$O$1:$O$1044=Invoice!$E$3)*(ROW('Raw Data'!$O$1:O1129)-ROW('Raw Data'!$O$1)),ROWS($A$44:B129))),"")</f>
        <v/>
      </c>
      <c r="E129" s="252" t="str">
        <f>IFERROR(INDEX('Raw Data'!$N$3:$N$1045,_xlfn.AGGREGATE(15,3,('Raw Data'!$O$1:$O$1044=Invoice!$E$3)/('Raw Data'!$O$1:$O$1044=Invoice!$E$3)*(ROW('Raw Data'!$O$1:O1129)-ROW('Raw Data'!$O$1)),ROWS($A$44:B129))),"")</f>
        <v/>
      </c>
      <c r="F129" s="252"/>
      <c r="G129" s="37" t="str">
        <f>IFERROR(_xlfn.SINGLE(INDEX('Raw Data'!#REF!,_xlfn.AGGREGATE(15,3,('Raw Data'!$O$1:$O$1044=Invoice!$E$3)/('Raw Data'!$O$1:$O$1044=Invoice!$E$3)*(ROW('Raw Data'!$O$1:O1129)-ROW('Raw Data'!$O$1)),ROWS($A$44:E129)))),"")</f>
        <v/>
      </c>
    </row>
    <row r="130" spans="2:7" ht="30" customHeight="1">
      <c r="B130" s="31" t="str">
        <f>IFERROR(INDEX('Raw Data'!$P$2:$P$1044,_xlfn.AGGREGATE(15,3,('Raw Data'!$O$1:$O$1044=Invoice!$E$3)/('Raw Data'!$O$1:$O$1044=Invoice!$E$3)*(ROW('Raw Data'!$O$1:O1130)-ROW('Raw Data'!$O$1)),ROWS($A$44:A130))),"")</f>
        <v/>
      </c>
      <c r="C130" s="36" t="str">
        <f>IFERROR(INDEX('Raw Data'!$C$2:$C$1044,_xlfn.AGGREGATE(15,3,('Raw Data'!$O$1:$O$1044=Invoice!$E$3)/('Raw Data'!$O$1:$O$1044=Invoice!$E$3)*(ROW('Raw Data'!$O$1:O1130)-ROW('Raw Data'!$O$1)),ROWS($A$44:A130))),"")</f>
        <v/>
      </c>
      <c r="D130" s="36" t="str">
        <f>IFERROR(INDEX('Raw Data'!$R$2:$R$1044,_xlfn.AGGREGATE(15,3,('Raw Data'!$O$1:$O$1044=Invoice!$E$3)/('Raw Data'!$O$1:$O$1044=Invoice!$E$3)*(ROW('Raw Data'!$O$1:O1130)-ROW('Raw Data'!$O$1)),ROWS($A$44:B130))),"")</f>
        <v/>
      </c>
      <c r="E130" s="252" t="str">
        <f>IFERROR(INDEX('Raw Data'!$N$3:$N$1045,_xlfn.AGGREGATE(15,3,('Raw Data'!$O$1:$O$1044=Invoice!$E$3)/('Raw Data'!$O$1:$O$1044=Invoice!$E$3)*(ROW('Raw Data'!$O$1:O1130)-ROW('Raw Data'!$O$1)),ROWS($A$44:B130))),"")</f>
        <v/>
      </c>
      <c r="F130" s="252"/>
      <c r="G130" s="37" t="str">
        <f>IFERROR(_xlfn.SINGLE(INDEX('Raw Data'!#REF!,_xlfn.AGGREGATE(15,3,('Raw Data'!$O$1:$O$1044=Invoice!$E$3)/('Raw Data'!$O$1:$O$1044=Invoice!$E$3)*(ROW('Raw Data'!$O$1:O1130)-ROW('Raw Data'!$O$1)),ROWS($A$44:E130)))),"")</f>
        <v/>
      </c>
    </row>
    <row r="131" spans="2:7" ht="30" customHeight="1">
      <c r="B131" s="31" t="str">
        <f>IFERROR(INDEX('Raw Data'!$P$2:$P$1044,_xlfn.AGGREGATE(15,3,('Raw Data'!$O$1:$O$1044=Invoice!$E$3)/('Raw Data'!$O$1:$O$1044=Invoice!$E$3)*(ROW('Raw Data'!$O$1:O1131)-ROW('Raw Data'!$O$1)),ROWS($A$44:A131))),"")</f>
        <v/>
      </c>
      <c r="C131" s="36" t="str">
        <f>IFERROR(INDEX('Raw Data'!$C$2:$C$1044,_xlfn.AGGREGATE(15,3,('Raw Data'!$O$1:$O$1044=Invoice!$E$3)/('Raw Data'!$O$1:$O$1044=Invoice!$E$3)*(ROW('Raw Data'!$O$1:O1131)-ROW('Raw Data'!$O$1)),ROWS($A$44:A131))),"")</f>
        <v/>
      </c>
      <c r="D131" s="36" t="str">
        <f>IFERROR(INDEX('Raw Data'!$R$2:$R$1044,_xlfn.AGGREGATE(15,3,('Raw Data'!$O$1:$O$1044=Invoice!$E$3)/('Raw Data'!$O$1:$O$1044=Invoice!$E$3)*(ROW('Raw Data'!$O$1:O1131)-ROW('Raw Data'!$O$1)),ROWS($A$44:B131))),"")</f>
        <v/>
      </c>
      <c r="E131" s="252" t="str">
        <f>IFERROR(INDEX('Raw Data'!$N$3:$N$1045,_xlfn.AGGREGATE(15,3,('Raw Data'!$O$1:$O$1044=Invoice!$E$3)/('Raw Data'!$O$1:$O$1044=Invoice!$E$3)*(ROW('Raw Data'!$O$1:O1131)-ROW('Raw Data'!$O$1)),ROWS($A$44:B131))),"")</f>
        <v/>
      </c>
      <c r="F131" s="252"/>
      <c r="G131" s="37" t="str">
        <f>IFERROR(_xlfn.SINGLE(INDEX('Raw Data'!#REF!,_xlfn.AGGREGATE(15,3,('Raw Data'!$O$1:$O$1044=Invoice!$E$3)/('Raw Data'!$O$1:$O$1044=Invoice!$E$3)*(ROW('Raw Data'!$O$1:O1131)-ROW('Raw Data'!$O$1)),ROWS($A$44:E131)))),"")</f>
        <v/>
      </c>
    </row>
    <row r="132" spans="2:7" ht="30" customHeight="1">
      <c r="B132" s="31" t="str">
        <f>IFERROR(INDEX('Raw Data'!$P$2:$P$1044,_xlfn.AGGREGATE(15,3,('Raw Data'!$O$1:$O$1044=Invoice!$E$3)/('Raw Data'!$O$1:$O$1044=Invoice!$E$3)*(ROW('Raw Data'!$O$1:O1132)-ROW('Raw Data'!$O$1)),ROWS($A$44:A132))),"")</f>
        <v/>
      </c>
      <c r="C132" s="36" t="str">
        <f>IFERROR(INDEX('Raw Data'!$C$2:$C$1044,_xlfn.AGGREGATE(15,3,('Raw Data'!$O$1:$O$1044=Invoice!$E$3)/('Raw Data'!$O$1:$O$1044=Invoice!$E$3)*(ROW('Raw Data'!$O$1:O1132)-ROW('Raw Data'!$O$1)),ROWS($A$44:A132))),"")</f>
        <v/>
      </c>
      <c r="D132" s="36" t="str">
        <f>IFERROR(INDEX('Raw Data'!$R$2:$R$1044,_xlfn.AGGREGATE(15,3,('Raw Data'!$O$1:$O$1044=Invoice!$E$3)/('Raw Data'!$O$1:$O$1044=Invoice!$E$3)*(ROW('Raw Data'!$O$1:O1132)-ROW('Raw Data'!$O$1)),ROWS($A$44:B132))),"")</f>
        <v/>
      </c>
      <c r="E132" s="252" t="str">
        <f>IFERROR(INDEX('Raw Data'!$N$3:$N$1045,_xlfn.AGGREGATE(15,3,('Raw Data'!$O$1:$O$1044=Invoice!$E$3)/('Raw Data'!$O$1:$O$1044=Invoice!$E$3)*(ROW('Raw Data'!$O$1:O1132)-ROW('Raw Data'!$O$1)),ROWS($A$44:B132))),"")</f>
        <v/>
      </c>
      <c r="F132" s="252"/>
      <c r="G132" s="37" t="str">
        <f>IFERROR(_xlfn.SINGLE(INDEX('Raw Data'!#REF!,_xlfn.AGGREGATE(15,3,('Raw Data'!$O$1:$O$1044=Invoice!$E$3)/('Raw Data'!$O$1:$O$1044=Invoice!$E$3)*(ROW('Raw Data'!$O$1:O1132)-ROW('Raw Data'!$O$1)),ROWS($A$44:E132)))),"")</f>
        <v/>
      </c>
    </row>
    <row r="133" spans="2:7" ht="30" customHeight="1">
      <c r="B133" s="31" t="str">
        <f>IFERROR(INDEX('Raw Data'!$P$2:$P$1044,_xlfn.AGGREGATE(15,3,('Raw Data'!$O$1:$O$1044=Invoice!$E$3)/('Raw Data'!$O$1:$O$1044=Invoice!$E$3)*(ROW('Raw Data'!$O$1:O1133)-ROW('Raw Data'!$O$1)),ROWS($A$44:A133))),"")</f>
        <v/>
      </c>
      <c r="C133" s="36" t="str">
        <f>IFERROR(INDEX('Raw Data'!$C$2:$C$1044,_xlfn.AGGREGATE(15,3,('Raw Data'!$O$1:$O$1044=Invoice!$E$3)/('Raw Data'!$O$1:$O$1044=Invoice!$E$3)*(ROW('Raw Data'!$O$1:O1133)-ROW('Raw Data'!$O$1)),ROWS($A$44:A133))),"")</f>
        <v/>
      </c>
      <c r="D133" s="36" t="str">
        <f>IFERROR(INDEX('Raw Data'!$R$2:$R$1044,_xlfn.AGGREGATE(15,3,('Raw Data'!$O$1:$O$1044=Invoice!$E$3)/('Raw Data'!$O$1:$O$1044=Invoice!$E$3)*(ROW('Raw Data'!$O$1:O1133)-ROW('Raw Data'!$O$1)),ROWS($A$44:B133))),"")</f>
        <v/>
      </c>
      <c r="E133" s="252" t="str">
        <f>IFERROR(INDEX('Raw Data'!$N$3:$N$1045,_xlfn.AGGREGATE(15,3,('Raw Data'!$O$1:$O$1044=Invoice!$E$3)/('Raw Data'!$O$1:$O$1044=Invoice!$E$3)*(ROW('Raw Data'!$O$1:O1133)-ROW('Raw Data'!$O$1)),ROWS($A$44:B133))),"")</f>
        <v/>
      </c>
      <c r="F133" s="252"/>
      <c r="G133" s="37" t="str">
        <f>IFERROR(_xlfn.SINGLE(INDEX('Raw Data'!#REF!,_xlfn.AGGREGATE(15,3,('Raw Data'!$O$1:$O$1044=Invoice!$E$3)/('Raw Data'!$O$1:$O$1044=Invoice!$E$3)*(ROW('Raw Data'!$O$1:O1133)-ROW('Raw Data'!$O$1)),ROWS($A$44:E133)))),"")</f>
        <v/>
      </c>
    </row>
    <row r="134" spans="2:7" ht="30" customHeight="1">
      <c r="B134" s="31" t="str">
        <f>IFERROR(INDEX('Raw Data'!$P$2:$P$1044,_xlfn.AGGREGATE(15,3,('Raw Data'!$O$1:$O$1044=Invoice!$E$3)/('Raw Data'!$O$1:$O$1044=Invoice!$E$3)*(ROW('Raw Data'!$O$1:O1134)-ROW('Raw Data'!$O$1)),ROWS($A$44:A134))),"")</f>
        <v/>
      </c>
      <c r="C134" s="36" t="str">
        <f>IFERROR(INDEX('Raw Data'!$C$2:$C$1044,_xlfn.AGGREGATE(15,3,('Raw Data'!$O$1:$O$1044=Invoice!$E$3)/('Raw Data'!$O$1:$O$1044=Invoice!$E$3)*(ROW('Raw Data'!$O$1:O1134)-ROW('Raw Data'!$O$1)),ROWS($A$44:A134))),"")</f>
        <v/>
      </c>
      <c r="D134" s="36" t="str">
        <f>IFERROR(INDEX('Raw Data'!$R$2:$R$1044,_xlfn.AGGREGATE(15,3,('Raw Data'!$O$1:$O$1044=Invoice!$E$3)/('Raw Data'!$O$1:$O$1044=Invoice!$E$3)*(ROW('Raw Data'!$O$1:O1134)-ROW('Raw Data'!$O$1)),ROWS($A$44:B134))),"")</f>
        <v/>
      </c>
      <c r="E134" s="252" t="str">
        <f>IFERROR(INDEX('Raw Data'!$N$3:$N$1045,_xlfn.AGGREGATE(15,3,('Raw Data'!$O$1:$O$1044=Invoice!$E$3)/('Raw Data'!$O$1:$O$1044=Invoice!$E$3)*(ROW('Raw Data'!$O$1:O1134)-ROW('Raw Data'!$O$1)),ROWS($A$44:B134))),"")</f>
        <v/>
      </c>
      <c r="F134" s="252"/>
      <c r="G134" s="37" t="str">
        <f>IFERROR(_xlfn.SINGLE(INDEX('Raw Data'!#REF!,_xlfn.AGGREGATE(15,3,('Raw Data'!$O$1:$O$1044=Invoice!$E$3)/('Raw Data'!$O$1:$O$1044=Invoice!$E$3)*(ROW('Raw Data'!$O$1:O1134)-ROW('Raw Data'!$O$1)),ROWS($A$44:E134)))),"")</f>
        <v/>
      </c>
    </row>
    <row r="135" spans="2:7" ht="30" customHeight="1">
      <c r="B135" s="31" t="str">
        <f>IFERROR(INDEX('Raw Data'!$P$2:$P$1044,_xlfn.AGGREGATE(15,3,('Raw Data'!$O$1:$O$1044=Invoice!$E$3)/('Raw Data'!$O$1:$O$1044=Invoice!$E$3)*(ROW('Raw Data'!$O$1:O1135)-ROW('Raw Data'!$O$1)),ROWS($A$44:A135))),"")</f>
        <v/>
      </c>
      <c r="C135" s="36" t="str">
        <f>IFERROR(INDEX('Raw Data'!$C$2:$C$1044,_xlfn.AGGREGATE(15,3,('Raw Data'!$O$1:$O$1044=Invoice!$E$3)/('Raw Data'!$O$1:$O$1044=Invoice!$E$3)*(ROW('Raw Data'!$O$1:O1135)-ROW('Raw Data'!$O$1)),ROWS($A$44:A135))),"")</f>
        <v/>
      </c>
      <c r="D135" s="36" t="str">
        <f>IFERROR(INDEX('Raw Data'!$R$2:$R$1044,_xlfn.AGGREGATE(15,3,('Raw Data'!$O$1:$O$1044=Invoice!$E$3)/('Raw Data'!$O$1:$O$1044=Invoice!$E$3)*(ROW('Raw Data'!$O$1:O1135)-ROW('Raw Data'!$O$1)),ROWS($A$44:B135))),"")</f>
        <v/>
      </c>
      <c r="E135" s="252" t="str">
        <f>IFERROR(INDEX('Raw Data'!$N$3:$N$1045,_xlfn.AGGREGATE(15,3,('Raw Data'!$O$1:$O$1044=Invoice!$E$3)/('Raw Data'!$O$1:$O$1044=Invoice!$E$3)*(ROW('Raw Data'!$O$1:O1135)-ROW('Raw Data'!$O$1)),ROWS($A$44:B135))),"")</f>
        <v/>
      </c>
      <c r="F135" s="252"/>
      <c r="G135" s="37" t="str">
        <f>IFERROR(_xlfn.SINGLE(INDEX('Raw Data'!#REF!,_xlfn.AGGREGATE(15,3,('Raw Data'!$O$1:$O$1044=Invoice!$E$3)/('Raw Data'!$O$1:$O$1044=Invoice!$E$3)*(ROW('Raw Data'!$O$1:O1135)-ROW('Raw Data'!$O$1)),ROWS($A$44:E135)))),"")</f>
        <v/>
      </c>
    </row>
    <row r="136" spans="2:7" ht="30" customHeight="1">
      <c r="B136" s="31" t="str">
        <f>IFERROR(INDEX('Raw Data'!$P$2:$P$1044,_xlfn.AGGREGATE(15,3,('Raw Data'!$O$1:$O$1044=Invoice!$E$3)/('Raw Data'!$O$1:$O$1044=Invoice!$E$3)*(ROW('Raw Data'!$O$1:O1136)-ROW('Raw Data'!$O$1)),ROWS($A$44:A136))),"")</f>
        <v/>
      </c>
      <c r="C136" s="36" t="str">
        <f>IFERROR(INDEX('Raw Data'!$C$2:$C$1044,_xlfn.AGGREGATE(15,3,('Raw Data'!$O$1:$O$1044=Invoice!$E$3)/('Raw Data'!$O$1:$O$1044=Invoice!$E$3)*(ROW('Raw Data'!$O$1:O1136)-ROW('Raw Data'!$O$1)),ROWS($A$44:A136))),"")</f>
        <v/>
      </c>
      <c r="D136" s="36" t="str">
        <f>IFERROR(INDEX('Raw Data'!$R$2:$R$1044,_xlfn.AGGREGATE(15,3,('Raw Data'!$O$1:$O$1044=Invoice!$E$3)/('Raw Data'!$O$1:$O$1044=Invoice!$E$3)*(ROW('Raw Data'!$O$1:O1136)-ROW('Raw Data'!$O$1)),ROWS($A$44:B136))),"")</f>
        <v/>
      </c>
      <c r="E136" s="252" t="str">
        <f>IFERROR(INDEX('Raw Data'!$N$3:$N$1045,_xlfn.AGGREGATE(15,3,('Raw Data'!$O$1:$O$1044=Invoice!$E$3)/('Raw Data'!$O$1:$O$1044=Invoice!$E$3)*(ROW('Raw Data'!$O$1:O1136)-ROW('Raw Data'!$O$1)),ROWS($A$44:B136))),"")</f>
        <v/>
      </c>
      <c r="F136" s="252"/>
      <c r="G136" s="37" t="str">
        <f>IFERROR(_xlfn.SINGLE(INDEX('Raw Data'!#REF!,_xlfn.AGGREGATE(15,3,('Raw Data'!$O$1:$O$1044=Invoice!$E$3)/('Raw Data'!$O$1:$O$1044=Invoice!$E$3)*(ROW('Raw Data'!$O$1:O1136)-ROW('Raw Data'!$O$1)),ROWS($A$44:E136)))),"")</f>
        <v/>
      </c>
    </row>
    <row r="137" spans="2:7" ht="30" customHeight="1">
      <c r="B137" s="31" t="str">
        <f>IFERROR(INDEX('Raw Data'!$P$2:$P$1044,_xlfn.AGGREGATE(15,3,('Raw Data'!$O$1:$O$1044=Invoice!$E$3)/('Raw Data'!$O$1:$O$1044=Invoice!$E$3)*(ROW('Raw Data'!$O$1:O1137)-ROW('Raw Data'!$O$1)),ROWS($A$44:A137))),"")</f>
        <v/>
      </c>
      <c r="C137" s="36" t="str">
        <f>IFERROR(INDEX('Raw Data'!$C$2:$C$1044,_xlfn.AGGREGATE(15,3,('Raw Data'!$O$1:$O$1044=Invoice!$E$3)/('Raw Data'!$O$1:$O$1044=Invoice!$E$3)*(ROW('Raw Data'!$O$1:O1137)-ROW('Raw Data'!$O$1)),ROWS($A$44:A137))),"")</f>
        <v/>
      </c>
      <c r="D137" s="36" t="str">
        <f>IFERROR(INDEX('Raw Data'!$R$2:$R$1044,_xlfn.AGGREGATE(15,3,('Raw Data'!$O$1:$O$1044=Invoice!$E$3)/('Raw Data'!$O$1:$O$1044=Invoice!$E$3)*(ROW('Raw Data'!$O$1:O1137)-ROW('Raw Data'!$O$1)),ROWS($A$44:B137))),"")</f>
        <v/>
      </c>
      <c r="E137" s="252" t="str">
        <f>IFERROR(INDEX('Raw Data'!$N$3:$N$1045,_xlfn.AGGREGATE(15,3,('Raw Data'!$O$1:$O$1044=Invoice!$E$3)/('Raw Data'!$O$1:$O$1044=Invoice!$E$3)*(ROW('Raw Data'!$O$1:O1137)-ROW('Raw Data'!$O$1)),ROWS($A$44:B137))),"")</f>
        <v/>
      </c>
      <c r="F137" s="252"/>
      <c r="G137" s="37" t="str">
        <f>IFERROR(_xlfn.SINGLE(INDEX('Raw Data'!#REF!,_xlfn.AGGREGATE(15,3,('Raw Data'!$O$1:$O$1044=Invoice!$E$3)/('Raw Data'!$O$1:$O$1044=Invoice!$E$3)*(ROW('Raw Data'!$O$1:O1137)-ROW('Raw Data'!$O$1)),ROWS($A$44:E137)))),"")</f>
        <v/>
      </c>
    </row>
    <row r="138" spans="2:7" ht="30" customHeight="1">
      <c r="B138" s="31" t="str">
        <f>IFERROR(INDEX('Raw Data'!$P$2:$P$1044,_xlfn.AGGREGATE(15,3,('Raw Data'!$O$1:$O$1044=Invoice!$E$3)/('Raw Data'!$O$1:$O$1044=Invoice!$E$3)*(ROW('Raw Data'!$O$1:O1138)-ROW('Raw Data'!$O$1)),ROWS($A$44:A138))),"")</f>
        <v/>
      </c>
      <c r="C138" s="36" t="str">
        <f>IFERROR(INDEX('Raw Data'!$C$2:$C$1044,_xlfn.AGGREGATE(15,3,('Raw Data'!$O$1:$O$1044=Invoice!$E$3)/('Raw Data'!$O$1:$O$1044=Invoice!$E$3)*(ROW('Raw Data'!$O$1:O1138)-ROW('Raw Data'!$O$1)),ROWS($A$44:A138))),"")</f>
        <v/>
      </c>
      <c r="D138" s="36" t="str">
        <f>IFERROR(INDEX('Raw Data'!$R$2:$R$1044,_xlfn.AGGREGATE(15,3,('Raw Data'!$O$1:$O$1044=Invoice!$E$3)/('Raw Data'!$O$1:$O$1044=Invoice!$E$3)*(ROW('Raw Data'!$O$1:O1138)-ROW('Raw Data'!$O$1)),ROWS($A$44:B138))),"")</f>
        <v/>
      </c>
      <c r="E138" s="252" t="str">
        <f>IFERROR(INDEX('Raw Data'!$N$3:$N$1045,_xlfn.AGGREGATE(15,3,('Raw Data'!$O$1:$O$1044=Invoice!$E$3)/('Raw Data'!$O$1:$O$1044=Invoice!$E$3)*(ROW('Raw Data'!$O$1:O1138)-ROW('Raw Data'!$O$1)),ROWS($A$44:B138))),"")</f>
        <v/>
      </c>
      <c r="F138" s="252"/>
      <c r="G138" s="37" t="str">
        <f>IFERROR(_xlfn.SINGLE(INDEX('Raw Data'!#REF!,_xlfn.AGGREGATE(15,3,('Raw Data'!$O$1:$O$1044=Invoice!$E$3)/('Raw Data'!$O$1:$O$1044=Invoice!$E$3)*(ROW('Raw Data'!$O$1:O1138)-ROW('Raw Data'!$O$1)),ROWS($A$44:E138)))),"")</f>
        <v/>
      </c>
    </row>
    <row r="139" spans="2:7" ht="30" customHeight="1">
      <c r="B139" s="31" t="str">
        <f>IFERROR(INDEX('Raw Data'!$P$2:$P$1044,_xlfn.AGGREGATE(15,3,('Raw Data'!$O$1:$O$1044=Invoice!$E$3)/('Raw Data'!$O$1:$O$1044=Invoice!$E$3)*(ROW('Raw Data'!$O$1:O1139)-ROW('Raw Data'!$O$1)),ROWS($A$44:A139))),"")</f>
        <v/>
      </c>
      <c r="C139" s="36" t="str">
        <f>IFERROR(INDEX('Raw Data'!$C$2:$C$1044,_xlfn.AGGREGATE(15,3,('Raw Data'!$O$1:$O$1044=Invoice!$E$3)/('Raw Data'!$O$1:$O$1044=Invoice!$E$3)*(ROW('Raw Data'!$O$1:O1139)-ROW('Raw Data'!$O$1)),ROWS($A$44:A139))),"")</f>
        <v/>
      </c>
      <c r="D139" s="36" t="str">
        <f>IFERROR(INDEX('Raw Data'!$R$2:$R$1044,_xlfn.AGGREGATE(15,3,('Raw Data'!$O$1:$O$1044=Invoice!$E$3)/('Raw Data'!$O$1:$O$1044=Invoice!$E$3)*(ROW('Raw Data'!$O$1:O1139)-ROW('Raw Data'!$O$1)),ROWS($A$44:B139))),"")</f>
        <v/>
      </c>
      <c r="E139" s="252" t="str">
        <f>IFERROR(INDEX('Raw Data'!$N$3:$N$1045,_xlfn.AGGREGATE(15,3,('Raw Data'!$O$1:$O$1044=Invoice!$E$3)/('Raw Data'!$O$1:$O$1044=Invoice!$E$3)*(ROW('Raw Data'!$O$1:O1139)-ROW('Raw Data'!$O$1)),ROWS($A$44:B139))),"")</f>
        <v/>
      </c>
      <c r="F139" s="252"/>
      <c r="G139" s="37" t="str">
        <f>IFERROR(_xlfn.SINGLE(INDEX('Raw Data'!#REF!,_xlfn.AGGREGATE(15,3,('Raw Data'!$O$1:$O$1044=Invoice!$E$3)/('Raw Data'!$O$1:$O$1044=Invoice!$E$3)*(ROW('Raw Data'!$O$1:O1139)-ROW('Raw Data'!$O$1)),ROWS($A$44:E139)))),"")</f>
        <v/>
      </c>
    </row>
    <row r="140" spans="2:7" ht="30" customHeight="1">
      <c r="B140" s="31" t="str">
        <f>IFERROR(INDEX('Raw Data'!$P$2:$P$1044,_xlfn.AGGREGATE(15,3,('Raw Data'!$O$1:$O$1044=Invoice!$E$3)/('Raw Data'!$O$1:$O$1044=Invoice!$E$3)*(ROW('Raw Data'!$O$1:O1140)-ROW('Raw Data'!$O$1)),ROWS($A$44:A140))),"")</f>
        <v/>
      </c>
      <c r="C140" s="36" t="str">
        <f>IFERROR(INDEX('Raw Data'!$C$2:$C$1044,_xlfn.AGGREGATE(15,3,('Raw Data'!$O$1:$O$1044=Invoice!$E$3)/('Raw Data'!$O$1:$O$1044=Invoice!$E$3)*(ROW('Raw Data'!$O$1:O1140)-ROW('Raw Data'!$O$1)),ROWS($A$44:A140))),"")</f>
        <v/>
      </c>
      <c r="D140" s="36" t="str">
        <f>IFERROR(INDEX('Raw Data'!$R$2:$R$1044,_xlfn.AGGREGATE(15,3,('Raw Data'!$O$1:$O$1044=Invoice!$E$3)/('Raw Data'!$O$1:$O$1044=Invoice!$E$3)*(ROW('Raw Data'!$O$1:O1140)-ROW('Raw Data'!$O$1)),ROWS($A$44:B140))),"")</f>
        <v/>
      </c>
      <c r="E140" s="252" t="str">
        <f>IFERROR(INDEX('Raw Data'!$N$3:$N$1045,_xlfn.AGGREGATE(15,3,('Raw Data'!$O$1:$O$1044=Invoice!$E$3)/('Raw Data'!$O$1:$O$1044=Invoice!$E$3)*(ROW('Raw Data'!$O$1:O1140)-ROW('Raw Data'!$O$1)),ROWS($A$44:B140))),"")</f>
        <v/>
      </c>
      <c r="F140" s="252"/>
      <c r="G140" s="37" t="str">
        <f>IFERROR(_xlfn.SINGLE(INDEX('Raw Data'!#REF!,_xlfn.AGGREGATE(15,3,('Raw Data'!$O$1:$O$1044=Invoice!$E$3)/('Raw Data'!$O$1:$O$1044=Invoice!$E$3)*(ROW('Raw Data'!$O$1:O1140)-ROW('Raw Data'!$O$1)),ROWS($A$44:E140)))),"")</f>
        <v/>
      </c>
    </row>
    <row r="141" spans="2:7" ht="30" customHeight="1">
      <c r="B141" s="31" t="str">
        <f>IFERROR(INDEX('Raw Data'!$P$2:$P$1044,_xlfn.AGGREGATE(15,3,('Raw Data'!$O$1:$O$1044=Invoice!$E$3)/('Raw Data'!$O$1:$O$1044=Invoice!$E$3)*(ROW('Raw Data'!$O$1:O1141)-ROW('Raw Data'!$O$1)),ROWS($A$44:A141))),"")</f>
        <v/>
      </c>
      <c r="C141" s="36" t="str">
        <f>IFERROR(INDEX('Raw Data'!$C$2:$C$1044,_xlfn.AGGREGATE(15,3,('Raw Data'!$O$1:$O$1044=Invoice!$E$3)/('Raw Data'!$O$1:$O$1044=Invoice!$E$3)*(ROW('Raw Data'!$O$1:O1141)-ROW('Raw Data'!$O$1)),ROWS($A$44:A141))),"")</f>
        <v/>
      </c>
      <c r="D141" s="36" t="str">
        <f>IFERROR(INDEX('Raw Data'!$R$2:$R$1044,_xlfn.AGGREGATE(15,3,('Raw Data'!$O$1:$O$1044=Invoice!$E$3)/('Raw Data'!$O$1:$O$1044=Invoice!$E$3)*(ROW('Raw Data'!$O$1:O1141)-ROW('Raw Data'!$O$1)),ROWS($A$44:B141))),"")</f>
        <v/>
      </c>
      <c r="E141" s="252" t="str">
        <f>IFERROR(INDEX('Raw Data'!$N$3:$N$1045,_xlfn.AGGREGATE(15,3,('Raw Data'!$O$1:$O$1044=Invoice!$E$3)/('Raw Data'!$O$1:$O$1044=Invoice!$E$3)*(ROW('Raw Data'!$O$1:O1141)-ROW('Raw Data'!$O$1)),ROWS($A$44:B141))),"")</f>
        <v/>
      </c>
      <c r="F141" s="252"/>
      <c r="G141" s="37" t="str">
        <f>IFERROR(_xlfn.SINGLE(INDEX('Raw Data'!#REF!,_xlfn.AGGREGATE(15,3,('Raw Data'!$O$1:$O$1044=Invoice!$E$3)/('Raw Data'!$O$1:$O$1044=Invoice!$E$3)*(ROW('Raw Data'!$O$1:O1141)-ROW('Raw Data'!$O$1)),ROWS($A$44:E141)))),"")</f>
        <v/>
      </c>
    </row>
    <row r="142" spans="2:7" ht="30" customHeight="1">
      <c r="B142" s="31" t="str">
        <f>IFERROR(INDEX('Raw Data'!$P$2:$P$1044,_xlfn.AGGREGATE(15,3,('Raw Data'!$O$1:$O$1044=Invoice!$E$3)/('Raw Data'!$O$1:$O$1044=Invoice!$E$3)*(ROW('Raw Data'!$O$1:O1142)-ROW('Raw Data'!$O$1)),ROWS($A$44:A142))),"")</f>
        <v/>
      </c>
      <c r="C142" s="36" t="str">
        <f>IFERROR(INDEX('Raw Data'!$C$2:$C$1044,_xlfn.AGGREGATE(15,3,('Raw Data'!$O$1:$O$1044=Invoice!$E$3)/('Raw Data'!$O$1:$O$1044=Invoice!$E$3)*(ROW('Raw Data'!$O$1:O1142)-ROW('Raw Data'!$O$1)),ROWS($A$44:A142))),"")</f>
        <v/>
      </c>
      <c r="D142" s="36" t="str">
        <f>IFERROR(INDEX('Raw Data'!$R$2:$R$1044,_xlfn.AGGREGATE(15,3,('Raw Data'!$O$1:$O$1044=Invoice!$E$3)/('Raw Data'!$O$1:$O$1044=Invoice!$E$3)*(ROW('Raw Data'!$O$1:O1142)-ROW('Raw Data'!$O$1)),ROWS($A$44:B142))),"")</f>
        <v/>
      </c>
      <c r="E142" s="252" t="str">
        <f>IFERROR(INDEX('Raw Data'!$N$3:$N$1045,_xlfn.AGGREGATE(15,3,('Raw Data'!$O$1:$O$1044=Invoice!$E$3)/('Raw Data'!$O$1:$O$1044=Invoice!$E$3)*(ROW('Raw Data'!$O$1:O1142)-ROW('Raw Data'!$O$1)),ROWS($A$44:B142))),"")</f>
        <v/>
      </c>
      <c r="F142" s="252"/>
      <c r="G142" s="37" t="str">
        <f>IFERROR(_xlfn.SINGLE(INDEX('Raw Data'!#REF!,_xlfn.AGGREGATE(15,3,('Raw Data'!$O$1:$O$1044=Invoice!$E$3)/('Raw Data'!$O$1:$O$1044=Invoice!$E$3)*(ROW('Raw Data'!$O$1:O1142)-ROW('Raw Data'!$O$1)),ROWS($A$44:E142)))),"")</f>
        <v/>
      </c>
    </row>
    <row r="143" spans="2:7" ht="30" customHeight="1">
      <c r="B143" s="31" t="str">
        <f>IFERROR(INDEX('Raw Data'!$P$2:$P$1044,_xlfn.AGGREGATE(15,3,('Raw Data'!$O$1:$O$1044=Invoice!$E$3)/('Raw Data'!$O$1:$O$1044=Invoice!$E$3)*(ROW('Raw Data'!$O$1:O1143)-ROW('Raw Data'!$O$1)),ROWS($A$44:A143))),"")</f>
        <v/>
      </c>
      <c r="C143" s="36" t="str">
        <f>IFERROR(INDEX('Raw Data'!$C$2:$C$1044,_xlfn.AGGREGATE(15,3,('Raw Data'!$O$1:$O$1044=Invoice!$E$3)/('Raw Data'!$O$1:$O$1044=Invoice!$E$3)*(ROW('Raw Data'!$O$1:O1143)-ROW('Raw Data'!$O$1)),ROWS($A$44:A143))),"")</f>
        <v/>
      </c>
      <c r="D143" s="36" t="str">
        <f>IFERROR(INDEX('Raw Data'!$R$2:$R$1044,_xlfn.AGGREGATE(15,3,('Raw Data'!$O$1:$O$1044=Invoice!$E$3)/('Raw Data'!$O$1:$O$1044=Invoice!$E$3)*(ROW('Raw Data'!$O$1:O1143)-ROW('Raw Data'!$O$1)),ROWS($A$44:B143))),"")</f>
        <v/>
      </c>
      <c r="E143" s="252" t="str">
        <f>IFERROR(INDEX('Raw Data'!$N$3:$N$1045,_xlfn.AGGREGATE(15,3,('Raw Data'!$O$1:$O$1044=Invoice!$E$3)/('Raw Data'!$O$1:$O$1044=Invoice!$E$3)*(ROW('Raw Data'!$O$1:O1143)-ROW('Raw Data'!$O$1)),ROWS($A$44:B143))),"")</f>
        <v/>
      </c>
      <c r="F143" s="252"/>
      <c r="G143" s="37" t="str">
        <f>IFERROR(_xlfn.SINGLE(INDEX('Raw Data'!#REF!,_xlfn.AGGREGATE(15,3,('Raw Data'!$O$1:$O$1044=Invoice!$E$3)/('Raw Data'!$O$1:$O$1044=Invoice!$E$3)*(ROW('Raw Data'!$O$1:O1143)-ROW('Raw Data'!$O$1)),ROWS($A$44:E143)))),"")</f>
        <v/>
      </c>
    </row>
    <row r="144" spans="2:7" ht="30" customHeight="1">
      <c r="B144" s="31" t="str">
        <f>IFERROR(INDEX('Raw Data'!$P$2:$P$1044,_xlfn.AGGREGATE(15,3,('Raw Data'!$O$1:$O$1044=Invoice!$E$3)/('Raw Data'!$O$1:$O$1044=Invoice!$E$3)*(ROW('Raw Data'!$O$1:O1144)-ROW('Raw Data'!$O$1)),ROWS($A$44:A144))),"")</f>
        <v/>
      </c>
      <c r="C144" s="36" t="str">
        <f>IFERROR(INDEX('Raw Data'!$C$2:$C$1044,_xlfn.AGGREGATE(15,3,('Raw Data'!$O$1:$O$1044=Invoice!$E$3)/('Raw Data'!$O$1:$O$1044=Invoice!$E$3)*(ROW('Raw Data'!$O$1:O1144)-ROW('Raw Data'!$O$1)),ROWS($A$44:A144))),"")</f>
        <v/>
      </c>
      <c r="D144" s="36" t="str">
        <f>IFERROR(INDEX('Raw Data'!$R$2:$R$1044,_xlfn.AGGREGATE(15,3,('Raw Data'!$O$1:$O$1044=Invoice!$E$3)/('Raw Data'!$O$1:$O$1044=Invoice!$E$3)*(ROW('Raw Data'!$O$1:O1144)-ROW('Raw Data'!$O$1)),ROWS($A$44:B144))),"")</f>
        <v/>
      </c>
      <c r="E144" s="252" t="str">
        <f>IFERROR(INDEX('Raw Data'!$N$3:$N$1045,_xlfn.AGGREGATE(15,3,('Raw Data'!$O$1:$O$1044=Invoice!$E$3)/('Raw Data'!$O$1:$O$1044=Invoice!$E$3)*(ROW('Raw Data'!$O$1:O1144)-ROW('Raw Data'!$O$1)),ROWS($A$44:B144))),"")</f>
        <v/>
      </c>
      <c r="F144" s="252"/>
      <c r="G144" s="37" t="str">
        <f>IFERROR(_xlfn.SINGLE(INDEX('Raw Data'!#REF!,_xlfn.AGGREGATE(15,3,('Raw Data'!$O$1:$O$1044=Invoice!$E$3)/('Raw Data'!$O$1:$O$1044=Invoice!$E$3)*(ROW('Raw Data'!$O$1:O1144)-ROW('Raw Data'!$O$1)),ROWS($A$44:E144)))),"")</f>
        <v/>
      </c>
    </row>
    <row r="145" spans="2:7" ht="30" customHeight="1">
      <c r="B145" s="31" t="str">
        <f>IFERROR(INDEX('Raw Data'!$P$2:$P$1044,_xlfn.AGGREGATE(15,3,('Raw Data'!$O$1:$O$1044=Invoice!$E$3)/('Raw Data'!$O$1:$O$1044=Invoice!$E$3)*(ROW('Raw Data'!$O$1:O1145)-ROW('Raw Data'!$O$1)),ROWS($A$44:A145))),"")</f>
        <v/>
      </c>
      <c r="C145" s="36" t="str">
        <f>IFERROR(INDEX('Raw Data'!$C$2:$C$1044,_xlfn.AGGREGATE(15,3,('Raw Data'!$O$1:$O$1044=Invoice!$E$3)/('Raw Data'!$O$1:$O$1044=Invoice!$E$3)*(ROW('Raw Data'!$O$1:O1145)-ROW('Raw Data'!$O$1)),ROWS($A$44:A145))),"")</f>
        <v/>
      </c>
      <c r="D145" s="36" t="str">
        <f>IFERROR(INDEX('Raw Data'!$R$2:$R$1044,_xlfn.AGGREGATE(15,3,('Raw Data'!$O$1:$O$1044=Invoice!$E$3)/('Raw Data'!$O$1:$O$1044=Invoice!$E$3)*(ROW('Raw Data'!$O$1:O1145)-ROW('Raw Data'!$O$1)),ROWS($A$44:B145))),"")</f>
        <v/>
      </c>
      <c r="E145" s="252" t="str">
        <f>IFERROR(INDEX('Raw Data'!$N$3:$N$1045,_xlfn.AGGREGATE(15,3,('Raw Data'!$O$1:$O$1044=Invoice!$E$3)/('Raw Data'!$O$1:$O$1044=Invoice!$E$3)*(ROW('Raw Data'!$O$1:O1145)-ROW('Raw Data'!$O$1)),ROWS($A$44:B145))),"")</f>
        <v/>
      </c>
      <c r="F145" s="252"/>
      <c r="G145" s="37" t="str">
        <f>IFERROR(_xlfn.SINGLE(INDEX('Raw Data'!#REF!,_xlfn.AGGREGATE(15,3,('Raw Data'!$O$1:$O$1044=Invoice!$E$3)/('Raw Data'!$O$1:$O$1044=Invoice!$E$3)*(ROW('Raw Data'!$O$1:O1145)-ROW('Raw Data'!$O$1)),ROWS($A$44:E145)))),"")</f>
        <v/>
      </c>
    </row>
    <row r="146" spans="2:7" ht="30" customHeight="1">
      <c r="B146" s="31" t="str">
        <f>IFERROR(INDEX('Raw Data'!$P$2:$P$1044,_xlfn.AGGREGATE(15,3,('Raw Data'!$O$1:$O$1044=Invoice!$E$3)/('Raw Data'!$O$1:$O$1044=Invoice!$E$3)*(ROW('Raw Data'!$O$1:O1146)-ROW('Raw Data'!$O$1)),ROWS($A$44:A146))),"")</f>
        <v/>
      </c>
      <c r="C146" s="36" t="str">
        <f>IFERROR(INDEX('Raw Data'!$C$2:$C$1044,_xlfn.AGGREGATE(15,3,('Raw Data'!$O$1:$O$1044=Invoice!$E$3)/('Raw Data'!$O$1:$O$1044=Invoice!$E$3)*(ROW('Raw Data'!$O$1:O1146)-ROW('Raw Data'!$O$1)),ROWS($A$44:A146))),"")</f>
        <v/>
      </c>
      <c r="D146" s="36" t="str">
        <f>IFERROR(INDEX('Raw Data'!$R$2:$R$1044,_xlfn.AGGREGATE(15,3,('Raw Data'!$O$1:$O$1044=Invoice!$E$3)/('Raw Data'!$O$1:$O$1044=Invoice!$E$3)*(ROW('Raw Data'!$O$1:O1146)-ROW('Raw Data'!$O$1)),ROWS($A$44:B146))),"")</f>
        <v/>
      </c>
      <c r="E146" s="252" t="str">
        <f>IFERROR(INDEX('Raw Data'!$N$3:$N$1045,_xlfn.AGGREGATE(15,3,('Raw Data'!$O$1:$O$1044=Invoice!$E$3)/('Raw Data'!$O$1:$O$1044=Invoice!$E$3)*(ROW('Raw Data'!$O$1:O1146)-ROW('Raw Data'!$O$1)),ROWS($A$44:B146))),"")</f>
        <v/>
      </c>
      <c r="F146" s="252"/>
      <c r="G146" s="37" t="str">
        <f>IFERROR(_xlfn.SINGLE(INDEX('Raw Data'!#REF!,_xlfn.AGGREGATE(15,3,('Raw Data'!$O$1:$O$1044=Invoice!$E$3)/('Raw Data'!$O$1:$O$1044=Invoice!$E$3)*(ROW('Raw Data'!$O$1:O1146)-ROW('Raw Data'!$O$1)),ROWS($A$44:E146)))),"")</f>
        <v/>
      </c>
    </row>
    <row r="147" spans="2:7" ht="30" customHeight="1">
      <c r="B147" s="31" t="str">
        <f>IFERROR(INDEX('Raw Data'!$P$2:$P$1044,_xlfn.AGGREGATE(15,3,('Raw Data'!$O$1:$O$1044=Invoice!$E$3)/('Raw Data'!$O$1:$O$1044=Invoice!$E$3)*(ROW('Raw Data'!$O$1:O1147)-ROW('Raw Data'!$O$1)),ROWS($A$44:A147))),"")</f>
        <v/>
      </c>
      <c r="C147" s="36" t="str">
        <f>IFERROR(INDEX('Raw Data'!$C$2:$C$1044,_xlfn.AGGREGATE(15,3,('Raw Data'!$O$1:$O$1044=Invoice!$E$3)/('Raw Data'!$O$1:$O$1044=Invoice!$E$3)*(ROW('Raw Data'!$O$1:O1147)-ROW('Raw Data'!$O$1)),ROWS($A$44:A147))),"")</f>
        <v/>
      </c>
      <c r="D147" s="36" t="str">
        <f>IFERROR(INDEX('Raw Data'!$R$2:$R$1044,_xlfn.AGGREGATE(15,3,('Raw Data'!$O$1:$O$1044=Invoice!$E$3)/('Raw Data'!$O$1:$O$1044=Invoice!$E$3)*(ROW('Raw Data'!$O$1:O1147)-ROW('Raw Data'!$O$1)),ROWS($A$44:B147))),"")</f>
        <v/>
      </c>
      <c r="E147" s="252" t="str">
        <f>IFERROR(INDEX('Raw Data'!$N$3:$N$1045,_xlfn.AGGREGATE(15,3,('Raw Data'!$O$1:$O$1044=Invoice!$E$3)/('Raw Data'!$O$1:$O$1044=Invoice!$E$3)*(ROW('Raw Data'!$O$1:O1147)-ROW('Raw Data'!$O$1)),ROWS($A$44:B147))),"")</f>
        <v/>
      </c>
      <c r="F147" s="252"/>
      <c r="G147" s="37" t="str">
        <f>IFERROR(_xlfn.SINGLE(INDEX('Raw Data'!#REF!,_xlfn.AGGREGATE(15,3,('Raw Data'!$O$1:$O$1044=Invoice!$E$3)/('Raw Data'!$O$1:$O$1044=Invoice!$E$3)*(ROW('Raw Data'!$O$1:O1147)-ROW('Raw Data'!$O$1)),ROWS($A$44:E147)))),"")</f>
        <v/>
      </c>
    </row>
    <row r="148" spans="2:7" ht="30" customHeight="1">
      <c r="B148" s="31" t="str">
        <f>IFERROR(INDEX('Raw Data'!$P$2:$P$1044,_xlfn.AGGREGATE(15,3,('Raw Data'!$O$1:$O$1044=Invoice!$E$3)/('Raw Data'!$O$1:$O$1044=Invoice!$E$3)*(ROW('Raw Data'!$O$1:O1148)-ROW('Raw Data'!$O$1)),ROWS($A$44:A148))),"")</f>
        <v/>
      </c>
      <c r="C148" s="36" t="str">
        <f>IFERROR(INDEX('Raw Data'!$C$2:$C$1044,_xlfn.AGGREGATE(15,3,('Raw Data'!$O$1:$O$1044=Invoice!$E$3)/('Raw Data'!$O$1:$O$1044=Invoice!$E$3)*(ROW('Raw Data'!$O$1:O1148)-ROW('Raw Data'!$O$1)),ROWS($A$44:A148))),"")</f>
        <v/>
      </c>
      <c r="D148" s="36" t="str">
        <f>IFERROR(INDEX('Raw Data'!$R$2:$R$1044,_xlfn.AGGREGATE(15,3,('Raw Data'!$O$1:$O$1044=Invoice!$E$3)/('Raw Data'!$O$1:$O$1044=Invoice!$E$3)*(ROW('Raw Data'!$O$1:O1148)-ROW('Raw Data'!$O$1)),ROWS($A$44:B148))),"")</f>
        <v/>
      </c>
      <c r="E148" s="252" t="str">
        <f>IFERROR(INDEX('Raw Data'!$N$3:$N$1045,_xlfn.AGGREGATE(15,3,('Raw Data'!$O$1:$O$1044=Invoice!$E$3)/('Raw Data'!$O$1:$O$1044=Invoice!$E$3)*(ROW('Raw Data'!$O$1:O1148)-ROW('Raw Data'!$O$1)),ROWS($A$44:B148))),"")</f>
        <v/>
      </c>
      <c r="F148" s="252"/>
      <c r="G148" s="37" t="str">
        <f>IFERROR(_xlfn.SINGLE(INDEX('Raw Data'!#REF!,_xlfn.AGGREGATE(15,3,('Raw Data'!$O$1:$O$1044=Invoice!$E$3)/('Raw Data'!$O$1:$O$1044=Invoice!$E$3)*(ROW('Raw Data'!$O$1:O1148)-ROW('Raw Data'!$O$1)),ROWS($A$44:E148)))),"")</f>
        <v/>
      </c>
    </row>
    <row r="149" spans="2:7" ht="30" customHeight="1">
      <c r="B149" s="31" t="str">
        <f>IFERROR(INDEX('Raw Data'!$P$2:$P$1044,_xlfn.AGGREGATE(15,3,('Raw Data'!$O$1:$O$1044=Invoice!$E$3)/('Raw Data'!$O$1:$O$1044=Invoice!$E$3)*(ROW('Raw Data'!$O$1:O1149)-ROW('Raw Data'!$O$1)),ROWS($A$44:A149))),"")</f>
        <v/>
      </c>
      <c r="C149" s="36" t="str">
        <f>IFERROR(INDEX('Raw Data'!$C$2:$C$1044,_xlfn.AGGREGATE(15,3,('Raw Data'!$O$1:$O$1044=Invoice!$E$3)/('Raw Data'!$O$1:$O$1044=Invoice!$E$3)*(ROW('Raw Data'!$O$1:O1149)-ROW('Raw Data'!$O$1)),ROWS($A$44:A149))),"")</f>
        <v/>
      </c>
      <c r="D149" s="36" t="str">
        <f>IFERROR(INDEX('Raw Data'!$R$2:$R$1044,_xlfn.AGGREGATE(15,3,('Raw Data'!$O$1:$O$1044=Invoice!$E$3)/('Raw Data'!$O$1:$O$1044=Invoice!$E$3)*(ROW('Raw Data'!$O$1:O1149)-ROW('Raw Data'!$O$1)),ROWS($A$44:B149))),"")</f>
        <v/>
      </c>
      <c r="E149" s="252" t="str">
        <f>IFERROR(INDEX('Raw Data'!$N$3:$N$1045,_xlfn.AGGREGATE(15,3,('Raw Data'!$O$1:$O$1044=Invoice!$E$3)/('Raw Data'!$O$1:$O$1044=Invoice!$E$3)*(ROW('Raw Data'!$O$1:O1149)-ROW('Raw Data'!$O$1)),ROWS($A$44:B149))),"")</f>
        <v/>
      </c>
      <c r="F149" s="252"/>
      <c r="G149" s="37" t="str">
        <f>IFERROR(_xlfn.SINGLE(INDEX('Raw Data'!#REF!,_xlfn.AGGREGATE(15,3,('Raw Data'!$O$1:$O$1044=Invoice!$E$3)/('Raw Data'!$O$1:$O$1044=Invoice!$E$3)*(ROW('Raw Data'!$O$1:O1149)-ROW('Raw Data'!$O$1)),ROWS($A$44:E149)))),"")</f>
        <v/>
      </c>
    </row>
    <row r="150" spans="2:7" ht="30" customHeight="1">
      <c r="B150" s="31" t="str">
        <f>IFERROR(INDEX('Raw Data'!$P$2:$P$1044,_xlfn.AGGREGATE(15,3,('Raw Data'!$O$1:$O$1044=Invoice!$E$3)/('Raw Data'!$O$1:$O$1044=Invoice!$E$3)*(ROW('Raw Data'!$O$1:O1150)-ROW('Raw Data'!$O$1)),ROWS($A$44:A150))),"")</f>
        <v/>
      </c>
      <c r="C150" s="36" t="str">
        <f>IFERROR(INDEX('Raw Data'!$C$2:$C$1044,_xlfn.AGGREGATE(15,3,('Raw Data'!$O$1:$O$1044=Invoice!$E$3)/('Raw Data'!$O$1:$O$1044=Invoice!$E$3)*(ROW('Raw Data'!$O$1:O1150)-ROW('Raw Data'!$O$1)),ROWS($A$44:A150))),"")</f>
        <v/>
      </c>
      <c r="D150" s="36" t="str">
        <f>IFERROR(INDEX('Raw Data'!$R$2:$R$1044,_xlfn.AGGREGATE(15,3,('Raw Data'!$O$1:$O$1044=Invoice!$E$3)/('Raw Data'!$O$1:$O$1044=Invoice!$E$3)*(ROW('Raw Data'!$O$1:O1150)-ROW('Raw Data'!$O$1)),ROWS($A$44:B150))),"")</f>
        <v/>
      </c>
      <c r="E150" s="252" t="str">
        <f>IFERROR(INDEX('Raw Data'!$N$3:$N$1045,_xlfn.AGGREGATE(15,3,('Raw Data'!$O$1:$O$1044=Invoice!$E$3)/('Raw Data'!$O$1:$O$1044=Invoice!$E$3)*(ROW('Raw Data'!$O$1:O1150)-ROW('Raw Data'!$O$1)),ROWS($A$44:B150))),"")</f>
        <v/>
      </c>
      <c r="F150" s="252"/>
      <c r="G150" s="37" t="str">
        <f>IFERROR(_xlfn.SINGLE(INDEX('Raw Data'!#REF!,_xlfn.AGGREGATE(15,3,('Raw Data'!$O$1:$O$1044=Invoice!$E$3)/('Raw Data'!$O$1:$O$1044=Invoice!$E$3)*(ROW('Raw Data'!$O$1:O1150)-ROW('Raw Data'!$O$1)),ROWS($A$44:E150)))),"")</f>
        <v/>
      </c>
    </row>
    <row r="151" spans="2:7" ht="30" customHeight="1">
      <c r="B151" s="31" t="str">
        <f>IFERROR(INDEX('Raw Data'!$P$2:$P$1044,_xlfn.AGGREGATE(15,3,('Raw Data'!$O$1:$O$1044=Invoice!$E$3)/('Raw Data'!$O$1:$O$1044=Invoice!$E$3)*(ROW('Raw Data'!$O$1:O1151)-ROW('Raw Data'!$O$1)),ROWS($A$44:A151))),"")</f>
        <v/>
      </c>
      <c r="C151" s="36" t="str">
        <f>IFERROR(INDEX('Raw Data'!$C$2:$C$1044,_xlfn.AGGREGATE(15,3,('Raw Data'!$O$1:$O$1044=Invoice!$E$3)/('Raw Data'!$O$1:$O$1044=Invoice!$E$3)*(ROW('Raw Data'!$O$1:O1151)-ROW('Raw Data'!$O$1)),ROWS($A$44:A151))),"")</f>
        <v/>
      </c>
      <c r="D151" s="36" t="str">
        <f>IFERROR(INDEX('Raw Data'!$R$2:$R$1044,_xlfn.AGGREGATE(15,3,('Raw Data'!$O$1:$O$1044=Invoice!$E$3)/('Raw Data'!$O$1:$O$1044=Invoice!$E$3)*(ROW('Raw Data'!$O$1:O1151)-ROW('Raw Data'!$O$1)),ROWS($A$44:B151))),"")</f>
        <v/>
      </c>
      <c r="E151" s="252" t="str">
        <f>IFERROR(INDEX('Raw Data'!$N$3:$N$1045,_xlfn.AGGREGATE(15,3,('Raw Data'!$O$1:$O$1044=Invoice!$E$3)/('Raw Data'!$O$1:$O$1044=Invoice!$E$3)*(ROW('Raw Data'!$O$1:O1151)-ROW('Raw Data'!$O$1)),ROWS($A$44:B151))),"")</f>
        <v/>
      </c>
      <c r="F151" s="252"/>
      <c r="G151" s="37" t="str">
        <f>IFERROR(_xlfn.SINGLE(INDEX('Raw Data'!#REF!,_xlfn.AGGREGATE(15,3,('Raw Data'!$O$1:$O$1044=Invoice!$E$3)/('Raw Data'!$O$1:$O$1044=Invoice!$E$3)*(ROW('Raw Data'!$O$1:O1151)-ROW('Raw Data'!$O$1)),ROWS($A$44:E151)))),"")</f>
        <v/>
      </c>
    </row>
    <row r="152" spans="2:7" ht="30" customHeight="1">
      <c r="B152" s="31" t="str">
        <f>IFERROR(INDEX('Raw Data'!$P$2:$P$1044,_xlfn.AGGREGATE(15,3,('Raw Data'!$O$1:$O$1044=Invoice!$E$3)/('Raw Data'!$O$1:$O$1044=Invoice!$E$3)*(ROW('Raw Data'!$O$1:O1152)-ROW('Raw Data'!$O$1)),ROWS($A$44:A152))),"")</f>
        <v/>
      </c>
      <c r="C152" s="36" t="str">
        <f>IFERROR(INDEX('Raw Data'!$C$2:$C$1044,_xlfn.AGGREGATE(15,3,('Raw Data'!$O$1:$O$1044=Invoice!$E$3)/('Raw Data'!$O$1:$O$1044=Invoice!$E$3)*(ROW('Raw Data'!$O$1:O1152)-ROW('Raw Data'!$O$1)),ROWS($A$44:A152))),"")</f>
        <v/>
      </c>
      <c r="D152" s="36" t="str">
        <f>IFERROR(INDEX('Raw Data'!$R$2:$R$1044,_xlfn.AGGREGATE(15,3,('Raw Data'!$O$1:$O$1044=Invoice!$E$3)/('Raw Data'!$O$1:$O$1044=Invoice!$E$3)*(ROW('Raw Data'!$O$1:O1152)-ROW('Raw Data'!$O$1)),ROWS($A$44:B152))),"")</f>
        <v/>
      </c>
      <c r="E152" s="252" t="str">
        <f>IFERROR(INDEX('Raw Data'!$N$3:$N$1045,_xlfn.AGGREGATE(15,3,('Raw Data'!$O$1:$O$1044=Invoice!$E$3)/('Raw Data'!$O$1:$O$1044=Invoice!$E$3)*(ROW('Raw Data'!$O$1:O1152)-ROW('Raw Data'!$O$1)),ROWS($A$44:B152))),"")</f>
        <v/>
      </c>
      <c r="F152" s="252"/>
      <c r="G152" s="37" t="str">
        <f>IFERROR(_xlfn.SINGLE(INDEX('Raw Data'!#REF!,_xlfn.AGGREGATE(15,3,('Raw Data'!$O$1:$O$1044=Invoice!$E$3)/('Raw Data'!$O$1:$O$1044=Invoice!$E$3)*(ROW('Raw Data'!$O$1:O1152)-ROW('Raw Data'!$O$1)),ROWS($A$44:E152)))),"")</f>
        <v/>
      </c>
    </row>
    <row r="153" spans="2:7" ht="30" customHeight="1">
      <c r="B153" s="31" t="str">
        <f>IFERROR(INDEX('Raw Data'!$P$2:$P$1044,_xlfn.AGGREGATE(15,3,('Raw Data'!$O$1:$O$1044=Invoice!$E$3)/('Raw Data'!$O$1:$O$1044=Invoice!$E$3)*(ROW('Raw Data'!$O$1:O1153)-ROW('Raw Data'!$O$1)),ROWS($A$44:A153))),"")</f>
        <v/>
      </c>
      <c r="C153" s="36" t="str">
        <f>IFERROR(INDEX('Raw Data'!$C$2:$C$1044,_xlfn.AGGREGATE(15,3,('Raw Data'!$O$1:$O$1044=Invoice!$E$3)/('Raw Data'!$O$1:$O$1044=Invoice!$E$3)*(ROW('Raw Data'!$O$1:O1153)-ROW('Raw Data'!$O$1)),ROWS($A$44:A153))),"")</f>
        <v/>
      </c>
      <c r="D153" s="36" t="str">
        <f>IFERROR(INDEX('Raw Data'!$R$2:$R$1044,_xlfn.AGGREGATE(15,3,('Raw Data'!$O$1:$O$1044=Invoice!$E$3)/('Raw Data'!$O$1:$O$1044=Invoice!$E$3)*(ROW('Raw Data'!$O$1:O1153)-ROW('Raw Data'!$O$1)),ROWS($A$44:B153))),"")</f>
        <v/>
      </c>
      <c r="E153" s="252" t="str">
        <f>IFERROR(INDEX('Raw Data'!$N$3:$N$1045,_xlfn.AGGREGATE(15,3,('Raw Data'!$O$1:$O$1044=Invoice!$E$3)/('Raw Data'!$O$1:$O$1044=Invoice!$E$3)*(ROW('Raw Data'!$O$1:O1153)-ROW('Raw Data'!$O$1)),ROWS($A$44:B153))),"")</f>
        <v/>
      </c>
      <c r="F153" s="252"/>
      <c r="G153" s="37" t="str">
        <f>IFERROR(_xlfn.SINGLE(INDEX('Raw Data'!#REF!,_xlfn.AGGREGATE(15,3,('Raw Data'!$O$1:$O$1044=Invoice!$E$3)/('Raw Data'!$O$1:$O$1044=Invoice!$E$3)*(ROW('Raw Data'!$O$1:O1153)-ROW('Raw Data'!$O$1)),ROWS($A$44:E153)))),"")</f>
        <v/>
      </c>
    </row>
    <row r="154" spans="2:7" ht="30" customHeight="1">
      <c r="B154" s="31" t="str">
        <f>IFERROR(INDEX('Raw Data'!$P$2:$P$1044,_xlfn.AGGREGATE(15,3,('Raw Data'!$O$1:$O$1044=Invoice!$E$3)/('Raw Data'!$O$1:$O$1044=Invoice!$E$3)*(ROW('Raw Data'!$O$1:O1154)-ROW('Raw Data'!$O$1)),ROWS($A$44:A154))),"")</f>
        <v/>
      </c>
      <c r="C154" s="36" t="str">
        <f>IFERROR(INDEX('Raw Data'!$C$2:$C$1044,_xlfn.AGGREGATE(15,3,('Raw Data'!$O$1:$O$1044=Invoice!$E$3)/('Raw Data'!$O$1:$O$1044=Invoice!$E$3)*(ROW('Raw Data'!$O$1:O1154)-ROW('Raw Data'!$O$1)),ROWS($A$44:A154))),"")</f>
        <v/>
      </c>
      <c r="D154" s="36" t="str">
        <f>IFERROR(INDEX('Raw Data'!$R$2:$R$1044,_xlfn.AGGREGATE(15,3,('Raw Data'!$O$1:$O$1044=Invoice!$E$3)/('Raw Data'!$O$1:$O$1044=Invoice!$E$3)*(ROW('Raw Data'!$O$1:O1154)-ROW('Raw Data'!$O$1)),ROWS($A$44:B154))),"")</f>
        <v/>
      </c>
      <c r="E154" s="252" t="str">
        <f>IFERROR(INDEX('Raw Data'!$N$3:$N$1045,_xlfn.AGGREGATE(15,3,('Raw Data'!$O$1:$O$1044=Invoice!$E$3)/('Raw Data'!$O$1:$O$1044=Invoice!$E$3)*(ROW('Raw Data'!$O$1:O1154)-ROW('Raw Data'!$O$1)),ROWS($A$44:B154))),"")</f>
        <v/>
      </c>
      <c r="F154" s="252"/>
      <c r="G154" s="37" t="str">
        <f>IFERROR(_xlfn.SINGLE(INDEX('Raw Data'!#REF!,_xlfn.AGGREGATE(15,3,('Raw Data'!$O$1:$O$1044=Invoice!$E$3)/('Raw Data'!$O$1:$O$1044=Invoice!$E$3)*(ROW('Raw Data'!$O$1:O1154)-ROW('Raw Data'!$O$1)),ROWS($A$44:E154)))),"")</f>
        <v/>
      </c>
    </row>
    <row r="155" spans="2:7" ht="30" customHeight="1">
      <c r="B155" s="31" t="str">
        <f>IFERROR(INDEX('Raw Data'!$P$2:$P$1044,_xlfn.AGGREGATE(15,3,('Raw Data'!$O$1:$O$1044=Invoice!$E$3)/('Raw Data'!$O$1:$O$1044=Invoice!$E$3)*(ROW('Raw Data'!$O$1:O1155)-ROW('Raw Data'!$O$1)),ROWS($A$44:A155))),"")</f>
        <v/>
      </c>
      <c r="C155" s="36" t="str">
        <f>IFERROR(INDEX('Raw Data'!$C$2:$C$1044,_xlfn.AGGREGATE(15,3,('Raw Data'!$O$1:$O$1044=Invoice!$E$3)/('Raw Data'!$O$1:$O$1044=Invoice!$E$3)*(ROW('Raw Data'!$O$1:O1155)-ROW('Raw Data'!$O$1)),ROWS($A$44:A155))),"")</f>
        <v/>
      </c>
      <c r="D155" s="36" t="str">
        <f>IFERROR(INDEX('Raw Data'!$R$2:$R$1044,_xlfn.AGGREGATE(15,3,('Raw Data'!$O$1:$O$1044=Invoice!$E$3)/('Raw Data'!$O$1:$O$1044=Invoice!$E$3)*(ROW('Raw Data'!$O$1:O1155)-ROW('Raw Data'!$O$1)),ROWS($A$44:B155))),"")</f>
        <v/>
      </c>
      <c r="E155" s="252" t="str">
        <f>IFERROR(INDEX('Raw Data'!$N$3:$N$1045,_xlfn.AGGREGATE(15,3,('Raw Data'!$O$1:$O$1044=Invoice!$E$3)/('Raw Data'!$O$1:$O$1044=Invoice!$E$3)*(ROW('Raw Data'!$O$1:O1155)-ROW('Raw Data'!$O$1)),ROWS($A$44:B155))),"")</f>
        <v/>
      </c>
      <c r="F155" s="252"/>
      <c r="G155" s="37" t="str">
        <f>IFERROR(_xlfn.SINGLE(INDEX('Raw Data'!#REF!,_xlfn.AGGREGATE(15,3,('Raw Data'!$O$1:$O$1044=Invoice!$E$3)/('Raw Data'!$O$1:$O$1044=Invoice!$E$3)*(ROW('Raw Data'!$O$1:O1155)-ROW('Raw Data'!$O$1)),ROWS($A$44:E155)))),"")</f>
        <v/>
      </c>
    </row>
    <row r="156" spans="2:7" ht="30" customHeight="1">
      <c r="B156" s="31" t="str">
        <f>IFERROR(INDEX('Raw Data'!$P$2:$P$1044,_xlfn.AGGREGATE(15,3,('Raw Data'!$O$1:$O$1044=Invoice!$E$3)/('Raw Data'!$O$1:$O$1044=Invoice!$E$3)*(ROW('Raw Data'!$O$1:O1156)-ROW('Raw Data'!$O$1)),ROWS($A$44:A156))),"")</f>
        <v/>
      </c>
      <c r="C156" s="36" t="str">
        <f>IFERROR(INDEX('Raw Data'!$C$2:$C$1044,_xlfn.AGGREGATE(15,3,('Raw Data'!$O$1:$O$1044=Invoice!$E$3)/('Raw Data'!$O$1:$O$1044=Invoice!$E$3)*(ROW('Raw Data'!$O$1:O1156)-ROW('Raw Data'!$O$1)),ROWS($A$44:A156))),"")</f>
        <v/>
      </c>
      <c r="D156" s="36" t="str">
        <f>IFERROR(INDEX('Raw Data'!$R$2:$R$1044,_xlfn.AGGREGATE(15,3,('Raw Data'!$O$1:$O$1044=Invoice!$E$3)/('Raw Data'!$O$1:$O$1044=Invoice!$E$3)*(ROW('Raw Data'!$O$1:O1156)-ROW('Raw Data'!$O$1)),ROWS($A$44:B156))),"")</f>
        <v/>
      </c>
      <c r="E156" s="252" t="str">
        <f>IFERROR(INDEX('Raw Data'!$N$3:$N$1045,_xlfn.AGGREGATE(15,3,('Raw Data'!$O$1:$O$1044=Invoice!$E$3)/('Raw Data'!$O$1:$O$1044=Invoice!$E$3)*(ROW('Raw Data'!$O$1:O1156)-ROW('Raw Data'!$O$1)),ROWS($A$44:B156))),"")</f>
        <v/>
      </c>
      <c r="F156" s="252"/>
      <c r="G156" s="37" t="str">
        <f>IFERROR(_xlfn.SINGLE(INDEX('Raw Data'!#REF!,_xlfn.AGGREGATE(15,3,('Raw Data'!$O$1:$O$1044=Invoice!$E$3)/('Raw Data'!$O$1:$O$1044=Invoice!$E$3)*(ROW('Raw Data'!$O$1:O1156)-ROW('Raw Data'!$O$1)),ROWS($A$44:E156)))),"")</f>
        <v/>
      </c>
    </row>
    <row r="157" spans="2:7" ht="30" customHeight="1">
      <c r="B157" s="31" t="str">
        <f>IFERROR(INDEX('Raw Data'!$P$2:$P$1044,_xlfn.AGGREGATE(15,3,('Raw Data'!$O$1:$O$1044=Invoice!$E$3)/('Raw Data'!$O$1:$O$1044=Invoice!$E$3)*(ROW('Raw Data'!$O$1:O1157)-ROW('Raw Data'!$O$1)),ROWS($A$44:A157))),"")</f>
        <v/>
      </c>
      <c r="C157" s="36" t="str">
        <f>IFERROR(INDEX('Raw Data'!$C$2:$C$1044,_xlfn.AGGREGATE(15,3,('Raw Data'!$O$1:$O$1044=Invoice!$E$3)/('Raw Data'!$O$1:$O$1044=Invoice!$E$3)*(ROW('Raw Data'!$O$1:O1157)-ROW('Raw Data'!$O$1)),ROWS($A$44:A157))),"")</f>
        <v/>
      </c>
      <c r="D157" s="36" t="str">
        <f>IFERROR(INDEX('Raw Data'!$R$2:$R$1044,_xlfn.AGGREGATE(15,3,('Raw Data'!$O$1:$O$1044=Invoice!$E$3)/('Raw Data'!$O$1:$O$1044=Invoice!$E$3)*(ROW('Raw Data'!$O$1:O1157)-ROW('Raw Data'!$O$1)),ROWS($A$44:B157))),"")</f>
        <v/>
      </c>
      <c r="E157" s="252" t="str">
        <f>IFERROR(INDEX('Raw Data'!$N$3:$N$1045,_xlfn.AGGREGATE(15,3,('Raw Data'!$O$1:$O$1044=Invoice!$E$3)/('Raw Data'!$O$1:$O$1044=Invoice!$E$3)*(ROW('Raw Data'!$O$1:O1157)-ROW('Raw Data'!$O$1)),ROWS($A$44:B157))),"")</f>
        <v/>
      </c>
      <c r="F157" s="252"/>
      <c r="G157" s="37" t="str">
        <f>IFERROR(_xlfn.SINGLE(INDEX('Raw Data'!#REF!,_xlfn.AGGREGATE(15,3,('Raw Data'!$O$1:$O$1044=Invoice!$E$3)/('Raw Data'!$O$1:$O$1044=Invoice!$E$3)*(ROW('Raw Data'!$O$1:O1157)-ROW('Raw Data'!$O$1)),ROWS($A$44:E157)))),"")</f>
        <v/>
      </c>
    </row>
    <row r="158" spans="2:7" ht="30" customHeight="1">
      <c r="B158" s="31" t="str">
        <f>IFERROR(INDEX('Raw Data'!$P$2:$P$1044,_xlfn.AGGREGATE(15,3,('Raw Data'!$O$1:$O$1044=Invoice!$E$3)/('Raw Data'!$O$1:$O$1044=Invoice!$E$3)*(ROW('Raw Data'!$O$1:O1158)-ROW('Raw Data'!$O$1)),ROWS($A$44:A158))),"")</f>
        <v/>
      </c>
      <c r="C158" s="36" t="str">
        <f>IFERROR(INDEX('Raw Data'!$C$2:$C$1044,_xlfn.AGGREGATE(15,3,('Raw Data'!$O$1:$O$1044=Invoice!$E$3)/('Raw Data'!$O$1:$O$1044=Invoice!$E$3)*(ROW('Raw Data'!$O$1:O1158)-ROW('Raw Data'!$O$1)),ROWS($A$44:A158))),"")</f>
        <v/>
      </c>
      <c r="D158" s="36" t="str">
        <f>IFERROR(INDEX('Raw Data'!$R$2:$R$1044,_xlfn.AGGREGATE(15,3,('Raw Data'!$O$1:$O$1044=Invoice!$E$3)/('Raw Data'!$O$1:$O$1044=Invoice!$E$3)*(ROW('Raw Data'!$O$1:O1158)-ROW('Raw Data'!$O$1)),ROWS($A$44:B158))),"")</f>
        <v/>
      </c>
      <c r="E158" s="252" t="str">
        <f>IFERROR(INDEX('Raw Data'!$N$3:$N$1045,_xlfn.AGGREGATE(15,3,('Raw Data'!$O$1:$O$1044=Invoice!$E$3)/('Raw Data'!$O$1:$O$1044=Invoice!$E$3)*(ROW('Raw Data'!$O$1:O1158)-ROW('Raw Data'!$O$1)),ROWS($A$44:B158))),"")</f>
        <v/>
      </c>
      <c r="F158" s="252"/>
      <c r="G158" s="37" t="str">
        <f>IFERROR(_xlfn.SINGLE(INDEX('Raw Data'!#REF!,_xlfn.AGGREGATE(15,3,('Raw Data'!$O$1:$O$1044=Invoice!$E$3)/('Raw Data'!$O$1:$O$1044=Invoice!$E$3)*(ROW('Raw Data'!$O$1:O1158)-ROW('Raw Data'!$O$1)),ROWS($A$44:E158)))),"")</f>
        <v/>
      </c>
    </row>
    <row r="159" spans="2:7" ht="30" customHeight="1">
      <c r="B159" s="31" t="str">
        <f>IFERROR(INDEX('Raw Data'!$P$2:$P$1044,_xlfn.AGGREGATE(15,3,('Raw Data'!$O$1:$O$1044=Invoice!$E$3)/('Raw Data'!$O$1:$O$1044=Invoice!$E$3)*(ROW('Raw Data'!$O$1:O1159)-ROW('Raw Data'!$O$1)),ROWS($A$44:A159))),"")</f>
        <v/>
      </c>
      <c r="C159" s="36" t="str">
        <f>IFERROR(INDEX('Raw Data'!$C$2:$C$1044,_xlfn.AGGREGATE(15,3,('Raw Data'!$O$1:$O$1044=Invoice!$E$3)/('Raw Data'!$O$1:$O$1044=Invoice!$E$3)*(ROW('Raw Data'!$O$1:O1159)-ROW('Raw Data'!$O$1)),ROWS($A$44:A159))),"")</f>
        <v/>
      </c>
      <c r="D159" s="36" t="str">
        <f>IFERROR(INDEX('Raw Data'!$R$2:$R$1044,_xlfn.AGGREGATE(15,3,('Raw Data'!$O$1:$O$1044=Invoice!$E$3)/('Raw Data'!$O$1:$O$1044=Invoice!$E$3)*(ROW('Raw Data'!$O$1:O1159)-ROW('Raw Data'!$O$1)),ROWS($A$44:B159))),"")</f>
        <v/>
      </c>
      <c r="E159" s="252" t="str">
        <f>IFERROR(INDEX('Raw Data'!$N$3:$N$1045,_xlfn.AGGREGATE(15,3,('Raw Data'!$O$1:$O$1044=Invoice!$E$3)/('Raw Data'!$O$1:$O$1044=Invoice!$E$3)*(ROW('Raw Data'!$O$1:O1159)-ROW('Raw Data'!$O$1)),ROWS($A$44:B159))),"")</f>
        <v/>
      </c>
      <c r="F159" s="252"/>
      <c r="G159" s="37" t="str">
        <f>IFERROR(_xlfn.SINGLE(INDEX('Raw Data'!#REF!,_xlfn.AGGREGATE(15,3,('Raw Data'!$O$1:$O$1044=Invoice!$E$3)/('Raw Data'!$O$1:$O$1044=Invoice!$E$3)*(ROW('Raw Data'!$O$1:O1159)-ROW('Raw Data'!$O$1)),ROWS($A$44:E159)))),"")</f>
        <v/>
      </c>
    </row>
    <row r="160" spans="2:7" ht="30" customHeight="1">
      <c r="B160" s="31" t="str">
        <f>IFERROR(INDEX('Raw Data'!$P$2:$P$1044,_xlfn.AGGREGATE(15,3,('Raw Data'!$O$1:$O$1044=Invoice!$E$3)/('Raw Data'!$O$1:$O$1044=Invoice!$E$3)*(ROW('Raw Data'!$O$1:O1160)-ROW('Raw Data'!$O$1)),ROWS($A$44:A160))),"")</f>
        <v/>
      </c>
      <c r="C160" s="36" t="str">
        <f>IFERROR(INDEX('Raw Data'!$C$2:$C$1044,_xlfn.AGGREGATE(15,3,('Raw Data'!$O$1:$O$1044=Invoice!$E$3)/('Raw Data'!$O$1:$O$1044=Invoice!$E$3)*(ROW('Raw Data'!$O$1:O1160)-ROW('Raw Data'!$O$1)),ROWS($A$44:A160))),"")</f>
        <v/>
      </c>
      <c r="D160" s="36" t="str">
        <f>IFERROR(INDEX('Raw Data'!$R$2:$R$1044,_xlfn.AGGREGATE(15,3,('Raw Data'!$O$1:$O$1044=Invoice!$E$3)/('Raw Data'!$O$1:$O$1044=Invoice!$E$3)*(ROW('Raw Data'!$O$1:O1160)-ROW('Raw Data'!$O$1)),ROWS($A$44:B160))),"")</f>
        <v/>
      </c>
      <c r="E160" s="252" t="str">
        <f>IFERROR(INDEX('Raw Data'!$N$3:$N$1045,_xlfn.AGGREGATE(15,3,('Raw Data'!$O$1:$O$1044=Invoice!$E$3)/('Raw Data'!$O$1:$O$1044=Invoice!$E$3)*(ROW('Raw Data'!$O$1:O1160)-ROW('Raw Data'!$O$1)),ROWS($A$44:B160))),"")</f>
        <v/>
      </c>
      <c r="F160" s="252"/>
      <c r="G160" s="37" t="str">
        <f>IFERROR(_xlfn.SINGLE(INDEX('Raw Data'!#REF!,_xlfn.AGGREGATE(15,3,('Raw Data'!$O$1:$O$1044=Invoice!$E$3)/('Raw Data'!$O$1:$O$1044=Invoice!$E$3)*(ROW('Raw Data'!$O$1:O1160)-ROW('Raw Data'!$O$1)),ROWS($A$44:E160)))),"")</f>
        <v/>
      </c>
    </row>
    <row r="161" spans="2:7" ht="30" customHeight="1">
      <c r="B161" s="31" t="str">
        <f>IFERROR(INDEX('Raw Data'!$P$2:$P$1044,_xlfn.AGGREGATE(15,3,('Raw Data'!$O$1:$O$1044=Invoice!$E$3)/('Raw Data'!$O$1:$O$1044=Invoice!$E$3)*(ROW('Raw Data'!$O$1:O1161)-ROW('Raw Data'!$O$1)),ROWS($A$44:A161))),"")</f>
        <v/>
      </c>
      <c r="C161" s="36" t="str">
        <f>IFERROR(INDEX('Raw Data'!$C$2:$C$1044,_xlfn.AGGREGATE(15,3,('Raw Data'!$O$1:$O$1044=Invoice!$E$3)/('Raw Data'!$O$1:$O$1044=Invoice!$E$3)*(ROW('Raw Data'!$O$1:O1161)-ROW('Raw Data'!$O$1)),ROWS($A$44:A161))),"")</f>
        <v/>
      </c>
      <c r="D161" s="36" t="str">
        <f>IFERROR(INDEX('Raw Data'!$R$2:$R$1044,_xlfn.AGGREGATE(15,3,('Raw Data'!$O$1:$O$1044=Invoice!$E$3)/('Raw Data'!$O$1:$O$1044=Invoice!$E$3)*(ROW('Raw Data'!$O$1:O1161)-ROW('Raw Data'!$O$1)),ROWS($A$44:B161))),"")</f>
        <v/>
      </c>
      <c r="E161" s="252" t="str">
        <f>IFERROR(INDEX('Raw Data'!$N$3:$N$1045,_xlfn.AGGREGATE(15,3,('Raw Data'!$O$1:$O$1044=Invoice!$E$3)/('Raw Data'!$O$1:$O$1044=Invoice!$E$3)*(ROW('Raw Data'!$O$1:O1161)-ROW('Raw Data'!$O$1)),ROWS($A$44:B161))),"")</f>
        <v/>
      </c>
      <c r="F161" s="252"/>
      <c r="G161" s="37" t="str">
        <f>IFERROR(_xlfn.SINGLE(INDEX('Raw Data'!#REF!,_xlfn.AGGREGATE(15,3,('Raw Data'!$O$1:$O$1044=Invoice!$E$3)/('Raw Data'!$O$1:$O$1044=Invoice!$E$3)*(ROW('Raw Data'!$O$1:O1161)-ROW('Raw Data'!$O$1)),ROWS($A$44:E161)))),"")</f>
        <v/>
      </c>
    </row>
    <row r="162" spans="2:7" ht="30" customHeight="1">
      <c r="B162" s="31" t="str">
        <f>IFERROR(INDEX('Raw Data'!$P$2:$P$1044,_xlfn.AGGREGATE(15,3,('Raw Data'!$O$1:$O$1044=Invoice!$E$3)/('Raw Data'!$O$1:$O$1044=Invoice!$E$3)*(ROW('Raw Data'!$O$1:O1162)-ROW('Raw Data'!$O$1)),ROWS($A$44:A162))),"")</f>
        <v/>
      </c>
      <c r="C162" s="36" t="str">
        <f>IFERROR(INDEX('Raw Data'!$C$2:$C$1044,_xlfn.AGGREGATE(15,3,('Raw Data'!$O$1:$O$1044=Invoice!$E$3)/('Raw Data'!$O$1:$O$1044=Invoice!$E$3)*(ROW('Raw Data'!$O$1:O1162)-ROW('Raw Data'!$O$1)),ROWS($A$44:A162))),"")</f>
        <v/>
      </c>
      <c r="D162" s="36" t="str">
        <f>IFERROR(INDEX('Raw Data'!$R$2:$R$1044,_xlfn.AGGREGATE(15,3,('Raw Data'!$O$1:$O$1044=Invoice!$E$3)/('Raw Data'!$O$1:$O$1044=Invoice!$E$3)*(ROW('Raw Data'!$O$1:O1162)-ROW('Raw Data'!$O$1)),ROWS($A$44:B162))),"")</f>
        <v/>
      </c>
      <c r="E162" s="252" t="str">
        <f>IFERROR(INDEX('Raw Data'!$N$3:$N$1045,_xlfn.AGGREGATE(15,3,('Raw Data'!$O$1:$O$1044=Invoice!$E$3)/('Raw Data'!$O$1:$O$1044=Invoice!$E$3)*(ROW('Raw Data'!$O$1:O1162)-ROW('Raw Data'!$O$1)),ROWS($A$44:B162))),"")</f>
        <v/>
      </c>
      <c r="F162" s="252"/>
      <c r="G162" s="37" t="str">
        <f>IFERROR(_xlfn.SINGLE(INDEX('Raw Data'!#REF!,_xlfn.AGGREGATE(15,3,('Raw Data'!$O$1:$O$1044=Invoice!$E$3)/('Raw Data'!$O$1:$O$1044=Invoice!$E$3)*(ROW('Raw Data'!$O$1:O1162)-ROW('Raw Data'!$O$1)),ROWS($A$44:E162)))),"")</f>
        <v/>
      </c>
    </row>
    <row r="163" spans="2:7" ht="30" customHeight="1">
      <c r="B163" s="31" t="str">
        <f>IFERROR(INDEX('Raw Data'!$P$2:$P$1044,_xlfn.AGGREGATE(15,3,('Raw Data'!$O$1:$O$1044=Invoice!$E$3)/('Raw Data'!$O$1:$O$1044=Invoice!$E$3)*(ROW('Raw Data'!$O$1:O1163)-ROW('Raw Data'!$O$1)),ROWS($A$44:A163))),"")</f>
        <v/>
      </c>
      <c r="C163" s="36" t="str">
        <f>IFERROR(INDEX('Raw Data'!$C$2:$C$1044,_xlfn.AGGREGATE(15,3,('Raw Data'!$O$1:$O$1044=Invoice!$E$3)/('Raw Data'!$O$1:$O$1044=Invoice!$E$3)*(ROW('Raw Data'!$O$1:O1163)-ROW('Raw Data'!$O$1)),ROWS($A$44:A163))),"")</f>
        <v/>
      </c>
      <c r="D163" s="36" t="str">
        <f>IFERROR(INDEX('Raw Data'!$R$2:$R$1044,_xlfn.AGGREGATE(15,3,('Raw Data'!$O$1:$O$1044=Invoice!$E$3)/('Raw Data'!$O$1:$O$1044=Invoice!$E$3)*(ROW('Raw Data'!$O$1:O1163)-ROW('Raw Data'!$O$1)),ROWS($A$44:B163))),"")</f>
        <v/>
      </c>
      <c r="E163" s="252" t="str">
        <f>IFERROR(INDEX('Raw Data'!$N$3:$N$1045,_xlfn.AGGREGATE(15,3,('Raw Data'!$O$1:$O$1044=Invoice!$E$3)/('Raw Data'!$O$1:$O$1044=Invoice!$E$3)*(ROW('Raw Data'!$O$1:O1163)-ROW('Raw Data'!$O$1)),ROWS($A$44:B163))),"")</f>
        <v/>
      </c>
      <c r="F163" s="252"/>
      <c r="G163" s="37" t="str">
        <f>IFERROR(_xlfn.SINGLE(INDEX('Raw Data'!#REF!,_xlfn.AGGREGATE(15,3,('Raw Data'!$O$1:$O$1044=Invoice!$E$3)/('Raw Data'!$O$1:$O$1044=Invoice!$E$3)*(ROW('Raw Data'!$O$1:O1163)-ROW('Raw Data'!$O$1)),ROWS($A$44:E163)))),"")</f>
        <v/>
      </c>
    </row>
    <row r="164" spans="2:7" ht="30" customHeight="1">
      <c r="B164" s="31" t="str">
        <f>IFERROR(INDEX('Raw Data'!$P$2:$P$1044,_xlfn.AGGREGATE(15,3,('Raw Data'!$O$1:$O$1044=Invoice!$E$3)/('Raw Data'!$O$1:$O$1044=Invoice!$E$3)*(ROW('Raw Data'!$O$1:O1164)-ROW('Raw Data'!$O$1)),ROWS($A$44:A164))),"")</f>
        <v/>
      </c>
      <c r="C164" s="36" t="str">
        <f>IFERROR(INDEX('Raw Data'!$C$2:$C$1044,_xlfn.AGGREGATE(15,3,('Raw Data'!$O$1:$O$1044=Invoice!$E$3)/('Raw Data'!$O$1:$O$1044=Invoice!$E$3)*(ROW('Raw Data'!$O$1:O1164)-ROW('Raw Data'!$O$1)),ROWS($A$44:A164))),"")</f>
        <v/>
      </c>
      <c r="D164" s="36" t="str">
        <f>IFERROR(INDEX('Raw Data'!$R$2:$R$1044,_xlfn.AGGREGATE(15,3,('Raw Data'!$O$1:$O$1044=Invoice!$E$3)/('Raw Data'!$O$1:$O$1044=Invoice!$E$3)*(ROW('Raw Data'!$O$1:O1164)-ROW('Raw Data'!$O$1)),ROWS($A$44:B164))),"")</f>
        <v/>
      </c>
      <c r="E164" s="252" t="str">
        <f>IFERROR(INDEX('Raw Data'!$N$3:$N$1045,_xlfn.AGGREGATE(15,3,('Raw Data'!$O$1:$O$1044=Invoice!$E$3)/('Raw Data'!$O$1:$O$1044=Invoice!$E$3)*(ROW('Raw Data'!$O$1:O1164)-ROW('Raw Data'!$O$1)),ROWS($A$44:B164))),"")</f>
        <v/>
      </c>
      <c r="F164" s="252"/>
      <c r="G164" s="37" t="str">
        <f>IFERROR(_xlfn.SINGLE(INDEX('Raw Data'!#REF!,_xlfn.AGGREGATE(15,3,('Raw Data'!$O$1:$O$1044=Invoice!$E$3)/('Raw Data'!$O$1:$O$1044=Invoice!$E$3)*(ROW('Raw Data'!$O$1:O1164)-ROW('Raw Data'!$O$1)),ROWS($A$44:E164)))),"")</f>
        <v/>
      </c>
    </row>
    <row r="165" spans="2:7" ht="30" customHeight="1">
      <c r="B165" s="31" t="str">
        <f>IFERROR(INDEX('Raw Data'!$P$2:$P$1044,_xlfn.AGGREGATE(15,3,('Raw Data'!$O$1:$O$1044=Invoice!$E$3)/('Raw Data'!$O$1:$O$1044=Invoice!$E$3)*(ROW('Raw Data'!$O$1:O1165)-ROW('Raw Data'!$O$1)),ROWS($A$44:A165))),"")</f>
        <v/>
      </c>
      <c r="C165" s="36" t="str">
        <f>IFERROR(INDEX('Raw Data'!$C$2:$C$1044,_xlfn.AGGREGATE(15,3,('Raw Data'!$O$1:$O$1044=Invoice!$E$3)/('Raw Data'!$O$1:$O$1044=Invoice!$E$3)*(ROW('Raw Data'!$O$1:O1165)-ROW('Raw Data'!$O$1)),ROWS($A$44:A165))),"")</f>
        <v/>
      </c>
      <c r="D165" s="36" t="str">
        <f>IFERROR(INDEX('Raw Data'!$R$2:$R$1044,_xlfn.AGGREGATE(15,3,('Raw Data'!$O$1:$O$1044=Invoice!$E$3)/('Raw Data'!$O$1:$O$1044=Invoice!$E$3)*(ROW('Raw Data'!$O$1:O1165)-ROW('Raw Data'!$O$1)),ROWS($A$44:B165))),"")</f>
        <v/>
      </c>
      <c r="E165" s="252" t="str">
        <f>IFERROR(INDEX('Raw Data'!$N$3:$N$1045,_xlfn.AGGREGATE(15,3,('Raw Data'!$O$1:$O$1044=Invoice!$E$3)/('Raw Data'!$O$1:$O$1044=Invoice!$E$3)*(ROW('Raw Data'!$O$1:O1165)-ROW('Raw Data'!$O$1)),ROWS($A$44:B165))),"")</f>
        <v/>
      </c>
      <c r="F165" s="252"/>
      <c r="G165" s="37" t="str">
        <f>IFERROR(_xlfn.SINGLE(INDEX('Raw Data'!#REF!,_xlfn.AGGREGATE(15,3,('Raw Data'!$O$1:$O$1044=Invoice!$E$3)/('Raw Data'!$O$1:$O$1044=Invoice!$E$3)*(ROW('Raw Data'!$O$1:O1165)-ROW('Raw Data'!$O$1)),ROWS($A$44:E165)))),"")</f>
        <v/>
      </c>
    </row>
    <row r="166" spans="2:7" ht="30" customHeight="1">
      <c r="B166" s="31" t="str">
        <f>IFERROR(INDEX('Raw Data'!$P$2:$P$1044,_xlfn.AGGREGATE(15,3,('Raw Data'!$O$1:$O$1044=Invoice!$E$3)/('Raw Data'!$O$1:$O$1044=Invoice!$E$3)*(ROW('Raw Data'!$O$1:O1166)-ROW('Raw Data'!$O$1)),ROWS($A$44:A166))),"")</f>
        <v/>
      </c>
      <c r="C166" s="36" t="str">
        <f>IFERROR(INDEX('Raw Data'!$C$2:$C$1044,_xlfn.AGGREGATE(15,3,('Raw Data'!$O$1:$O$1044=Invoice!$E$3)/('Raw Data'!$O$1:$O$1044=Invoice!$E$3)*(ROW('Raw Data'!$O$1:O1166)-ROW('Raw Data'!$O$1)),ROWS($A$44:A166))),"")</f>
        <v/>
      </c>
      <c r="D166" s="36" t="str">
        <f>IFERROR(INDEX('Raw Data'!$R$2:$R$1044,_xlfn.AGGREGATE(15,3,('Raw Data'!$O$1:$O$1044=Invoice!$E$3)/('Raw Data'!$O$1:$O$1044=Invoice!$E$3)*(ROW('Raw Data'!$O$1:O1166)-ROW('Raw Data'!$O$1)),ROWS($A$44:B166))),"")</f>
        <v/>
      </c>
      <c r="E166" s="252" t="str">
        <f>IFERROR(INDEX('Raw Data'!$N$3:$N$1045,_xlfn.AGGREGATE(15,3,('Raw Data'!$O$1:$O$1044=Invoice!$E$3)/('Raw Data'!$O$1:$O$1044=Invoice!$E$3)*(ROW('Raw Data'!$O$1:O1166)-ROW('Raw Data'!$O$1)),ROWS($A$44:B166))),"")</f>
        <v/>
      </c>
      <c r="F166" s="252"/>
      <c r="G166" s="37" t="str">
        <f>IFERROR(_xlfn.SINGLE(INDEX('Raw Data'!#REF!,_xlfn.AGGREGATE(15,3,('Raw Data'!$O$1:$O$1044=Invoice!$E$3)/('Raw Data'!$O$1:$O$1044=Invoice!$E$3)*(ROW('Raw Data'!$O$1:O1166)-ROW('Raw Data'!$O$1)),ROWS($A$44:E166)))),"")</f>
        <v/>
      </c>
    </row>
    <row r="167" spans="2:7" ht="30" customHeight="1">
      <c r="B167" s="31" t="str">
        <f>IFERROR(INDEX('Raw Data'!$P$2:$P$1044,_xlfn.AGGREGATE(15,3,('Raw Data'!$O$1:$O$1044=Invoice!$E$3)/('Raw Data'!$O$1:$O$1044=Invoice!$E$3)*(ROW('Raw Data'!$O$1:O1167)-ROW('Raw Data'!$O$1)),ROWS($A$44:A167))),"")</f>
        <v/>
      </c>
      <c r="C167" s="36" t="str">
        <f>IFERROR(INDEX('Raw Data'!$C$2:$C$1044,_xlfn.AGGREGATE(15,3,('Raw Data'!$O$1:$O$1044=Invoice!$E$3)/('Raw Data'!$O$1:$O$1044=Invoice!$E$3)*(ROW('Raw Data'!$O$1:O1167)-ROW('Raw Data'!$O$1)),ROWS($A$44:A167))),"")</f>
        <v/>
      </c>
      <c r="D167" s="36" t="str">
        <f>IFERROR(INDEX('Raw Data'!$R$2:$R$1044,_xlfn.AGGREGATE(15,3,('Raw Data'!$O$1:$O$1044=Invoice!$E$3)/('Raw Data'!$O$1:$O$1044=Invoice!$E$3)*(ROW('Raw Data'!$O$1:O1167)-ROW('Raw Data'!$O$1)),ROWS($A$44:B167))),"")</f>
        <v/>
      </c>
      <c r="E167" s="252" t="str">
        <f>IFERROR(INDEX('Raw Data'!$N$3:$N$1045,_xlfn.AGGREGATE(15,3,('Raw Data'!$O$1:$O$1044=Invoice!$E$3)/('Raw Data'!$O$1:$O$1044=Invoice!$E$3)*(ROW('Raw Data'!$O$1:O1167)-ROW('Raw Data'!$O$1)),ROWS($A$44:B167))),"")</f>
        <v/>
      </c>
      <c r="F167" s="252"/>
      <c r="G167" s="37" t="str">
        <f>IFERROR(_xlfn.SINGLE(INDEX('Raw Data'!#REF!,_xlfn.AGGREGATE(15,3,('Raw Data'!$O$1:$O$1044=Invoice!$E$3)/('Raw Data'!$O$1:$O$1044=Invoice!$E$3)*(ROW('Raw Data'!$O$1:O1167)-ROW('Raw Data'!$O$1)),ROWS($A$44:E167)))),"")</f>
        <v/>
      </c>
    </row>
    <row r="168" spans="2:7" ht="30" customHeight="1">
      <c r="B168" s="31" t="str">
        <f>IFERROR(INDEX('Raw Data'!$P$2:$P$1044,_xlfn.AGGREGATE(15,3,('Raw Data'!$O$1:$O$1044=Invoice!$E$3)/('Raw Data'!$O$1:$O$1044=Invoice!$E$3)*(ROW('Raw Data'!$O$1:O1168)-ROW('Raw Data'!$O$1)),ROWS($A$44:A168))),"")</f>
        <v/>
      </c>
      <c r="C168" s="36" t="str">
        <f>IFERROR(INDEX('Raw Data'!$C$2:$C$1044,_xlfn.AGGREGATE(15,3,('Raw Data'!$O$1:$O$1044=Invoice!$E$3)/('Raw Data'!$O$1:$O$1044=Invoice!$E$3)*(ROW('Raw Data'!$O$1:O1168)-ROW('Raw Data'!$O$1)),ROWS($A$44:A168))),"")</f>
        <v/>
      </c>
      <c r="D168" s="36" t="str">
        <f>IFERROR(INDEX('Raw Data'!$R$2:$R$1044,_xlfn.AGGREGATE(15,3,('Raw Data'!$O$1:$O$1044=Invoice!$E$3)/('Raw Data'!$O$1:$O$1044=Invoice!$E$3)*(ROW('Raw Data'!$O$1:O1168)-ROW('Raw Data'!$O$1)),ROWS($A$44:B168))),"")</f>
        <v/>
      </c>
      <c r="E168" s="252" t="str">
        <f>IFERROR(INDEX('Raw Data'!$N$3:$N$1045,_xlfn.AGGREGATE(15,3,('Raw Data'!$O$1:$O$1044=Invoice!$E$3)/('Raw Data'!$O$1:$O$1044=Invoice!$E$3)*(ROW('Raw Data'!$O$1:O1168)-ROW('Raw Data'!$O$1)),ROWS($A$44:B168))),"")</f>
        <v/>
      </c>
      <c r="F168" s="252"/>
      <c r="G168" s="37" t="str">
        <f>IFERROR(_xlfn.SINGLE(INDEX('Raw Data'!#REF!,_xlfn.AGGREGATE(15,3,('Raw Data'!$O$1:$O$1044=Invoice!$E$3)/('Raw Data'!$O$1:$O$1044=Invoice!$E$3)*(ROW('Raw Data'!$O$1:O1168)-ROW('Raw Data'!$O$1)),ROWS($A$44:E168)))),"")</f>
        <v/>
      </c>
    </row>
    <row r="169" spans="2:7" ht="30" customHeight="1">
      <c r="B169" s="31" t="str">
        <f>IFERROR(INDEX('Raw Data'!$P$2:$P$1044,_xlfn.AGGREGATE(15,3,('Raw Data'!$O$1:$O$1044=Invoice!$E$3)/('Raw Data'!$O$1:$O$1044=Invoice!$E$3)*(ROW('Raw Data'!$O$1:O1169)-ROW('Raw Data'!$O$1)),ROWS($A$44:A169))),"")</f>
        <v/>
      </c>
      <c r="C169" s="36" t="str">
        <f>IFERROR(INDEX('Raw Data'!$C$2:$C$1044,_xlfn.AGGREGATE(15,3,('Raw Data'!$O$1:$O$1044=Invoice!$E$3)/('Raw Data'!$O$1:$O$1044=Invoice!$E$3)*(ROW('Raw Data'!$O$1:O1169)-ROW('Raw Data'!$O$1)),ROWS($A$44:A169))),"")</f>
        <v/>
      </c>
      <c r="D169" s="36" t="str">
        <f>IFERROR(INDEX('Raw Data'!$R$2:$R$1044,_xlfn.AGGREGATE(15,3,('Raw Data'!$O$1:$O$1044=Invoice!$E$3)/('Raw Data'!$O$1:$O$1044=Invoice!$E$3)*(ROW('Raw Data'!$O$1:O1169)-ROW('Raw Data'!$O$1)),ROWS($A$44:B169))),"")</f>
        <v/>
      </c>
      <c r="E169" s="252" t="str">
        <f>IFERROR(INDEX('Raw Data'!$N$3:$N$1045,_xlfn.AGGREGATE(15,3,('Raw Data'!$O$1:$O$1044=Invoice!$E$3)/('Raw Data'!$O$1:$O$1044=Invoice!$E$3)*(ROW('Raw Data'!$O$1:O1169)-ROW('Raw Data'!$O$1)),ROWS($A$44:B169))),"")</f>
        <v/>
      </c>
      <c r="F169" s="252"/>
      <c r="G169" s="37" t="str">
        <f>IFERROR(_xlfn.SINGLE(INDEX('Raw Data'!#REF!,_xlfn.AGGREGATE(15,3,('Raw Data'!$O$1:$O$1044=Invoice!$E$3)/('Raw Data'!$O$1:$O$1044=Invoice!$E$3)*(ROW('Raw Data'!$O$1:O1169)-ROW('Raw Data'!$O$1)),ROWS($A$44:E169)))),"")</f>
        <v/>
      </c>
    </row>
    <row r="170" spans="2:7" ht="30" customHeight="1">
      <c r="B170" s="31" t="str">
        <f>IFERROR(INDEX('Raw Data'!$P$2:$P$1044,_xlfn.AGGREGATE(15,3,('Raw Data'!$O$1:$O$1044=Invoice!$E$3)/('Raw Data'!$O$1:$O$1044=Invoice!$E$3)*(ROW('Raw Data'!$O$1:O1170)-ROW('Raw Data'!$O$1)),ROWS($A$44:A170))),"")</f>
        <v/>
      </c>
      <c r="C170" s="36" t="str">
        <f>IFERROR(INDEX('Raw Data'!$C$2:$C$1044,_xlfn.AGGREGATE(15,3,('Raw Data'!$O$1:$O$1044=Invoice!$E$3)/('Raw Data'!$O$1:$O$1044=Invoice!$E$3)*(ROW('Raw Data'!$O$1:O1170)-ROW('Raw Data'!$O$1)),ROWS($A$44:A170))),"")</f>
        <v/>
      </c>
      <c r="D170" s="36" t="str">
        <f>IFERROR(INDEX('Raw Data'!$R$2:$R$1044,_xlfn.AGGREGATE(15,3,('Raw Data'!$O$1:$O$1044=Invoice!$E$3)/('Raw Data'!$O$1:$O$1044=Invoice!$E$3)*(ROW('Raw Data'!$O$1:O1170)-ROW('Raw Data'!$O$1)),ROWS($A$44:B170))),"")</f>
        <v/>
      </c>
      <c r="E170" s="252" t="str">
        <f>IFERROR(INDEX('Raw Data'!$N$3:$N$1045,_xlfn.AGGREGATE(15,3,('Raw Data'!$O$1:$O$1044=Invoice!$E$3)/('Raw Data'!$O$1:$O$1044=Invoice!$E$3)*(ROW('Raw Data'!$O$1:O1170)-ROW('Raw Data'!$O$1)),ROWS($A$44:B170))),"")</f>
        <v/>
      </c>
      <c r="F170" s="252"/>
      <c r="G170" s="37" t="str">
        <f>IFERROR(_xlfn.SINGLE(INDEX('Raw Data'!#REF!,_xlfn.AGGREGATE(15,3,('Raw Data'!$O$1:$O$1044=Invoice!$E$3)/('Raw Data'!$O$1:$O$1044=Invoice!$E$3)*(ROW('Raw Data'!$O$1:O1170)-ROW('Raw Data'!$O$1)),ROWS($A$44:E170)))),"")</f>
        <v/>
      </c>
    </row>
    <row r="171" spans="2:7" ht="30" customHeight="1">
      <c r="B171" s="31" t="str">
        <f>IFERROR(INDEX('Raw Data'!$P$2:$P$1044,_xlfn.AGGREGATE(15,3,('Raw Data'!$O$1:$O$1044=Invoice!$E$3)/('Raw Data'!$O$1:$O$1044=Invoice!$E$3)*(ROW('Raw Data'!$O$1:O1171)-ROW('Raw Data'!$O$1)),ROWS($A$44:A171))),"")</f>
        <v/>
      </c>
      <c r="C171" s="36" t="str">
        <f>IFERROR(INDEX('Raw Data'!$C$2:$C$1044,_xlfn.AGGREGATE(15,3,('Raw Data'!$O$1:$O$1044=Invoice!$E$3)/('Raw Data'!$O$1:$O$1044=Invoice!$E$3)*(ROW('Raw Data'!$O$1:O1171)-ROW('Raw Data'!$O$1)),ROWS($A$44:A171))),"")</f>
        <v/>
      </c>
      <c r="D171" s="36" t="str">
        <f>IFERROR(INDEX('Raw Data'!$R$2:$R$1044,_xlfn.AGGREGATE(15,3,('Raw Data'!$O$1:$O$1044=Invoice!$E$3)/('Raw Data'!$O$1:$O$1044=Invoice!$E$3)*(ROW('Raw Data'!$O$1:O1171)-ROW('Raw Data'!$O$1)),ROWS($A$44:B171))),"")</f>
        <v/>
      </c>
      <c r="E171" s="252" t="str">
        <f>IFERROR(INDEX('Raw Data'!$N$3:$N$1045,_xlfn.AGGREGATE(15,3,('Raw Data'!$O$1:$O$1044=Invoice!$E$3)/('Raw Data'!$O$1:$O$1044=Invoice!$E$3)*(ROW('Raw Data'!$O$1:O1171)-ROW('Raw Data'!$O$1)),ROWS($A$44:B171))),"")</f>
        <v/>
      </c>
      <c r="F171" s="252"/>
      <c r="G171" s="37" t="str">
        <f>IFERROR(_xlfn.SINGLE(INDEX('Raw Data'!#REF!,_xlfn.AGGREGATE(15,3,('Raw Data'!$O$1:$O$1044=Invoice!$E$3)/('Raw Data'!$O$1:$O$1044=Invoice!$E$3)*(ROW('Raw Data'!$O$1:O1171)-ROW('Raw Data'!$O$1)),ROWS($A$44:E171)))),"")</f>
        <v/>
      </c>
    </row>
    <row r="172" spans="2:7" ht="30" customHeight="1">
      <c r="B172" s="31" t="str">
        <f>IFERROR(INDEX('Raw Data'!$P$2:$P$1044,_xlfn.AGGREGATE(15,3,('Raw Data'!$O$1:$O$1044=Invoice!$E$3)/('Raw Data'!$O$1:$O$1044=Invoice!$E$3)*(ROW('Raw Data'!$O$1:O1172)-ROW('Raw Data'!$O$1)),ROWS($A$44:A172))),"")</f>
        <v/>
      </c>
      <c r="C172" s="36" t="str">
        <f>IFERROR(INDEX('Raw Data'!$C$2:$C$1044,_xlfn.AGGREGATE(15,3,('Raw Data'!$O$1:$O$1044=Invoice!$E$3)/('Raw Data'!$O$1:$O$1044=Invoice!$E$3)*(ROW('Raw Data'!$O$1:O1172)-ROW('Raw Data'!$O$1)),ROWS($A$44:A172))),"")</f>
        <v/>
      </c>
      <c r="D172" s="36" t="str">
        <f>IFERROR(INDEX('Raw Data'!$R$2:$R$1044,_xlfn.AGGREGATE(15,3,('Raw Data'!$O$1:$O$1044=Invoice!$E$3)/('Raw Data'!$O$1:$O$1044=Invoice!$E$3)*(ROW('Raw Data'!$O$1:O1172)-ROW('Raw Data'!$O$1)),ROWS($A$44:B172))),"")</f>
        <v/>
      </c>
      <c r="E172" s="252" t="str">
        <f>IFERROR(INDEX('Raw Data'!$N$3:$N$1045,_xlfn.AGGREGATE(15,3,('Raw Data'!$O$1:$O$1044=Invoice!$E$3)/('Raw Data'!$O$1:$O$1044=Invoice!$E$3)*(ROW('Raw Data'!$O$1:O1172)-ROW('Raw Data'!$O$1)),ROWS($A$44:B172))),"")</f>
        <v/>
      </c>
      <c r="F172" s="252"/>
      <c r="G172" s="37" t="str">
        <f>IFERROR(_xlfn.SINGLE(INDEX('Raw Data'!#REF!,_xlfn.AGGREGATE(15,3,('Raw Data'!$O$1:$O$1044=Invoice!$E$3)/('Raw Data'!$O$1:$O$1044=Invoice!$E$3)*(ROW('Raw Data'!$O$1:O1172)-ROW('Raw Data'!$O$1)),ROWS($A$44:E172)))),"")</f>
        <v/>
      </c>
    </row>
    <row r="173" spans="2:7" ht="30" customHeight="1">
      <c r="B173" s="31" t="str">
        <f>IFERROR(INDEX('Raw Data'!$P$2:$P$1044,_xlfn.AGGREGATE(15,3,('Raw Data'!$O$1:$O$1044=Invoice!$E$3)/('Raw Data'!$O$1:$O$1044=Invoice!$E$3)*(ROW('Raw Data'!$O$1:O1173)-ROW('Raw Data'!$O$1)),ROWS($A$44:A173))),"")</f>
        <v/>
      </c>
      <c r="C173" s="36" t="str">
        <f>IFERROR(INDEX('Raw Data'!$C$2:$C$1044,_xlfn.AGGREGATE(15,3,('Raw Data'!$O$1:$O$1044=Invoice!$E$3)/('Raw Data'!$O$1:$O$1044=Invoice!$E$3)*(ROW('Raw Data'!$O$1:O1173)-ROW('Raw Data'!$O$1)),ROWS($A$44:A173))),"")</f>
        <v/>
      </c>
      <c r="D173" s="36" t="str">
        <f>IFERROR(INDEX('Raw Data'!$R$2:$R$1044,_xlfn.AGGREGATE(15,3,('Raw Data'!$O$1:$O$1044=Invoice!$E$3)/('Raw Data'!$O$1:$O$1044=Invoice!$E$3)*(ROW('Raw Data'!$O$1:O1173)-ROW('Raw Data'!$O$1)),ROWS($A$44:B173))),"")</f>
        <v/>
      </c>
      <c r="E173" s="252" t="str">
        <f>IFERROR(INDEX('Raw Data'!$N$3:$N$1045,_xlfn.AGGREGATE(15,3,('Raw Data'!$O$1:$O$1044=Invoice!$E$3)/('Raw Data'!$O$1:$O$1044=Invoice!$E$3)*(ROW('Raw Data'!$O$1:O1173)-ROW('Raw Data'!$O$1)),ROWS($A$44:B173))),"")</f>
        <v/>
      </c>
      <c r="F173" s="252"/>
      <c r="G173" s="37" t="str">
        <f>IFERROR(_xlfn.SINGLE(INDEX('Raw Data'!#REF!,_xlfn.AGGREGATE(15,3,('Raw Data'!$O$1:$O$1044=Invoice!$E$3)/('Raw Data'!$O$1:$O$1044=Invoice!$E$3)*(ROW('Raw Data'!$O$1:O1173)-ROW('Raw Data'!$O$1)),ROWS($A$44:E173)))),"")</f>
        <v/>
      </c>
    </row>
    <row r="174" spans="2:7" ht="30" customHeight="1">
      <c r="B174" s="31" t="str">
        <f>IFERROR(INDEX('Raw Data'!$P$2:$P$1044,_xlfn.AGGREGATE(15,3,('Raw Data'!$O$1:$O$1044=Invoice!$E$3)/('Raw Data'!$O$1:$O$1044=Invoice!$E$3)*(ROW('Raw Data'!$O$1:O1174)-ROW('Raw Data'!$O$1)),ROWS($A$44:A174))),"")</f>
        <v/>
      </c>
      <c r="C174" s="36" t="str">
        <f>IFERROR(INDEX('Raw Data'!$C$2:$C$1044,_xlfn.AGGREGATE(15,3,('Raw Data'!$O$1:$O$1044=Invoice!$E$3)/('Raw Data'!$O$1:$O$1044=Invoice!$E$3)*(ROW('Raw Data'!$O$1:O1174)-ROW('Raw Data'!$O$1)),ROWS($A$44:A174))),"")</f>
        <v/>
      </c>
      <c r="D174" s="36" t="str">
        <f>IFERROR(INDEX('Raw Data'!$R$2:$R$1044,_xlfn.AGGREGATE(15,3,('Raw Data'!$O$1:$O$1044=Invoice!$E$3)/('Raw Data'!$O$1:$O$1044=Invoice!$E$3)*(ROW('Raw Data'!$O$1:O1174)-ROW('Raw Data'!$O$1)),ROWS($A$44:B174))),"")</f>
        <v/>
      </c>
      <c r="E174" s="252" t="str">
        <f>IFERROR(INDEX('Raw Data'!$N$3:$N$1045,_xlfn.AGGREGATE(15,3,('Raw Data'!$O$1:$O$1044=Invoice!$E$3)/('Raw Data'!$O$1:$O$1044=Invoice!$E$3)*(ROW('Raw Data'!$O$1:O1174)-ROW('Raw Data'!$O$1)),ROWS($A$44:B174))),"")</f>
        <v/>
      </c>
      <c r="F174" s="252"/>
      <c r="G174" s="37" t="str">
        <f>IFERROR(_xlfn.SINGLE(INDEX('Raw Data'!#REF!,_xlfn.AGGREGATE(15,3,('Raw Data'!$O$1:$O$1044=Invoice!$E$3)/('Raw Data'!$O$1:$O$1044=Invoice!$E$3)*(ROW('Raw Data'!$O$1:O1174)-ROW('Raw Data'!$O$1)),ROWS($A$44:E174)))),"")</f>
        <v/>
      </c>
    </row>
    <row r="175" spans="2:7" ht="30" customHeight="1">
      <c r="B175" s="31" t="str">
        <f>IFERROR(INDEX('Raw Data'!$P$2:$P$1044,_xlfn.AGGREGATE(15,3,('Raw Data'!$O$1:$O$1044=Invoice!$E$3)/('Raw Data'!$O$1:$O$1044=Invoice!$E$3)*(ROW('Raw Data'!$O$1:O1175)-ROW('Raw Data'!$O$1)),ROWS($A$44:A175))),"")</f>
        <v/>
      </c>
      <c r="C175" s="36" t="str">
        <f>IFERROR(INDEX('Raw Data'!$C$2:$C$1044,_xlfn.AGGREGATE(15,3,('Raw Data'!$O$1:$O$1044=Invoice!$E$3)/('Raw Data'!$O$1:$O$1044=Invoice!$E$3)*(ROW('Raw Data'!$O$1:O1175)-ROW('Raw Data'!$O$1)),ROWS($A$44:A175))),"")</f>
        <v/>
      </c>
      <c r="D175" s="36" t="str">
        <f>IFERROR(INDEX('Raw Data'!$R$2:$R$1044,_xlfn.AGGREGATE(15,3,('Raw Data'!$O$1:$O$1044=Invoice!$E$3)/('Raw Data'!$O$1:$O$1044=Invoice!$E$3)*(ROW('Raw Data'!$O$1:O1175)-ROW('Raw Data'!$O$1)),ROWS($A$44:B175))),"")</f>
        <v/>
      </c>
      <c r="E175" s="252" t="str">
        <f>IFERROR(INDEX('Raw Data'!$N$3:$N$1045,_xlfn.AGGREGATE(15,3,('Raw Data'!$O$1:$O$1044=Invoice!$E$3)/('Raw Data'!$O$1:$O$1044=Invoice!$E$3)*(ROW('Raw Data'!$O$1:O1175)-ROW('Raw Data'!$O$1)),ROWS($A$44:B175))),"")</f>
        <v/>
      </c>
      <c r="F175" s="252"/>
      <c r="G175" s="37" t="str">
        <f>IFERROR(_xlfn.SINGLE(INDEX('Raw Data'!#REF!,_xlfn.AGGREGATE(15,3,('Raw Data'!$O$1:$O$1044=Invoice!$E$3)/('Raw Data'!$O$1:$O$1044=Invoice!$E$3)*(ROW('Raw Data'!$O$1:O1175)-ROW('Raw Data'!$O$1)),ROWS($A$44:E175)))),"")</f>
        <v/>
      </c>
    </row>
    <row r="176" spans="2:7" ht="30" customHeight="1">
      <c r="B176" s="31" t="str">
        <f>IFERROR(INDEX('Raw Data'!$P$2:$P$1044,_xlfn.AGGREGATE(15,3,('Raw Data'!$O$1:$O$1044=Invoice!$E$3)/('Raw Data'!$O$1:$O$1044=Invoice!$E$3)*(ROW('Raw Data'!$O$1:O1176)-ROW('Raw Data'!$O$1)),ROWS($A$44:A176))),"")</f>
        <v/>
      </c>
      <c r="C176" s="36" t="str">
        <f>IFERROR(INDEX('Raw Data'!$C$2:$C$1044,_xlfn.AGGREGATE(15,3,('Raw Data'!$O$1:$O$1044=Invoice!$E$3)/('Raw Data'!$O$1:$O$1044=Invoice!$E$3)*(ROW('Raw Data'!$O$1:O1176)-ROW('Raw Data'!$O$1)),ROWS($A$44:A176))),"")</f>
        <v/>
      </c>
      <c r="D176" s="36" t="str">
        <f>IFERROR(INDEX('Raw Data'!$R$2:$R$1044,_xlfn.AGGREGATE(15,3,('Raw Data'!$O$1:$O$1044=Invoice!$E$3)/('Raw Data'!$O$1:$O$1044=Invoice!$E$3)*(ROW('Raw Data'!$O$1:O1176)-ROW('Raw Data'!$O$1)),ROWS($A$44:B176))),"")</f>
        <v/>
      </c>
      <c r="E176" s="252" t="str">
        <f>IFERROR(INDEX('Raw Data'!$N$3:$N$1045,_xlfn.AGGREGATE(15,3,('Raw Data'!$O$1:$O$1044=Invoice!$E$3)/('Raw Data'!$O$1:$O$1044=Invoice!$E$3)*(ROW('Raw Data'!$O$1:O1176)-ROW('Raw Data'!$O$1)),ROWS($A$44:B176))),"")</f>
        <v/>
      </c>
      <c r="F176" s="252"/>
      <c r="G176" s="37" t="str">
        <f>IFERROR(_xlfn.SINGLE(INDEX('Raw Data'!#REF!,_xlfn.AGGREGATE(15,3,('Raw Data'!$O$1:$O$1044=Invoice!$E$3)/('Raw Data'!$O$1:$O$1044=Invoice!$E$3)*(ROW('Raw Data'!$O$1:O1176)-ROW('Raw Data'!$O$1)),ROWS($A$44:E176)))),"")</f>
        <v/>
      </c>
    </row>
    <row r="177" spans="2:7" ht="30" customHeight="1">
      <c r="B177" s="31" t="str">
        <f>IFERROR(INDEX('Raw Data'!$P$2:$P$1044,_xlfn.AGGREGATE(15,3,('Raw Data'!$O$1:$O$1044=Invoice!$E$3)/('Raw Data'!$O$1:$O$1044=Invoice!$E$3)*(ROW('Raw Data'!$O$1:O1177)-ROW('Raw Data'!$O$1)),ROWS($A$44:A177))),"")</f>
        <v/>
      </c>
      <c r="C177" s="36" t="str">
        <f>IFERROR(INDEX('Raw Data'!$C$2:$C$1044,_xlfn.AGGREGATE(15,3,('Raw Data'!$O$1:$O$1044=Invoice!$E$3)/('Raw Data'!$O$1:$O$1044=Invoice!$E$3)*(ROW('Raw Data'!$O$1:O1177)-ROW('Raw Data'!$O$1)),ROWS($A$44:A177))),"")</f>
        <v/>
      </c>
      <c r="D177" s="36" t="str">
        <f>IFERROR(INDEX('Raw Data'!$R$2:$R$1044,_xlfn.AGGREGATE(15,3,('Raw Data'!$O$1:$O$1044=Invoice!$E$3)/('Raw Data'!$O$1:$O$1044=Invoice!$E$3)*(ROW('Raw Data'!$O$1:O1177)-ROW('Raw Data'!$O$1)),ROWS($A$44:B177))),"")</f>
        <v/>
      </c>
      <c r="E177" s="252" t="str">
        <f>IFERROR(INDEX('Raw Data'!$N$3:$N$1045,_xlfn.AGGREGATE(15,3,('Raw Data'!$O$1:$O$1044=Invoice!$E$3)/('Raw Data'!$O$1:$O$1044=Invoice!$E$3)*(ROW('Raw Data'!$O$1:O1177)-ROW('Raw Data'!$O$1)),ROWS($A$44:B177))),"")</f>
        <v/>
      </c>
      <c r="F177" s="252"/>
      <c r="G177" s="37" t="str">
        <f>IFERROR(_xlfn.SINGLE(INDEX('Raw Data'!#REF!,_xlfn.AGGREGATE(15,3,('Raw Data'!$O$1:$O$1044=Invoice!$E$3)/('Raw Data'!$O$1:$O$1044=Invoice!$E$3)*(ROW('Raw Data'!$O$1:O1177)-ROW('Raw Data'!$O$1)),ROWS($A$44:E177)))),"")</f>
        <v/>
      </c>
    </row>
    <row r="178" spans="2:7" ht="30" customHeight="1">
      <c r="B178" s="31" t="str">
        <f>IFERROR(INDEX('Raw Data'!$P$2:$P$1044,_xlfn.AGGREGATE(15,3,('Raw Data'!$O$1:$O$1044=Invoice!$E$3)/('Raw Data'!$O$1:$O$1044=Invoice!$E$3)*(ROW('Raw Data'!$O$1:O1178)-ROW('Raw Data'!$O$1)),ROWS($A$44:A178))),"")</f>
        <v/>
      </c>
      <c r="C178" s="36" t="str">
        <f>IFERROR(INDEX('Raw Data'!$C$2:$C$1044,_xlfn.AGGREGATE(15,3,('Raw Data'!$O$1:$O$1044=Invoice!$E$3)/('Raw Data'!$O$1:$O$1044=Invoice!$E$3)*(ROW('Raw Data'!$O$1:O1178)-ROW('Raw Data'!$O$1)),ROWS($A$44:A178))),"")</f>
        <v/>
      </c>
      <c r="D178" s="36" t="str">
        <f>IFERROR(INDEX('Raw Data'!$R$2:$R$1044,_xlfn.AGGREGATE(15,3,('Raw Data'!$O$1:$O$1044=Invoice!$E$3)/('Raw Data'!$O$1:$O$1044=Invoice!$E$3)*(ROW('Raw Data'!$O$1:O1178)-ROW('Raw Data'!$O$1)),ROWS($A$44:B178))),"")</f>
        <v/>
      </c>
      <c r="E178" s="252" t="str">
        <f>IFERROR(INDEX('Raw Data'!$N$3:$N$1045,_xlfn.AGGREGATE(15,3,('Raw Data'!$O$1:$O$1044=Invoice!$E$3)/('Raw Data'!$O$1:$O$1044=Invoice!$E$3)*(ROW('Raw Data'!$O$1:O1178)-ROW('Raw Data'!$O$1)),ROWS($A$44:B178))),"")</f>
        <v/>
      </c>
      <c r="F178" s="252"/>
      <c r="G178" s="37" t="str">
        <f>IFERROR(_xlfn.SINGLE(INDEX('Raw Data'!#REF!,_xlfn.AGGREGATE(15,3,('Raw Data'!$O$1:$O$1044=Invoice!$E$3)/('Raw Data'!$O$1:$O$1044=Invoice!$E$3)*(ROW('Raw Data'!$O$1:O1178)-ROW('Raw Data'!$O$1)),ROWS($A$44:E178)))),"")</f>
        <v/>
      </c>
    </row>
    <row r="179" spans="2:7" ht="30" customHeight="1">
      <c r="B179" s="31" t="str">
        <f>IFERROR(INDEX('Raw Data'!$P$2:$P$1044,_xlfn.AGGREGATE(15,3,('Raw Data'!$O$1:$O$1044=Invoice!$E$3)/('Raw Data'!$O$1:$O$1044=Invoice!$E$3)*(ROW('Raw Data'!$O$1:O1179)-ROW('Raw Data'!$O$1)),ROWS($A$44:A179))),"")</f>
        <v/>
      </c>
      <c r="C179" s="36" t="str">
        <f>IFERROR(INDEX('Raw Data'!$C$2:$C$1044,_xlfn.AGGREGATE(15,3,('Raw Data'!$O$1:$O$1044=Invoice!$E$3)/('Raw Data'!$O$1:$O$1044=Invoice!$E$3)*(ROW('Raw Data'!$O$1:O1179)-ROW('Raw Data'!$O$1)),ROWS($A$44:A179))),"")</f>
        <v/>
      </c>
      <c r="D179" s="36" t="str">
        <f>IFERROR(INDEX('Raw Data'!$R$2:$R$1044,_xlfn.AGGREGATE(15,3,('Raw Data'!$O$1:$O$1044=Invoice!$E$3)/('Raw Data'!$O$1:$O$1044=Invoice!$E$3)*(ROW('Raw Data'!$O$1:O1179)-ROW('Raw Data'!$O$1)),ROWS($A$44:B179))),"")</f>
        <v/>
      </c>
      <c r="E179" s="252" t="str">
        <f>IFERROR(INDEX('Raw Data'!$N$3:$N$1045,_xlfn.AGGREGATE(15,3,('Raw Data'!$O$1:$O$1044=Invoice!$E$3)/('Raw Data'!$O$1:$O$1044=Invoice!$E$3)*(ROW('Raw Data'!$O$1:O1179)-ROW('Raw Data'!$O$1)),ROWS($A$44:B179))),"")</f>
        <v/>
      </c>
      <c r="F179" s="252"/>
      <c r="G179" s="37" t="str">
        <f>IFERROR(_xlfn.SINGLE(INDEX('Raw Data'!#REF!,_xlfn.AGGREGATE(15,3,('Raw Data'!$O$1:$O$1044=Invoice!$E$3)/('Raw Data'!$O$1:$O$1044=Invoice!$E$3)*(ROW('Raw Data'!$O$1:O1179)-ROW('Raw Data'!$O$1)),ROWS($A$44:E179)))),"")</f>
        <v/>
      </c>
    </row>
    <row r="180" spans="2:7" ht="30" customHeight="1">
      <c r="B180" s="31" t="str">
        <f>IFERROR(INDEX('Raw Data'!$P$2:$P$1044,_xlfn.AGGREGATE(15,3,('Raw Data'!$O$1:$O$1044=Invoice!$E$3)/('Raw Data'!$O$1:$O$1044=Invoice!$E$3)*(ROW('Raw Data'!$O$1:O1180)-ROW('Raw Data'!$O$1)),ROWS($A$44:A180))),"")</f>
        <v/>
      </c>
      <c r="C180" s="36" t="str">
        <f>IFERROR(INDEX('Raw Data'!$C$2:$C$1044,_xlfn.AGGREGATE(15,3,('Raw Data'!$O$1:$O$1044=Invoice!$E$3)/('Raw Data'!$O$1:$O$1044=Invoice!$E$3)*(ROW('Raw Data'!$O$1:O1180)-ROW('Raw Data'!$O$1)),ROWS($A$44:A180))),"")</f>
        <v/>
      </c>
      <c r="D180" s="36" t="str">
        <f>IFERROR(INDEX('Raw Data'!$R$2:$R$1044,_xlfn.AGGREGATE(15,3,('Raw Data'!$O$1:$O$1044=Invoice!$E$3)/('Raw Data'!$O$1:$O$1044=Invoice!$E$3)*(ROW('Raw Data'!$O$1:O1180)-ROW('Raw Data'!$O$1)),ROWS($A$44:B180))),"")</f>
        <v/>
      </c>
      <c r="E180" s="252" t="str">
        <f>IFERROR(INDEX('Raw Data'!$N$3:$N$1045,_xlfn.AGGREGATE(15,3,('Raw Data'!$O$1:$O$1044=Invoice!$E$3)/('Raw Data'!$O$1:$O$1044=Invoice!$E$3)*(ROW('Raw Data'!$O$1:O1180)-ROW('Raw Data'!$O$1)),ROWS($A$44:B180))),"")</f>
        <v/>
      </c>
      <c r="F180" s="252"/>
      <c r="G180" s="37" t="str">
        <f>IFERROR(_xlfn.SINGLE(INDEX('Raw Data'!#REF!,_xlfn.AGGREGATE(15,3,('Raw Data'!$O$1:$O$1044=Invoice!$E$3)/('Raw Data'!$O$1:$O$1044=Invoice!$E$3)*(ROW('Raw Data'!$O$1:O1180)-ROW('Raw Data'!$O$1)),ROWS($A$44:E180)))),"")</f>
        <v/>
      </c>
    </row>
    <row r="181" spans="2:7" ht="30" customHeight="1">
      <c r="B181" s="31" t="str">
        <f>IFERROR(INDEX('Raw Data'!$P$2:$P$1044,_xlfn.AGGREGATE(15,3,('Raw Data'!$O$1:$O$1044=Invoice!$E$3)/('Raw Data'!$O$1:$O$1044=Invoice!$E$3)*(ROW('Raw Data'!$O$1:O1181)-ROW('Raw Data'!$O$1)),ROWS($A$44:A181))),"")</f>
        <v/>
      </c>
      <c r="C181" s="36" t="str">
        <f>IFERROR(INDEX('Raw Data'!$C$2:$C$1044,_xlfn.AGGREGATE(15,3,('Raw Data'!$O$1:$O$1044=Invoice!$E$3)/('Raw Data'!$O$1:$O$1044=Invoice!$E$3)*(ROW('Raw Data'!$O$1:O1181)-ROW('Raw Data'!$O$1)),ROWS($A$44:A181))),"")</f>
        <v/>
      </c>
      <c r="D181" s="36" t="str">
        <f>IFERROR(INDEX('Raw Data'!$R$2:$R$1044,_xlfn.AGGREGATE(15,3,('Raw Data'!$O$1:$O$1044=Invoice!$E$3)/('Raw Data'!$O$1:$O$1044=Invoice!$E$3)*(ROW('Raw Data'!$O$1:O1181)-ROW('Raw Data'!$O$1)),ROWS($A$44:B181))),"")</f>
        <v/>
      </c>
      <c r="E181" s="252" t="str">
        <f>IFERROR(INDEX('Raw Data'!$N$3:$N$1045,_xlfn.AGGREGATE(15,3,('Raw Data'!$O$1:$O$1044=Invoice!$E$3)/('Raw Data'!$O$1:$O$1044=Invoice!$E$3)*(ROW('Raw Data'!$O$1:O1181)-ROW('Raw Data'!$O$1)),ROWS($A$44:B181))),"")</f>
        <v/>
      </c>
      <c r="F181" s="252"/>
      <c r="G181" s="37" t="str">
        <f>IFERROR(_xlfn.SINGLE(INDEX('Raw Data'!#REF!,_xlfn.AGGREGATE(15,3,('Raw Data'!$O$1:$O$1044=Invoice!$E$3)/('Raw Data'!$O$1:$O$1044=Invoice!$E$3)*(ROW('Raw Data'!$O$1:O1181)-ROW('Raw Data'!$O$1)),ROWS($A$44:E181)))),"")</f>
        <v/>
      </c>
    </row>
    <row r="182" spans="2:7" ht="30" customHeight="1">
      <c r="B182" s="31" t="str">
        <f>IFERROR(INDEX('Raw Data'!$P$2:$P$1044,_xlfn.AGGREGATE(15,3,('Raw Data'!$O$1:$O$1044=Invoice!$E$3)/('Raw Data'!$O$1:$O$1044=Invoice!$E$3)*(ROW('Raw Data'!$O$1:O1182)-ROW('Raw Data'!$O$1)),ROWS($A$44:A182))),"")</f>
        <v/>
      </c>
      <c r="C182" s="36" t="str">
        <f>IFERROR(INDEX('Raw Data'!$C$2:$C$1044,_xlfn.AGGREGATE(15,3,('Raw Data'!$O$1:$O$1044=Invoice!$E$3)/('Raw Data'!$O$1:$O$1044=Invoice!$E$3)*(ROW('Raw Data'!$O$1:O1182)-ROW('Raw Data'!$O$1)),ROWS($A$44:A182))),"")</f>
        <v/>
      </c>
      <c r="D182" s="36" t="str">
        <f>IFERROR(INDEX('Raw Data'!$R$2:$R$1044,_xlfn.AGGREGATE(15,3,('Raw Data'!$O$1:$O$1044=Invoice!$E$3)/('Raw Data'!$O$1:$O$1044=Invoice!$E$3)*(ROW('Raw Data'!$O$1:O1182)-ROW('Raw Data'!$O$1)),ROWS($A$44:B182))),"")</f>
        <v/>
      </c>
      <c r="E182" s="252" t="str">
        <f>IFERROR(INDEX('Raw Data'!$N$3:$N$1045,_xlfn.AGGREGATE(15,3,('Raw Data'!$O$1:$O$1044=Invoice!$E$3)/('Raw Data'!$O$1:$O$1044=Invoice!$E$3)*(ROW('Raw Data'!$O$1:O1182)-ROW('Raw Data'!$O$1)),ROWS($A$44:B182))),"")</f>
        <v/>
      </c>
      <c r="F182" s="252"/>
      <c r="G182" s="37" t="str">
        <f>IFERROR(_xlfn.SINGLE(INDEX('Raw Data'!#REF!,_xlfn.AGGREGATE(15,3,('Raw Data'!$O$1:$O$1044=Invoice!$E$3)/('Raw Data'!$O$1:$O$1044=Invoice!$E$3)*(ROW('Raw Data'!$O$1:O1182)-ROW('Raw Data'!$O$1)),ROWS($A$44:E182)))),"")</f>
        <v/>
      </c>
    </row>
    <row r="183" spans="2:7" ht="30" customHeight="1">
      <c r="B183" s="31" t="str">
        <f>IFERROR(INDEX('Raw Data'!$P$2:$P$1044,_xlfn.AGGREGATE(15,3,('Raw Data'!$O$1:$O$1044=Invoice!$E$3)/('Raw Data'!$O$1:$O$1044=Invoice!$E$3)*(ROW('Raw Data'!$O$1:O1183)-ROW('Raw Data'!$O$1)),ROWS($A$44:A183))),"")</f>
        <v/>
      </c>
      <c r="C183" s="36" t="str">
        <f>IFERROR(INDEX('Raw Data'!$C$2:$C$1044,_xlfn.AGGREGATE(15,3,('Raw Data'!$O$1:$O$1044=Invoice!$E$3)/('Raw Data'!$O$1:$O$1044=Invoice!$E$3)*(ROW('Raw Data'!$O$1:O1183)-ROW('Raw Data'!$O$1)),ROWS($A$44:A183))),"")</f>
        <v/>
      </c>
      <c r="D183" s="36" t="str">
        <f>IFERROR(INDEX('Raw Data'!$R$2:$R$1044,_xlfn.AGGREGATE(15,3,('Raw Data'!$O$1:$O$1044=Invoice!$E$3)/('Raw Data'!$O$1:$O$1044=Invoice!$E$3)*(ROW('Raw Data'!$O$1:O1183)-ROW('Raw Data'!$O$1)),ROWS($A$44:B183))),"")</f>
        <v/>
      </c>
      <c r="E183" s="252" t="str">
        <f>IFERROR(INDEX('Raw Data'!$N$3:$N$1045,_xlfn.AGGREGATE(15,3,('Raw Data'!$O$1:$O$1044=Invoice!$E$3)/('Raw Data'!$O$1:$O$1044=Invoice!$E$3)*(ROW('Raw Data'!$O$1:O1183)-ROW('Raw Data'!$O$1)),ROWS($A$44:B183))),"")</f>
        <v/>
      </c>
      <c r="F183" s="252"/>
      <c r="G183" s="37" t="str">
        <f>IFERROR(_xlfn.SINGLE(INDEX('Raw Data'!#REF!,_xlfn.AGGREGATE(15,3,('Raw Data'!$O$1:$O$1044=Invoice!$E$3)/('Raw Data'!$O$1:$O$1044=Invoice!$E$3)*(ROW('Raw Data'!$O$1:O1183)-ROW('Raw Data'!$O$1)),ROWS($A$44:E183)))),"")</f>
        <v/>
      </c>
    </row>
    <row r="184" spans="2:7" ht="30" customHeight="1">
      <c r="B184" s="31" t="str">
        <f>IFERROR(INDEX('Raw Data'!$P$2:$P$1044,_xlfn.AGGREGATE(15,3,('Raw Data'!$O$1:$O$1044=Invoice!$E$3)/('Raw Data'!$O$1:$O$1044=Invoice!$E$3)*(ROW('Raw Data'!$O$1:O1184)-ROW('Raw Data'!$O$1)),ROWS($A$44:A184))),"")</f>
        <v/>
      </c>
      <c r="C184" s="36" t="str">
        <f>IFERROR(INDEX('Raw Data'!$C$2:$C$1044,_xlfn.AGGREGATE(15,3,('Raw Data'!$O$1:$O$1044=Invoice!$E$3)/('Raw Data'!$O$1:$O$1044=Invoice!$E$3)*(ROW('Raw Data'!$O$1:O1184)-ROW('Raw Data'!$O$1)),ROWS($A$44:A184))),"")</f>
        <v/>
      </c>
      <c r="D184" s="36" t="str">
        <f>IFERROR(INDEX('Raw Data'!$R$2:$R$1044,_xlfn.AGGREGATE(15,3,('Raw Data'!$O$1:$O$1044=Invoice!$E$3)/('Raw Data'!$O$1:$O$1044=Invoice!$E$3)*(ROW('Raw Data'!$O$1:O1184)-ROW('Raw Data'!$O$1)),ROWS($A$44:B184))),"")</f>
        <v/>
      </c>
      <c r="E184" s="252" t="str">
        <f>IFERROR(INDEX('Raw Data'!$N$3:$N$1045,_xlfn.AGGREGATE(15,3,('Raw Data'!$O$1:$O$1044=Invoice!$E$3)/('Raw Data'!$O$1:$O$1044=Invoice!$E$3)*(ROW('Raw Data'!$O$1:O1184)-ROW('Raw Data'!$O$1)),ROWS($A$44:B184))),"")</f>
        <v/>
      </c>
      <c r="F184" s="252"/>
      <c r="G184" s="37" t="str">
        <f>IFERROR(_xlfn.SINGLE(INDEX('Raw Data'!#REF!,_xlfn.AGGREGATE(15,3,('Raw Data'!$O$1:$O$1044=Invoice!$E$3)/('Raw Data'!$O$1:$O$1044=Invoice!$E$3)*(ROW('Raw Data'!$O$1:O1184)-ROW('Raw Data'!$O$1)),ROWS($A$44:E184)))),"")</f>
        <v/>
      </c>
    </row>
    <row r="185" spans="2:7" ht="30" customHeight="1">
      <c r="B185" s="31" t="str">
        <f>IFERROR(INDEX('Raw Data'!$P$2:$P$1044,_xlfn.AGGREGATE(15,3,('Raw Data'!$O$1:$O$1044=Invoice!$E$3)/('Raw Data'!$O$1:$O$1044=Invoice!$E$3)*(ROW('Raw Data'!$O$1:O1185)-ROW('Raw Data'!$O$1)),ROWS($A$44:A185))),"")</f>
        <v/>
      </c>
      <c r="C185" s="36" t="str">
        <f>IFERROR(INDEX('Raw Data'!$C$2:$C$1044,_xlfn.AGGREGATE(15,3,('Raw Data'!$O$1:$O$1044=Invoice!$E$3)/('Raw Data'!$O$1:$O$1044=Invoice!$E$3)*(ROW('Raw Data'!$O$1:O1185)-ROW('Raw Data'!$O$1)),ROWS($A$44:A185))),"")</f>
        <v/>
      </c>
      <c r="D185" s="36" t="str">
        <f>IFERROR(INDEX('Raw Data'!$R$2:$R$1044,_xlfn.AGGREGATE(15,3,('Raw Data'!$O$1:$O$1044=Invoice!$E$3)/('Raw Data'!$O$1:$O$1044=Invoice!$E$3)*(ROW('Raw Data'!$O$1:O1185)-ROW('Raw Data'!$O$1)),ROWS($A$44:B185))),"")</f>
        <v/>
      </c>
      <c r="E185" s="252" t="str">
        <f>IFERROR(INDEX('Raw Data'!$N$3:$N$1045,_xlfn.AGGREGATE(15,3,('Raw Data'!$O$1:$O$1044=Invoice!$E$3)/('Raw Data'!$O$1:$O$1044=Invoice!$E$3)*(ROW('Raw Data'!$O$1:O1185)-ROW('Raw Data'!$O$1)),ROWS($A$44:B185))),"")</f>
        <v/>
      </c>
      <c r="F185" s="252"/>
      <c r="G185" s="37" t="str">
        <f>IFERROR(_xlfn.SINGLE(INDEX('Raw Data'!#REF!,_xlfn.AGGREGATE(15,3,('Raw Data'!$O$1:$O$1044=Invoice!$E$3)/('Raw Data'!$O$1:$O$1044=Invoice!$E$3)*(ROW('Raw Data'!$O$1:O1185)-ROW('Raw Data'!$O$1)),ROWS($A$44:E185)))),"")</f>
        <v/>
      </c>
    </row>
    <row r="186" spans="2:7" ht="30" customHeight="1">
      <c r="B186" s="31" t="str">
        <f>IFERROR(INDEX('Raw Data'!$P$2:$P$1044,_xlfn.AGGREGATE(15,3,('Raw Data'!$O$1:$O$1044=Invoice!$E$3)/('Raw Data'!$O$1:$O$1044=Invoice!$E$3)*(ROW('Raw Data'!$O$1:O1186)-ROW('Raw Data'!$O$1)),ROWS($A$44:A186))),"")</f>
        <v/>
      </c>
      <c r="C186" s="36" t="str">
        <f>IFERROR(INDEX('Raw Data'!$C$2:$C$1044,_xlfn.AGGREGATE(15,3,('Raw Data'!$O$1:$O$1044=Invoice!$E$3)/('Raw Data'!$O$1:$O$1044=Invoice!$E$3)*(ROW('Raw Data'!$O$1:O1186)-ROW('Raw Data'!$O$1)),ROWS($A$44:A186))),"")</f>
        <v/>
      </c>
      <c r="D186" s="36" t="str">
        <f>IFERROR(INDEX('Raw Data'!$R$2:$R$1044,_xlfn.AGGREGATE(15,3,('Raw Data'!$O$1:$O$1044=Invoice!$E$3)/('Raw Data'!$O$1:$O$1044=Invoice!$E$3)*(ROW('Raw Data'!$O$1:O1186)-ROW('Raw Data'!$O$1)),ROWS($A$44:B186))),"")</f>
        <v/>
      </c>
      <c r="E186" s="252" t="str">
        <f>IFERROR(INDEX('Raw Data'!$N$3:$N$1045,_xlfn.AGGREGATE(15,3,('Raw Data'!$O$1:$O$1044=Invoice!$E$3)/('Raw Data'!$O$1:$O$1044=Invoice!$E$3)*(ROW('Raw Data'!$O$1:O1186)-ROW('Raw Data'!$O$1)),ROWS($A$44:B186))),"")</f>
        <v/>
      </c>
      <c r="F186" s="252"/>
      <c r="G186" s="37" t="str">
        <f>IFERROR(_xlfn.SINGLE(INDEX('Raw Data'!#REF!,_xlfn.AGGREGATE(15,3,('Raw Data'!$O$1:$O$1044=Invoice!$E$3)/('Raw Data'!$O$1:$O$1044=Invoice!$E$3)*(ROW('Raw Data'!$O$1:O1186)-ROW('Raw Data'!$O$1)),ROWS($A$44:E186)))),"")</f>
        <v/>
      </c>
    </row>
    <row r="187" spans="2:7" ht="30" customHeight="1">
      <c r="B187" s="31" t="str">
        <f>IFERROR(INDEX('Raw Data'!$P$2:$P$1044,_xlfn.AGGREGATE(15,3,('Raw Data'!$O$1:$O$1044=Invoice!$E$3)/('Raw Data'!$O$1:$O$1044=Invoice!$E$3)*(ROW('Raw Data'!$O$1:O1187)-ROW('Raw Data'!$O$1)),ROWS($A$44:A187))),"")</f>
        <v/>
      </c>
      <c r="C187" s="36" t="str">
        <f>IFERROR(INDEX('Raw Data'!$C$2:$C$1044,_xlfn.AGGREGATE(15,3,('Raw Data'!$O$1:$O$1044=Invoice!$E$3)/('Raw Data'!$O$1:$O$1044=Invoice!$E$3)*(ROW('Raw Data'!$O$1:O1187)-ROW('Raw Data'!$O$1)),ROWS($A$44:A187))),"")</f>
        <v/>
      </c>
      <c r="D187" s="36" t="str">
        <f>IFERROR(INDEX('Raw Data'!$R$2:$R$1044,_xlfn.AGGREGATE(15,3,('Raw Data'!$O$1:$O$1044=Invoice!$E$3)/('Raw Data'!$O$1:$O$1044=Invoice!$E$3)*(ROW('Raw Data'!$O$1:O1187)-ROW('Raw Data'!$O$1)),ROWS($A$44:B187))),"")</f>
        <v/>
      </c>
      <c r="E187" s="252" t="str">
        <f>IFERROR(INDEX('Raw Data'!$N$3:$N$1045,_xlfn.AGGREGATE(15,3,('Raw Data'!$O$1:$O$1044=Invoice!$E$3)/('Raw Data'!$O$1:$O$1044=Invoice!$E$3)*(ROW('Raw Data'!$O$1:O1187)-ROW('Raw Data'!$O$1)),ROWS($A$44:B187))),"")</f>
        <v/>
      </c>
      <c r="F187" s="252"/>
      <c r="G187" s="37" t="str">
        <f>IFERROR(_xlfn.SINGLE(INDEX('Raw Data'!#REF!,_xlfn.AGGREGATE(15,3,('Raw Data'!$O$1:$O$1044=Invoice!$E$3)/('Raw Data'!$O$1:$O$1044=Invoice!$E$3)*(ROW('Raw Data'!$O$1:O1187)-ROW('Raw Data'!$O$1)),ROWS($A$44:E187)))),"")</f>
        <v/>
      </c>
    </row>
    <row r="188" spans="2:7" ht="30" customHeight="1">
      <c r="B188" s="31" t="str">
        <f>IFERROR(INDEX('Raw Data'!$P$2:$P$1044,_xlfn.AGGREGATE(15,3,('Raw Data'!$O$1:$O$1044=Invoice!$E$3)/('Raw Data'!$O$1:$O$1044=Invoice!$E$3)*(ROW('Raw Data'!$O$1:O1188)-ROW('Raw Data'!$O$1)),ROWS($A$44:A188))),"")</f>
        <v/>
      </c>
      <c r="C188" s="36" t="str">
        <f>IFERROR(INDEX('Raw Data'!$C$2:$C$1044,_xlfn.AGGREGATE(15,3,('Raw Data'!$O$1:$O$1044=Invoice!$E$3)/('Raw Data'!$O$1:$O$1044=Invoice!$E$3)*(ROW('Raw Data'!$O$1:O1188)-ROW('Raw Data'!$O$1)),ROWS($A$44:A188))),"")</f>
        <v/>
      </c>
      <c r="D188" s="36" t="str">
        <f>IFERROR(INDEX('Raw Data'!$R$2:$R$1044,_xlfn.AGGREGATE(15,3,('Raw Data'!$O$1:$O$1044=Invoice!$E$3)/('Raw Data'!$O$1:$O$1044=Invoice!$E$3)*(ROW('Raw Data'!$O$1:O1188)-ROW('Raw Data'!$O$1)),ROWS($A$44:B188))),"")</f>
        <v/>
      </c>
      <c r="E188" s="252" t="str">
        <f>IFERROR(INDEX('Raw Data'!$N$3:$N$1045,_xlfn.AGGREGATE(15,3,('Raw Data'!$O$1:$O$1044=Invoice!$E$3)/('Raw Data'!$O$1:$O$1044=Invoice!$E$3)*(ROW('Raw Data'!$O$1:O1188)-ROW('Raw Data'!$O$1)),ROWS($A$44:B188))),"")</f>
        <v/>
      </c>
      <c r="F188" s="252"/>
      <c r="G188" s="37" t="str">
        <f>IFERROR(_xlfn.SINGLE(INDEX('Raw Data'!#REF!,_xlfn.AGGREGATE(15,3,('Raw Data'!$O$1:$O$1044=Invoice!$E$3)/('Raw Data'!$O$1:$O$1044=Invoice!$E$3)*(ROW('Raw Data'!$O$1:O1188)-ROW('Raw Data'!$O$1)),ROWS($A$44:E188)))),"")</f>
        <v/>
      </c>
    </row>
    <row r="189" spans="2:7" ht="30" customHeight="1">
      <c r="B189" s="31" t="str">
        <f>IFERROR(INDEX('Raw Data'!$P$2:$P$1044,_xlfn.AGGREGATE(15,3,('Raw Data'!$O$1:$O$1044=Invoice!$E$3)/('Raw Data'!$O$1:$O$1044=Invoice!$E$3)*(ROW('Raw Data'!$O$1:O1189)-ROW('Raw Data'!$O$1)),ROWS($A$44:A189))),"")</f>
        <v/>
      </c>
      <c r="C189" s="36" t="str">
        <f>IFERROR(INDEX('Raw Data'!$C$2:$C$1044,_xlfn.AGGREGATE(15,3,('Raw Data'!$O$1:$O$1044=Invoice!$E$3)/('Raw Data'!$O$1:$O$1044=Invoice!$E$3)*(ROW('Raw Data'!$O$1:O1189)-ROW('Raw Data'!$O$1)),ROWS($A$44:A189))),"")</f>
        <v/>
      </c>
      <c r="D189" s="36" t="str">
        <f>IFERROR(INDEX('Raw Data'!$R$2:$R$1044,_xlfn.AGGREGATE(15,3,('Raw Data'!$O$1:$O$1044=Invoice!$E$3)/('Raw Data'!$O$1:$O$1044=Invoice!$E$3)*(ROW('Raw Data'!$O$1:O1189)-ROW('Raw Data'!$O$1)),ROWS($A$44:B189))),"")</f>
        <v/>
      </c>
      <c r="E189" s="252" t="str">
        <f>IFERROR(INDEX('Raw Data'!$N$3:$N$1045,_xlfn.AGGREGATE(15,3,('Raw Data'!$O$1:$O$1044=Invoice!$E$3)/('Raw Data'!$O$1:$O$1044=Invoice!$E$3)*(ROW('Raw Data'!$O$1:O1189)-ROW('Raw Data'!$O$1)),ROWS($A$44:B189))),"")</f>
        <v/>
      </c>
      <c r="F189" s="252"/>
      <c r="G189" s="37" t="str">
        <f>IFERROR(_xlfn.SINGLE(INDEX('Raw Data'!#REF!,_xlfn.AGGREGATE(15,3,('Raw Data'!$O$1:$O$1044=Invoice!$E$3)/('Raw Data'!$O$1:$O$1044=Invoice!$E$3)*(ROW('Raw Data'!$O$1:O1189)-ROW('Raw Data'!$O$1)),ROWS($A$44:E189)))),"")</f>
        <v/>
      </c>
    </row>
    <row r="190" spans="2:7" ht="30" customHeight="1">
      <c r="B190" s="31" t="str">
        <f>IFERROR(INDEX('Raw Data'!$P$2:$P$1044,_xlfn.AGGREGATE(15,3,('Raw Data'!$O$1:$O$1044=Invoice!$E$3)/('Raw Data'!$O$1:$O$1044=Invoice!$E$3)*(ROW('Raw Data'!$O$1:O1190)-ROW('Raw Data'!$O$1)),ROWS($A$44:A190))),"")</f>
        <v/>
      </c>
      <c r="C190" s="36" t="str">
        <f>IFERROR(INDEX('Raw Data'!$C$2:$C$1044,_xlfn.AGGREGATE(15,3,('Raw Data'!$O$1:$O$1044=Invoice!$E$3)/('Raw Data'!$O$1:$O$1044=Invoice!$E$3)*(ROW('Raw Data'!$O$1:O1190)-ROW('Raw Data'!$O$1)),ROWS($A$44:A190))),"")</f>
        <v/>
      </c>
      <c r="D190" s="36" t="str">
        <f>IFERROR(INDEX('Raw Data'!$R$2:$R$1044,_xlfn.AGGREGATE(15,3,('Raw Data'!$O$1:$O$1044=Invoice!$E$3)/('Raw Data'!$O$1:$O$1044=Invoice!$E$3)*(ROW('Raw Data'!$O$1:O1190)-ROW('Raw Data'!$O$1)),ROWS($A$44:B190))),"")</f>
        <v/>
      </c>
      <c r="E190" s="252" t="str">
        <f>IFERROR(INDEX('Raw Data'!$N$3:$N$1045,_xlfn.AGGREGATE(15,3,('Raw Data'!$O$1:$O$1044=Invoice!$E$3)/('Raw Data'!$O$1:$O$1044=Invoice!$E$3)*(ROW('Raw Data'!$O$1:O1190)-ROW('Raw Data'!$O$1)),ROWS($A$44:B190))),"")</f>
        <v/>
      </c>
      <c r="F190" s="252"/>
      <c r="G190" s="37" t="str">
        <f>IFERROR(_xlfn.SINGLE(INDEX('Raw Data'!#REF!,_xlfn.AGGREGATE(15,3,('Raw Data'!$O$1:$O$1044=Invoice!$E$3)/('Raw Data'!$O$1:$O$1044=Invoice!$E$3)*(ROW('Raw Data'!$O$1:O1190)-ROW('Raw Data'!$O$1)),ROWS($A$44:E190)))),"")</f>
        <v/>
      </c>
    </row>
    <row r="191" spans="2:7" ht="30" customHeight="1">
      <c r="B191" s="31" t="str">
        <f>IFERROR(INDEX('Raw Data'!$P$2:$P$1044,_xlfn.AGGREGATE(15,3,('Raw Data'!$O$1:$O$1044=Invoice!$E$3)/('Raw Data'!$O$1:$O$1044=Invoice!$E$3)*(ROW('Raw Data'!$O$1:O1191)-ROW('Raw Data'!$O$1)),ROWS($A$44:A191))),"")</f>
        <v/>
      </c>
      <c r="C191" s="36" t="str">
        <f>IFERROR(INDEX('Raw Data'!$C$2:$C$1044,_xlfn.AGGREGATE(15,3,('Raw Data'!$O$1:$O$1044=Invoice!$E$3)/('Raw Data'!$O$1:$O$1044=Invoice!$E$3)*(ROW('Raw Data'!$O$1:O1191)-ROW('Raw Data'!$O$1)),ROWS($A$44:A191))),"")</f>
        <v/>
      </c>
      <c r="D191" s="36" t="str">
        <f>IFERROR(INDEX('Raw Data'!$R$2:$R$1044,_xlfn.AGGREGATE(15,3,('Raw Data'!$O$1:$O$1044=Invoice!$E$3)/('Raw Data'!$O$1:$O$1044=Invoice!$E$3)*(ROW('Raw Data'!$O$1:O1191)-ROW('Raw Data'!$O$1)),ROWS($A$44:B191))),"")</f>
        <v/>
      </c>
      <c r="E191" s="252" t="str">
        <f>IFERROR(INDEX('Raw Data'!$N$3:$N$1045,_xlfn.AGGREGATE(15,3,('Raw Data'!$O$1:$O$1044=Invoice!$E$3)/('Raw Data'!$O$1:$O$1044=Invoice!$E$3)*(ROW('Raw Data'!$O$1:O1191)-ROW('Raw Data'!$O$1)),ROWS($A$44:B191))),"")</f>
        <v/>
      </c>
      <c r="F191" s="252"/>
      <c r="G191" s="37" t="str">
        <f>IFERROR(_xlfn.SINGLE(INDEX('Raw Data'!#REF!,_xlfn.AGGREGATE(15,3,('Raw Data'!$O$1:$O$1044=Invoice!$E$3)/('Raw Data'!$O$1:$O$1044=Invoice!$E$3)*(ROW('Raw Data'!$O$1:O1191)-ROW('Raw Data'!$O$1)),ROWS($A$44:E191)))),"")</f>
        <v/>
      </c>
    </row>
    <row r="192" spans="2:7" ht="30" customHeight="1">
      <c r="B192" s="31" t="str">
        <f>IFERROR(INDEX('Raw Data'!$P$2:$P$1044,_xlfn.AGGREGATE(15,3,('Raw Data'!$O$1:$O$1044=Invoice!$E$3)/('Raw Data'!$O$1:$O$1044=Invoice!$E$3)*(ROW('Raw Data'!$O$1:O1192)-ROW('Raw Data'!$O$1)),ROWS($A$44:A192))),"")</f>
        <v/>
      </c>
      <c r="C192" s="36" t="str">
        <f>IFERROR(INDEX('Raw Data'!$C$2:$C$1044,_xlfn.AGGREGATE(15,3,('Raw Data'!$O$1:$O$1044=Invoice!$E$3)/('Raw Data'!$O$1:$O$1044=Invoice!$E$3)*(ROW('Raw Data'!$O$1:O1192)-ROW('Raw Data'!$O$1)),ROWS($A$44:A192))),"")</f>
        <v/>
      </c>
      <c r="D192" s="36" t="str">
        <f>IFERROR(INDEX('Raw Data'!$R$2:$R$1044,_xlfn.AGGREGATE(15,3,('Raw Data'!$O$1:$O$1044=Invoice!$E$3)/('Raw Data'!$O$1:$O$1044=Invoice!$E$3)*(ROW('Raw Data'!$O$1:O1192)-ROW('Raw Data'!$O$1)),ROWS($A$44:B192))),"")</f>
        <v/>
      </c>
      <c r="E192" s="252" t="str">
        <f>IFERROR(INDEX('Raw Data'!$N$3:$N$1045,_xlfn.AGGREGATE(15,3,('Raw Data'!$O$1:$O$1044=Invoice!$E$3)/('Raw Data'!$O$1:$O$1044=Invoice!$E$3)*(ROW('Raw Data'!$O$1:O1192)-ROW('Raw Data'!$O$1)),ROWS($A$44:B192))),"")</f>
        <v/>
      </c>
      <c r="F192" s="252"/>
      <c r="G192" s="37" t="str">
        <f>IFERROR(_xlfn.SINGLE(INDEX('Raw Data'!#REF!,_xlfn.AGGREGATE(15,3,('Raw Data'!$O$1:$O$1044=Invoice!$E$3)/('Raw Data'!$O$1:$O$1044=Invoice!$E$3)*(ROW('Raw Data'!$O$1:O1192)-ROW('Raw Data'!$O$1)),ROWS($A$44:E192)))),"")</f>
        <v/>
      </c>
    </row>
    <row r="193" spans="2:7" ht="30" customHeight="1">
      <c r="B193" s="31" t="str">
        <f>IFERROR(INDEX('Raw Data'!$P$2:$P$1044,_xlfn.AGGREGATE(15,3,('Raw Data'!$O$1:$O$1044=Invoice!$E$3)/('Raw Data'!$O$1:$O$1044=Invoice!$E$3)*(ROW('Raw Data'!$O$1:O1193)-ROW('Raw Data'!$O$1)),ROWS($A$44:A193))),"")</f>
        <v/>
      </c>
      <c r="C193" s="36" t="str">
        <f>IFERROR(INDEX('Raw Data'!$C$2:$C$1044,_xlfn.AGGREGATE(15,3,('Raw Data'!$O$1:$O$1044=Invoice!$E$3)/('Raw Data'!$O$1:$O$1044=Invoice!$E$3)*(ROW('Raw Data'!$O$1:O1193)-ROW('Raw Data'!$O$1)),ROWS($A$44:A193))),"")</f>
        <v/>
      </c>
      <c r="D193" s="36" t="str">
        <f>IFERROR(INDEX('Raw Data'!$R$2:$R$1044,_xlfn.AGGREGATE(15,3,('Raw Data'!$O$1:$O$1044=Invoice!$E$3)/('Raw Data'!$O$1:$O$1044=Invoice!$E$3)*(ROW('Raw Data'!$O$1:O1193)-ROW('Raw Data'!$O$1)),ROWS($A$44:B193))),"")</f>
        <v/>
      </c>
      <c r="E193" s="252" t="str">
        <f>IFERROR(INDEX('Raw Data'!$N$3:$N$1045,_xlfn.AGGREGATE(15,3,('Raw Data'!$O$1:$O$1044=Invoice!$E$3)/('Raw Data'!$O$1:$O$1044=Invoice!$E$3)*(ROW('Raw Data'!$O$1:O1193)-ROW('Raw Data'!$O$1)),ROWS($A$44:B193))),"")</f>
        <v/>
      </c>
      <c r="F193" s="252"/>
      <c r="G193" s="37" t="str">
        <f>IFERROR(_xlfn.SINGLE(INDEX('Raw Data'!#REF!,_xlfn.AGGREGATE(15,3,('Raw Data'!$O$1:$O$1044=Invoice!$E$3)/('Raw Data'!$O$1:$O$1044=Invoice!$E$3)*(ROW('Raw Data'!$O$1:O1193)-ROW('Raw Data'!$O$1)),ROWS($A$44:E193)))),"")</f>
        <v/>
      </c>
    </row>
    <row r="194" spans="2:7" ht="30" customHeight="1">
      <c r="B194" s="31" t="str">
        <f>IFERROR(INDEX('Raw Data'!$P$2:$P$1044,_xlfn.AGGREGATE(15,3,('Raw Data'!$O$1:$O$1044=Invoice!$E$3)/('Raw Data'!$O$1:$O$1044=Invoice!$E$3)*(ROW('Raw Data'!$O$1:O1194)-ROW('Raw Data'!$O$1)),ROWS($A$44:A194))),"")</f>
        <v/>
      </c>
      <c r="C194" s="36" t="str">
        <f>IFERROR(INDEX('Raw Data'!$C$2:$C$1044,_xlfn.AGGREGATE(15,3,('Raw Data'!$O$1:$O$1044=Invoice!$E$3)/('Raw Data'!$O$1:$O$1044=Invoice!$E$3)*(ROW('Raw Data'!$O$1:O1194)-ROW('Raw Data'!$O$1)),ROWS($A$44:A194))),"")</f>
        <v/>
      </c>
      <c r="D194" s="36" t="str">
        <f>IFERROR(INDEX('Raw Data'!$R$2:$R$1044,_xlfn.AGGREGATE(15,3,('Raw Data'!$O$1:$O$1044=Invoice!$E$3)/('Raw Data'!$O$1:$O$1044=Invoice!$E$3)*(ROW('Raw Data'!$O$1:O1194)-ROW('Raw Data'!$O$1)),ROWS($A$44:B194))),"")</f>
        <v/>
      </c>
      <c r="E194" s="252" t="str">
        <f>IFERROR(INDEX('Raw Data'!$N$3:$N$1045,_xlfn.AGGREGATE(15,3,('Raw Data'!$O$1:$O$1044=Invoice!$E$3)/('Raw Data'!$O$1:$O$1044=Invoice!$E$3)*(ROW('Raw Data'!$O$1:O1194)-ROW('Raw Data'!$O$1)),ROWS($A$44:B194))),"")</f>
        <v/>
      </c>
      <c r="F194" s="252"/>
      <c r="G194" s="37" t="str">
        <f>IFERROR(_xlfn.SINGLE(INDEX('Raw Data'!#REF!,_xlfn.AGGREGATE(15,3,('Raw Data'!$O$1:$O$1044=Invoice!$E$3)/('Raw Data'!$O$1:$O$1044=Invoice!$E$3)*(ROW('Raw Data'!$O$1:O1194)-ROW('Raw Data'!$O$1)),ROWS($A$44:E194)))),"")</f>
        <v/>
      </c>
    </row>
    <row r="195" spans="2:7" ht="30" customHeight="1">
      <c r="B195" s="31" t="str">
        <f>IFERROR(INDEX('Raw Data'!$P$2:$P$1044,_xlfn.AGGREGATE(15,3,('Raw Data'!$O$1:$O$1044=Invoice!$E$3)/('Raw Data'!$O$1:$O$1044=Invoice!$E$3)*(ROW('Raw Data'!$O$1:O1195)-ROW('Raw Data'!$O$1)),ROWS($A$44:A195))),"")</f>
        <v/>
      </c>
      <c r="C195" s="36" t="str">
        <f>IFERROR(INDEX('Raw Data'!$C$2:$C$1044,_xlfn.AGGREGATE(15,3,('Raw Data'!$O$1:$O$1044=Invoice!$E$3)/('Raw Data'!$O$1:$O$1044=Invoice!$E$3)*(ROW('Raw Data'!$O$1:O1195)-ROW('Raw Data'!$O$1)),ROWS($A$44:A195))),"")</f>
        <v/>
      </c>
      <c r="D195" s="36" t="str">
        <f>IFERROR(INDEX('Raw Data'!$R$2:$R$1044,_xlfn.AGGREGATE(15,3,('Raw Data'!$O$1:$O$1044=Invoice!$E$3)/('Raw Data'!$O$1:$O$1044=Invoice!$E$3)*(ROW('Raw Data'!$O$1:O1195)-ROW('Raw Data'!$O$1)),ROWS($A$44:B195))),"")</f>
        <v/>
      </c>
      <c r="E195" s="252" t="str">
        <f>IFERROR(INDEX('Raw Data'!$N$3:$N$1045,_xlfn.AGGREGATE(15,3,('Raw Data'!$O$1:$O$1044=Invoice!$E$3)/('Raw Data'!$O$1:$O$1044=Invoice!$E$3)*(ROW('Raw Data'!$O$1:O1195)-ROW('Raw Data'!$O$1)),ROWS($A$44:B195))),"")</f>
        <v/>
      </c>
      <c r="F195" s="252"/>
      <c r="G195" s="37" t="str">
        <f>IFERROR(_xlfn.SINGLE(INDEX('Raw Data'!#REF!,_xlfn.AGGREGATE(15,3,('Raw Data'!$O$1:$O$1044=Invoice!$E$3)/('Raw Data'!$O$1:$O$1044=Invoice!$E$3)*(ROW('Raw Data'!$O$1:O1195)-ROW('Raw Data'!$O$1)),ROWS($A$44:E195)))),"")</f>
        <v/>
      </c>
    </row>
    <row r="196" spans="2:7" ht="30" customHeight="1">
      <c r="B196" s="31" t="str">
        <f>IFERROR(INDEX('Raw Data'!$P$2:$P$1044,_xlfn.AGGREGATE(15,3,('Raw Data'!$O$1:$O$1044=Invoice!$E$3)/('Raw Data'!$O$1:$O$1044=Invoice!$E$3)*(ROW('Raw Data'!$O$1:O1196)-ROW('Raw Data'!$O$1)),ROWS($A$44:A196))),"")</f>
        <v/>
      </c>
      <c r="C196" s="36" t="str">
        <f>IFERROR(INDEX('Raw Data'!$C$2:$C$1044,_xlfn.AGGREGATE(15,3,('Raw Data'!$O$1:$O$1044=Invoice!$E$3)/('Raw Data'!$O$1:$O$1044=Invoice!$E$3)*(ROW('Raw Data'!$O$1:O1196)-ROW('Raw Data'!$O$1)),ROWS($A$44:A196))),"")</f>
        <v/>
      </c>
      <c r="D196" s="36" t="str">
        <f>IFERROR(INDEX('Raw Data'!$R$2:$R$1044,_xlfn.AGGREGATE(15,3,('Raw Data'!$O$1:$O$1044=Invoice!$E$3)/('Raw Data'!$O$1:$O$1044=Invoice!$E$3)*(ROW('Raw Data'!$O$1:O1196)-ROW('Raw Data'!$O$1)),ROWS($A$44:B196))),"")</f>
        <v/>
      </c>
      <c r="E196" s="252" t="str">
        <f>IFERROR(INDEX('Raw Data'!$N$3:$N$1045,_xlfn.AGGREGATE(15,3,('Raw Data'!$O$1:$O$1044=Invoice!$E$3)/('Raw Data'!$O$1:$O$1044=Invoice!$E$3)*(ROW('Raw Data'!$O$1:O1196)-ROW('Raw Data'!$O$1)),ROWS($A$44:B196))),"")</f>
        <v/>
      </c>
      <c r="F196" s="252"/>
      <c r="G196" s="37" t="str">
        <f>IFERROR(_xlfn.SINGLE(INDEX('Raw Data'!#REF!,_xlfn.AGGREGATE(15,3,('Raw Data'!$O$1:$O$1044=Invoice!$E$3)/('Raw Data'!$O$1:$O$1044=Invoice!$E$3)*(ROW('Raw Data'!$O$1:O1196)-ROW('Raw Data'!$O$1)),ROWS($A$44:E196)))),"")</f>
        <v/>
      </c>
    </row>
    <row r="197" spans="2:7" ht="30" customHeight="1">
      <c r="B197" s="31" t="str" cm="1">
        <f t="array" ref="B197">IFERROR(_xlfn.SINGLE(INDEX('Raw Data'!$P$2:$P$1076,_xlfn.AGGREGATE(15,3,('Raw Data'!$O$1:$O$1076=Invoice!$E$3)/('Raw Data'!$O$1:$O$1076=Invoice!$E$3)*(ROW('Raw Data'!$O$1:O1229)-ROW('Raw Data'!$O$1)),ROWS($A$44:A197)))),"")</f>
        <v/>
      </c>
      <c r="C197" s="36" t="str" cm="1">
        <f t="array" ref="C197">IFERROR(_xlfn.SINGLE(INDEX('Raw Data'!$C$2:$C$1076,_xlfn.AGGREGATE(15,3,('Raw Data'!$O$1:$O$1076=Invoice!$E$3)/('Raw Data'!$O$1:$O$1076=Invoice!$E$3)*(ROW('Raw Data'!$O$1:O1229)-ROW('Raw Data'!$O$1)),ROWS($A$44:A197)))),"")</f>
        <v/>
      </c>
      <c r="D197" s="36" t="str" cm="1">
        <f t="array" ref="D197">IFERROR(_xlfn.SINGLE(INDEX('Raw Data'!$R$2:$R$1076,_xlfn.AGGREGATE(15,3,('Raw Data'!$O$1:$O$1076=Invoice!$E$3)/('Raw Data'!$O$1:$O$1076=Invoice!$E$3)*(ROW('Raw Data'!$O$1:O1229)-ROW('Raw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</mergeCells>
  <conditionalFormatting sqref="I33">
    <cfRule type="expression" dxfId="61" priority="3">
      <formula>$G$33&lt;&gt;$I$33</formula>
    </cfRule>
  </conditionalFormatting>
  <conditionalFormatting sqref="I39">
    <cfRule type="expression" dxfId="60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70"/>
  <sheetViews>
    <sheetView zoomScale="72" zoomScaleNormal="72" workbookViewId="0">
      <pane ySplit="1" topLeftCell="A2" activePane="bottomLeft" state="frozen"/>
      <selection pane="bottomLeft" activeCell="Z22" sqref="Z22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3.5546875" style="93" bestFit="1" customWidth="1"/>
    <col min="26" max="26" width="27.44140625" style="93" bestFit="1" customWidth="1"/>
    <col min="27" max="27" width="3.88671875" style="93" customWidth="1"/>
    <col min="28" max="28" width="4.88671875" style="93" customWidth="1"/>
    <col min="29" max="29" width="16.77734375" style="93" bestFit="1" customWidth="1"/>
    <col min="30" max="30" width="18.33203125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8" si="0">O2&amp;S2</f>
        <v>CL01540 - Ethylene Oxide Sterilization (per run)</v>
      </c>
      <c r="B2" s="168"/>
      <c r="C2" s="168" t="s">
        <v>147</v>
      </c>
      <c r="D2" s="168" t="s">
        <v>148</v>
      </c>
      <c r="E2" s="168" t="s">
        <v>149</v>
      </c>
      <c r="F2" s="168" t="s">
        <v>150</v>
      </c>
      <c r="G2" s="168" t="s">
        <v>151</v>
      </c>
      <c r="H2" s="168" t="s">
        <v>152</v>
      </c>
      <c r="I2" s="168" t="s">
        <v>153</v>
      </c>
      <c r="J2" s="168" t="s">
        <v>154</v>
      </c>
      <c r="K2" s="169"/>
      <c r="L2" s="169"/>
      <c r="M2" s="169"/>
      <c r="N2" s="168" t="s">
        <v>239</v>
      </c>
      <c r="O2" s="237" t="s">
        <v>209</v>
      </c>
      <c r="P2" s="96">
        <f t="shared" ref="P2:P78" si="1">INT(L2)</f>
        <v>0</v>
      </c>
      <c r="Q2" s="96"/>
      <c r="R2" s="97">
        <f t="shared" ref="R2:R78" si="2">L2-K2</f>
        <v>0</v>
      </c>
      <c r="S2" s="92" t="s">
        <v>155</v>
      </c>
      <c r="T2">
        <v>0.5</v>
      </c>
      <c r="U2" s="99">
        <f>IFERROR(VLOOKUP($S2,References!$B$3:$C$8,2,FALSE),"")</f>
        <v>40</v>
      </c>
      <c r="V2" s="99">
        <f>IF(T2&gt;=8,400,(IFERROR(T2*U2,"")))</f>
        <v>20</v>
      </c>
      <c r="W2" s="66"/>
      <c r="Y2" s="100"/>
      <c r="Z2" s="259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ref="A3" si="3">O3&amp;S3</f>
        <v>CL01740 - Ethylene Oxide Sterilization (per run)</v>
      </c>
      <c r="B3" s="168"/>
      <c r="C3" s="168" t="s">
        <v>147</v>
      </c>
      <c r="D3" s="168" t="s">
        <v>148</v>
      </c>
      <c r="E3" s="168" t="s">
        <v>149</v>
      </c>
      <c r="F3" s="168" t="s">
        <v>150</v>
      </c>
      <c r="G3" s="168" t="s">
        <v>151</v>
      </c>
      <c r="H3" s="168" t="s">
        <v>152</v>
      </c>
      <c r="I3" s="168" t="s">
        <v>153</v>
      </c>
      <c r="J3" s="168" t="s">
        <v>154</v>
      </c>
      <c r="K3" s="169"/>
      <c r="L3" s="169"/>
      <c r="M3" s="169"/>
      <c r="N3" s="168" t="s">
        <v>240</v>
      </c>
      <c r="O3" s="237" t="s">
        <v>232</v>
      </c>
      <c r="P3" s="96">
        <f t="shared" ref="P3" si="4">INT(L3)</f>
        <v>0</v>
      </c>
      <c r="Q3" s="96"/>
      <c r="R3" s="97">
        <f t="shared" ref="R3" si="5">L3-K3</f>
        <v>0</v>
      </c>
      <c r="S3" s="92" t="s">
        <v>155</v>
      </c>
      <c r="T3">
        <v>1.5</v>
      </c>
      <c r="U3" s="99">
        <f>IFERROR(VLOOKUP($S3,References!$B$3:$C$8,2,FALSE),"")</f>
        <v>40</v>
      </c>
      <c r="V3" s="99">
        <f t="shared" ref="V3" si="6">IF(T3&gt;=8,400,(IFERROR(T3*U3,"")))</f>
        <v>60</v>
      </c>
      <c r="W3" s="66"/>
      <c r="Y3" s="100" t="s">
        <v>51</v>
      </c>
      <c r="Z3" s="259">
        <v>0</v>
      </c>
      <c r="AC3" s="100" t="s">
        <v>232</v>
      </c>
      <c r="AD3" s="101">
        <v>60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/>
      </c>
      <c r="B4" s="168"/>
      <c r="C4" s="168"/>
      <c r="D4" s="168"/>
      <c r="E4" s="168"/>
      <c r="F4" s="168"/>
      <c r="G4" s="168"/>
      <c r="H4" s="168"/>
      <c r="I4" s="168"/>
      <c r="J4" s="168"/>
      <c r="K4" s="169"/>
      <c r="L4" s="169"/>
      <c r="M4" s="169"/>
      <c r="N4" s="168"/>
      <c r="O4" s="237"/>
      <c r="P4" s="96">
        <f t="shared" si="1"/>
        <v>0</v>
      </c>
      <c r="Q4" s="96"/>
      <c r="R4" s="97">
        <f t="shared" si="2"/>
        <v>0</v>
      </c>
      <c r="T4"/>
      <c r="U4" s="99" t="str">
        <f>IFERROR(VLOOKUP($S4,References!$B$3:$C$8,2,FALSE),"")</f>
        <v/>
      </c>
      <c r="V4" s="99" t="str">
        <f t="shared" ref="V4:V5" si="7">IF(T4&gt;=8,400,(IFERROR(T4*U4,"")))</f>
        <v/>
      </c>
      <c r="W4" s="66"/>
      <c r="Y4" s="100" t="s">
        <v>214</v>
      </c>
      <c r="Z4" s="259">
        <v>0.5</v>
      </c>
      <c r="AC4" s="100" t="s">
        <v>209</v>
      </c>
      <c r="AD4" s="101">
        <v>20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/>
      </c>
      <c r="B5" s="168"/>
      <c r="C5" s="168"/>
      <c r="D5" s="168"/>
      <c r="E5" s="168"/>
      <c r="F5" s="168"/>
      <c r="G5" s="168"/>
      <c r="H5" s="168"/>
      <c r="I5" s="168"/>
      <c r="J5" s="168"/>
      <c r="K5" s="169"/>
      <c r="L5" s="169"/>
      <c r="M5" s="169"/>
      <c r="N5" s="168"/>
      <c r="O5" s="237"/>
      <c r="P5" s="96">
        <f t="shared" si="1"/>
        <v>0</v>
      </c>
      <c r="Q5" s="96"/>
      <c r="R5" s="97">
        <f t="shared" si="2"/>
        <v>0</v>
      </c>
      <c r="T5" s="98"/>
      <c r="U5" s="99" t="str">
        <f>IFERROR(VLOOKUP($S5,References!$B$3:$C$8,2,FALSE),"")</f>
        <v/>
      </c>
      <c r="V5" s="99" t="str">
        <f t="shared" si="7"/>
        <v/>
      </c>
      <c r="W5" s="66"/>
      <c r="Y5" s="100" t="s">
        <v>241</v>
      </c>
      <c r="Z5" s="259">
        <v>1.5</v>
      </c>
      <c r="AC5" s="100" t="s">
        <v>52</v>
      </c>
      <c r="AD5" s="101">
        <v>80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si="0"/>
        <v/>
      </c>
      <c r="B6" s="168"/>
      <c r="C6" s="168"/>
      <c r="D6" s="168"/>
      <c r="E6" s="168"/>
      <c r="F6" s="168"/>
      <c r="G6" s="168"/>
      <c r="H6" s="168"/>
      <c r="I6" s="168"/>
      <c r="J6" s="168"/>
      <c r="K6" s="169"/>
      <c r="L6" s="169"/>
      <c r="M6" s="169"/>
      <c r="N6" s="168"/>
      <c r="O6" s="236"/>
      <c r="P6" s="96">
        <f t="shared" si="1"/>
        <v>0</v>
      </c>
      <c r="Q6" s="96"/>
      <c r="R6" s="97">
        <f t="shared" si="2"/>
        <v>0</v>
      </c>
      <c r="T6" s="98"/>
      <c r="U6" s="99"/>
      <c r="V6" s="99"/>
      <c r="W6" s="66"/>
      <c r="Y6" s="100" t="s">
        <v>52</v>
      </c>
      <c r="Z6" s="259">
        <v>2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0"/>
        <v/>
      </c>
      <c r="B7" s="168"/>
      <c r="C7" s="168"/>
      <c r="D7" s="168"/>
      <c r="E7" s="168"/>
      <c r="F7" s="168"/>
      <c r="G7" s="168"/>
      <c r="H7" s="168"/>
      <c r="I7" s="168"/>
      <c r="J7" s="168"/>
      <c r="K7" s="169"/>
      <c r="L7" s="169"/>
      <c r="M7" s="169"/>
      <c r="N7" s="168"/>
      <c r="O7" s="236"/>
      <c r="P7" s="96">
        <f t="shared" si="1"/>
        <v>0</v>
      </c>
      <c r="Q7" s="96"/>
      <c r="R7" s="97">
        <f t="shared" si="2"/>
        <v>0</v>
      </c>
      <c r="T7" s="98">
        <f t="shared" ref="T7:T36" si="8">IF(S7="50 - Cleaning Fee",1,HOUR($R7)+MINUTE(R7)/60)</f>
        <v>0</v>
      </c>
      <c r="U7" s="99" t="str">
        <f>IFERROR(VLOOKUP($S7,References!$B$3:$C$8,2,FALSE),"")</f>
        <v/>
      </c>
      <c r="V7" s="99"/>
      <c r="W7" s="66"/>
      <c r="Y7"/>
      <c r="Z7"/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 t="shared" si="0"/>
        <v/>
      </c>
      <c r="B8" s="168"/>
      <c r="C8" s="168"/>
      <c r="D8" s="168"/>
      <c r="E8" s="168"/>
      <c r="F8" s="168"/>
      <c r="G8" s="168"/>
      <c r="H8" s="168"/>
      <c r="I8" s="168"/>
      <c r="J8" s="168"/>
      <c r="K8" s="169"/>
      <c r="L8" s="169"/>
      <c r="M8" s="169"/>
      <c r="N8" s="168"/>
      <c r="O8" s="236"/>
      <c r="P8" s="96">
        <f t="shared" si="1"/>
        <v>0</v>
      </c>
      <c r="Q8" s="96"/>
      <c r="R8" s="97">
        <f t="shared" si="2"/>
        <v>0</v>
      </c>
      <c r="T8" s="98">
        <f t="shared" si="8"/>
        <v>0</v>
      </c>
      <c r="U8" s="99" t="str">
        <f>IFERROR(VLOOKUP($S8,References!$B$3:$C$8,2,FALSE),"")</f>
        <v/>
      </c>
      <c r="V8" s="99" t="str">
        <f t="shared" ref="V8:V36" si="9">IF(T8&gt;=8,400,(IFERROR(T8*U8,"")))</f>
        <v/>
      </c>
      <c r="W8" s="66"/>
      <c r="Y8"/>
      <c r="Z8"/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0"/>
        <v/>
      </c>
      <c r="B9" s="168"/>
      <c r="C9" s="168"/>
      <c r="D9" s="168"/>
      <c r="E9" s="168"/>
      <c r="F9" s="168"/>
      <c r="G9" s="168"/>
      <c r="H9" s="168"/>
      <c r="I9" s="168"/>
      <c r="J9" s="168"/>
      <c r="K9" s="169"/>
      <c r="L9" s="169"/>
      <c r="M9" s="169"/>
      <c r="N9" s="168"/>
      <c r="O9" s="236"/>
      <c r="P9" s="96">
        <f t="shared" si="1"/>
        <v>0</v>
      </c>
      <c r="Q9" s="96"/>
      <c r="R9" s="97">
        <f t="shared" si="2"/>
        <v>0</v>
      </c>
      <c r="T9" s="98">
        <f t="shared" si="8"/>
        <v>0</v>
      </c>
      <c r="U9" s="99" t="str">
        <f>IFERROR(VLOOKUP($S9,References!$B$3:$C$8,2,FALSE),"")</f>
        <v/>
      </c>
      <c r="V9" s="99" t="str">
        <f t="shared" si="9"/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68"/>
      <c r="C10" s="168"/>
      <c r="D10" s="168"/>
      <c r="E10" s="168"/>
      <c r="F10" s="168"/>
      <c r="G10" s="168"/>
      <c r="H10" s="168"/>
      <c r="I10" s="168"/>
      <c r="J10" s="168"/>
      <c r="K10" s="169"/>
      <c r="L10" s="169"/>
      <c r="M10" s="169"/>
      <c r="N10" s="168"/>
      <c r="O10" s="236"/>
      <c r="P10" s="96">
        <f t="shared" si="1"/>
        <v>0</v>
      </c>
      <c r="Q10" s="96"/>
      <c r="R10" s="97">
        <f t="shared" si="2"/>
        <v>0</v>
      </c>
      <c r="T10" s="98">
        <f t="shared" si="8"/>
        <v>0</v>
      </c>
      <c r="U10" s="99" t="str">
        <f>IFERROR(VLOOKUP($S10,References!$B$3:$C$8,2,FALSE),"")</f>
        <v/>
      </c>
      <c r="V10" s="99" t="str">
        <f t="shared" si="9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68"/>
      <c r="C11" s="168"/>
      <c r="D11" s="168"/>
      <c r="E11" s="168"/>
      <c r="F11" s="168"/>
      <c r="G11" s="168"/>
      <c r="H11" s="168"/>
      <c r="I11" s="168"/>
      <c r="J11" s="168"/>
      <c r="K11" s="169"/>
      <c r="L11" s="169"/>
      <c r="M11" s="169"/>
      <c r="N11" s="168"/>
      <c r="O11" s="238"/>
      <c r="P11" s="96">
        <f t="shared" si="1"/>
        <v>0</v>
      </c>
      <c r="Q11" s="96"/>
      <c r="R11" s="97">
        <f t="shared" si="2"/>
        <v>0</v>
      </c>
      <c r="T11" s="98">
        <f t="shared" si="8"/>
        <v>0</v>
      </c>
      <c r="U11" s="99" t="str">
        <f>IFERROR(VLOOKUP($S11,References!$B$3:$C$8,2,FALSE),"")</f>
        <v/>
      </c>
      <c r="V11" s="99" t="str">
        <f t="shared" si="9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68"/>
      <c r="D12" s="168"/>
      <c r="E12" s="168"/>
      <c r="F12" s="168"/>
      <c r="G12" s="168"/>
      <c r="H12" s="168"/>
      <c r="I12" s="168"/>
      <c r="J12" s="168"/>
      <c r="K12" s="171"/>
      <c r="L12" s="171"/>
      <c r="M12" s="171"/>
      <c r="N12" s="168"/>
      <c r="O12" s="238"/>
      <c r="P12" s="96">
        <f t="shared" si="1"/>
        <v>0</v>
      </c>
      <c r="Q12" s="96"/>
      <c r="R12" s="97">
        <f t="shared" si="2"/>
        <v>0</v>
      </c>
      <c r="T12" s="98">
        <f t="shared" si="8"/>
        <v>0</v>
      </c>
      <c r="U12" s="99" t="str">
        <f>IFERROR(VLOOKUP($S12,References!$B$3:$C$8,2,FALSE),"")</f>
        <v/>
      </c>
      <c r="V12" s="99" t="str">
        <f t="shared" si="9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70"/>
      <c r="C13" s="168"/>
      <c r="D13" s="168"/>
      <c r="E13" s="168"/>
      <c r="F13" s="168"/>
      <c r="G13" s="168"/>
      <c r="H13" s="168"/>
      <c r="I13" s="168"/>
      <c r="J13" s="168"/>
      <c r="K13" s="171"/>
      <c r="L13" s="171"/>
      <c r="M13" s="171"/>
      <c r="N13" s="168"/>
      <c r="O13" s="238"/>
      <c r="P13" s="96">
        <f t="shared" si="1"/>
        <v>0</v>
      </c>
      <c r="Q13" s="96"/>
      <c r="R13" s="97">
        <f t="shared" si="2"/>
        <v>0</v>
      </c>
      <c r="T13" s="98">
        <f t="shared" si="8"/>
        <v>0</v>
      </c>
      <c r="U13" s="99" t="str">
        <f>IFERROR(VLOOKUP($S13,References!$B$3:$C$8,2,FALSE),"")</f>
        <v/>
      </c>
      <c r="V13" s="99" t="str">
        <f t="shared" si="9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si="0"/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71"/>
      <c r="L14" s="171"/>
      <c r="M14" s="171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8"/>
        <v>0</v>
      </c>
      <c r="U14" s="99" t="str">
        <f>IFERROR(VLOOKUP($S14,References!$B$3:$C$8,2,FALSE),"")</f>
        <v/>
      </c>
      <c r="V14" s="99" t="str">
        <f t="shared" si="9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8"/>
        <v>0</v>
      </c>
      <c r="U15" s="99" t="str">
        <f>IFERROR(VLOOKUP($S15,References!$B$3:$C$8,2,FALSE),"")</f>
        <v/>
      </c>
      <c r="V15" s="99" t="str">
        <f t="shared" si="9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8"/>
        <v>0</v>
      </c>
      <c r="U16" s="99" t="str">
        <f>IFERROR(VLOOKUP($S16,References!$B$3:$C$8,2,FALSE),"")</f>
        <v/>
      </c>
      <c r="V16" s="99" t="str">
        <f t="shared" si="9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si="0"/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8"/>
        <v>0</v>
      </c>
      <c r="U17" s="99" t="str">
        <f>IFERROR(VLOOKUP($S17,References!$B$3:$C$8,2,FALSE),"")</f>
        <v/>
      </c>
      <c r="V17" s="99" t="str">
        <f t="shared" si="9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0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8"/>
        <v>0</v>
      </c>
      <c r="U18" s="99" t="str">
        <f>IFERROR(VLOOKUP($S18,References!$B$3:$C$8,2,FALSE),"")</f>
        <v/>
      </c>
      <c r="V18" s="99" t="str">
        <f t="shared" si="9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0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8"/>
        <v>0</v>
      </c>
      <c r="U19" s="99" t="str">
        <f>IFERROR(VLOOKUP($S19,References!$B$3:$C$8,2,FALSE),"")</f>
        <v/>
      </c>
      <c r="V19" s="99" t="str">
        <f t="shared" si="9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0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8"/>
        <v>0</v>
      </c>
      <c r="U20" s="99" t="str">
        <f>IFERROR(VLOOKUP($S20,References!$B$3:$C$8,2,FALSE),"")</f>
        <v/>
      </c>
      <c r="V20" s="99" t="str">
        <f t="shared" si="9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0"/>
        <v/>
      </c>
      <c r="B21" s="168"/>
      <c r="C21" s="168"/>
      <c r="D21" s="168"/>
      <c r="E21" s="168"/>
      <c r="F21" s="168"/>
      <c r="G21" s="168"/>
      <c r="H21" s="168"/>
      <c r="I21" s="168"/>
      <c r="J21" s="168"/>
      <c r="K21" s="169"/>
      <c r="L21" s="169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8"/>
        <v>0</v>
      </c>
      <c r="U21" s="99" t="str">
        <f>IFERROR(VLOOKUP($S21,References!$B$3:$C$8,2,FALSE),"")</f>
        <v/>
      </c>
      <c r="V21" s="99" t="str">
        <f t="shared" si="9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8"/>
        <v>0</v>
      </c>
      <c r="U22" s="99" t="str">
        <f>IFERROR(VLOOKUP($S22,References!$B$3:$C$8,2,FALSE),"")</f>
        <v/>
      </c>
      <c r="V22" s="99" t="str">
        <f t="shared" si="9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8"/>
      <c r="C23" s="168"/>
      <c r="D23" s="168"/>
      <c r="E23" s="168"/>
      <c r="F23" s="168"/>
      <c r="G23" s="168"/>
      <c r="H23" s="168"/>
      <c r="I23" s="82"/>
      <c r="J23" s="82"/>
      <c r="K23" s="82"/>
      <c r="L23" s="82"/>
      <c r="M23" s="169"/>
      <c r="N23" s="168"/>
      <c r="O23" s="168"/>
      <c r="P23" s="96">
        <f t="shared" si="1"/>
        <v>0</v>
      </c>
      <c r="Q23" s="96"/>
      <c r="R23" s="97">
        <f t="shared" si="2"/>
        <v>0</v>
      </c>
      <c r="T23" s="98">
        <f t="shared" si="8"/>
        <v>0</v>
      </c>
      <c r="U23" s="99" t="str">
        <f>IFERROR(VLOOKUP($S23,References!$B$3:$C$8,2,FALSE),"")</f>
        <v/>
      </c>
      <c r="V23" s="99" t="str">
        <f t="shared" si="9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8"/>
      <c r="O24" s="163"/>
      <c r="P24" s="96">
        <f t="shared" si="1"/>
        <v>0</v>
      </c>
      <c r="Q24" s="96"/>
      <c r="R24" s="97">
        <f t="shared" si="2"/>
        <v>0</v>
      </c>
      <c r="T24" s="98">
        <f t="shared" si="8"/>
        <v>0</v>
      </c>
      <c r="U24" s="99" t="str">
        <f>IFERROR(VLOOKUP($S24,References!$B$3:$C$8,2,FALSE),"")</f>
        <v/>
      </c>
      <c r="V24" s="99" t="str">
        <f t="shared" si="9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8"/>
        <v>0</v>
      </c>
      <c r="U25" s="99" t="str">
        <f>IFERROR(VLOOKUP($S25,References!$B$3:$C$8,2,FALSE),"")</f>
        <v/>
      </c>
      <c r="V25" s="99" t="str">
        <f t="shared" si="9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8"/>
        <v>0</v>
      </c>
      <c r="U26" s="99" t="str">
        <f>IFERROR(VLOOKUP($S26,References!$B$3:$C$8,2,FALSE),"")</f>
        <v/>
      </c>
      <c r="V26" s="99" t="str">
        <f t="shared" si="9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3"/>
      <c r="O27" s="163"/>
      <c r="P27" s="96">
        <f t="shared" si="1"/>
        <v>0</v>
      </c>
      <c r="Q27" s="96"/>
      <c r="R27" s="97">
        <f t="shared" si="2"/>
        <v>0</v>
      </c>
      <c r="T27" s="98">
        <f t="shared" si="8"/>
        <v>0</v>
      </c>
      <c r="U27" s="99" t="str">
        <f>IFERROR(VLOOKUP($S27,References!$B$3:$C$8,2,FALSE),"")</f>
        <v/>
      </c>
      <c r="V27" s="99" t="str">
        <f t="shared" si="9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3"/>
      <c r="O28" s="163"/>
      <c r="P28" s="96">
        <f t="shared" si="1"/>
        <v>0</v>
      </c>
      <c r="Q28" s="96"/>
      <c r="R28" s="97">
        <f t="shared" si="2"/>
        <v>0</v>
      </c>
      <c r="T28" s="98">
        <f t="shared" si="8"/>
        <v>0</v>
      </c>
      <c r="U28" s="99" t="str">
        <f>IFERROR(VLOOKUP($S28,References!$B$3:$C$8,2,FALSE),"")</f>
        <v/>
      </c>
      <c r="V28" s="99" t="str">
        <f t="shared" si="9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82"/>
      <c r="J29" s="82"/>
      <c r="K29" s="82"/>
      <c r="L29" s="82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8"/>
        <v>0</v>
      </c>
      <c r="U29" s="99" t="str">
        <f>IFERROR(VLOOKUP($S29,References!$B$3:$C$8,2,FALSE),"")</f>
        <v/>
      </c>
      <c r="V29" s="99" t="str">
        <f t="shared" si="9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8"/>
        <v>0</v>
      </c>
      <c r="U30" s="99" t="str">
        <f>IFERROR(VLOOKUP($S30,References!$B$3:$C$8,2,FALSE),"")</f>
        <v/>
      </c>
      <c r="V30" s="99" t="str">
        <f t="shared" si="9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5"/>
      <c r="O31" s="163"/>
      <c r="P31" s="96">
        <f t="shared" si="1"/>
        <v>0</v>
      </c>
      <c r="Q31" s="96"/>
      <c r="R31" s="97">
        <f t="shared" si="2"/>
        <v>0</v>
      </c>
      <c r="T31" s="98">
        <f t="shared" si="8"/>
        <v>0</v>
      </c>
      <c r="U31" s="99" t="str">
        <f>IFERROR(VLOOKUP($S31,References!$B$3:$C$8,2,FALSE),"")</f>
        <v/>
      </c>
      <c r="V31" s="99" t="str">
        <f t="shared" si="9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5"/>
      <c r="O32" s="163"/>
      <c r="P32" s="96">
        <f t="shared" si="1"/>
        <v>0</v>
      </c>
      <c r="Q32" s="96"/>
      <c r="R32" s="97">
        <f t="shared" si="2"/>
        <v>0</v>
      </c>
      <c r="T32" s="98">
        <f t="shared" si="8"/>
        <v>0</v>
      </c>
      <c r="U32" s="99" t="str">
        <f>IFERROR(VLOOKUP($S32,References!$B$3:$C$8,2,FALSE),"")</f>
        <v/>
      </c>
      <c r="V32" s="99" t="str">
        <f t="shared" si="9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4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8"/>
        <v>0</v>
      </c>
      <c r="U33" s="99" t="str">
        <f>IFERROR(VLOOKUP($S33,References!$B$3:$C$8,2,FALSE),"")</f>
        <v/>
      </c>
      <c r="V33" s="99" t="str">
        <f t="shared" si="9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3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8"/>
        <v>0</v>
      </c>
      <c r="U34" s="99" t="str">
        <f>IFERROR(VLOOKUP($S34,References!$B$3:$C$8,2,FALSE),"")</f>
        <v/>
      </c>
      <c r="V34" s="99" t="str">
        <f t="shared" si="9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8"/>
        <v>0</v>
      </c>
      <c r="U35" s="99" t="str">
        <f>IFERROR(VLOOKUP($S35,References!$B$3:$C$8,2,FALSE),"")</f>
        <v/>
      </c>
      <c r="V35" s="99" t="str">
        <f t="shared" si="9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8"/>
        <v>0</v>
      </c>
      <c r="U36" s="99" t="str">
        <f>IFERROR(VLOOKUP($S36,References!$B$3:$C$8,2,FALSE),"")</f>
        <v/>
      </c>
      <c r="V36" s="99" t="str">
        <f t="shared" si="9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/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/>
      <c r="U37" s="99"/>
      <c r="V37" s="99"/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/>
      <c r="B38" s="168"/>
      <c r="C38" s="168"/>
      <c r="D38" s="168"/>
      <c r="E38" s="168"/>
      <c r="F38" s="168"/>
      <c r="G38" s="168"/>
      <c r="H38" s="168"/>
      <c r="I38" s="168"/>
      <c r="J38" s="168"/>
      <c r="K38" s="171"/>
      <c r="L38" s="171"/>
      <c r="M38" s="171"/>
      <c r="N38" s="163"/>
      <c r="O38" s="168"/>
      <c r="P38" s="96">
        <f t="shared" si="1"/>
        <v>0</v>
      </c>
      <c r="Q38" s="96"/>
      <c r="R38" s="97">
        <f t="shared" si="2"/>
        <v>0</v>
      </c>
      <c r="S38" s="92"/>
      <c r="T38" s="98"/>
      <c r="U38" s="99"/>
      <c r="V38" s="99"/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8"/>
      <c r="O39" s="163"/>
      <c r="P39" s="96">
        <f t="shared" si="1"/>
        <v>0</v>
      </c>
      <c r="Q39" s="96"/>
      <c r="R39" s="97">
        <f t="shared" si="2"/>
        <v>0</v>
      </c>
      <c r="T39" s="98">
        <f t="shared" ref="T39:T44" si="10">IF(S39="50 - Cleaning Fee",1,HOUR($R39)+MINUTE(R39)/60)</f>
        <v>0</v>
      </c>
      <c r="U39" s="99" t="str">
        <f>IFERROR(VLOOKUP($S39,References!$B$3:$C$8,2,FALSE),"")</f>
        <v/>
      </c>
      <c r="V39" s="99" t="str">
        <f t="shared" ref="V39:V52" si="11">IF(T39&gt;=8,400,(IFERROR(T39*U39,"")))</f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IFERROR(VLOOKUP($S40,References!$B$3:$C$8,2,FALSE),"")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4"/>
      <c r="N41" s="165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IFERROR(VLOOKUP($S41,References!$B$3:$C$8,2,FALSE),"")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3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IFERROR(VLOOKUP($S42,References!$B$3:$C$8,2,FALSE),"")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IFERROR(VLOOKUP($S43,References!$B$3:$C$8,2,FALSE),"")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3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IFERROR(VLOOKUP($S44,References!$B$3:$C$8,2,FALSE),"")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ref="T45:T67" si="12">IF(S45="50 - Cleaning Fee",1,HOUR($R45)+MINUTE(R45)/60)</f>
        <v>0</v>
      </c>
      <c r="U45" s="99" t="str">
        <f>IFERROR(VLOOKUP($S45,References!$B$3:$C$8,2,FALSE),"")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5"/>
      <c r="O46" s="163"/>
      <c r="P46" s="96">
        <f t="shared" si="1"/>
        <v>0</v>
      </c>
      <c r="Q46" s="96"/>
      <c r="R46" s="97">
        <f t="shared" si="2"/>
        <v>0</v>
      </c>
      <c r="T46" s="98">
        <f t="shared" si="12"/>
        <v>0</v>
      </c>
      <c r="U46" s="99" t="str">
        <f>IFERROR(VLOOKUP($S46,References!$B$3:$C$8,2,FALSE),"")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3"/>
      <c r="O47" s="163"/>
      <c r="P47" s="96">
        <f t="shared" si="1"/>
        <v>0</v>
      </c>
      <c r="Q47" s="96"/>
      <c r="R47" s="97">
        <f t="shared" si="2"/>
        <v>0</v>
      </c>
      <c r="T47" s="98">
        <f t="shared" si="12"/>
        <v>0</v>
      </c>
      <c r="U47" s="99" t="str">
        <f>IFERROR(VLOOKUP($S47,References!$B$3:$C$8,2,FALSE),"")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3"/>
      <c r="O48" s="163"/>
      <c r="P48" s="96">
        <f t="shared" si="1"/>
        <v>0</v>
      </c>
      <c r="Q48" s="96"/>
      <c r="R48" s="97">
        <f t="shared" si="2"/>
        <v>0</v>
      </c>
      <c r="T48" s="98">
        <f t="shared" si="12"/>
        <v>0</v>
      </c>
      <c r="U48" s="99" t="str">
        <f>IFERROR(VLOOKUP($S48,References!$B$3:$C$8,2,FALSE),"")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2"/>
        <v>0</v>
      </c>
      <c r="U49" s="99" t="str">
        <f>IFERROR(VLOOKUP($S49,References!$B$3:$C$8,2,FALSE),"")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2"/>
        <v>0</v>
      </c>
      <c r="U50" s="99" t="str">
        <f>IFERROR(VLOOKUP($S50,References!$B$3:$C$8,2,FALSE),"")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5"/>
      <c r="O51" s="163"/>
      <c r="P51" s="96">
        <f t="shared" si="1"/>
        <v>0</v>
      </c>
      <c r="Q51" s="96"/>
      <c r="R51" s="97">
        <f t="shared" si="2"/>
        <v>0</v>
      </c>
      <c r="T51" s="98">
        <f t="shared" si="12"/>
        <v>0</v>
      </c>
      <c r="U51" s="99" t="str">
        <f>IFERROR(VLOOKUP($S51,References!$B$3:$C$8,2,FALSE),"")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5"/>
      <c r="O52" s="163"/>
      <c r="P52" s="96">
        <f t="shared" si="1"/>
        <v>0</v>
      </c>
      <c r="Q52" s="96"/>
      <c r="R52" s="97">
        <f t="shared" si="2"/>
        <v>0</v>
      </c>
      <c r="T52" s="98">
        <f t="shared" si="12"/>
        <v>0</v>
      </c>
      <c r="U52" s="99" t="str">
        <f>IFERROR(VLOOKUP($S52,References!$B$3:$C$8,2,FALSE),"")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2"/>
        <v>0</v>
      </c>
      <c r="U53" s="99" t="str">
        <f>IFERROR(VLOOKUP($S53,References!$B$3:$C$8,2,FALSE),"")</f>
        <v/>
      </c>
      <c r="V53" s="99" t="str">
        <f t="shared" ref="V53:V67" si="13">IF(T53&gt;=8,400,(IFERROR(T53*U53,"")))</f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2"/>
        <v>0</v>
      </c>
      <c r="U54" s="99" t="str">
        <f>IFERROR(VLOOKUP($S54,References!$B$3:$C$8,2,FALSE),"")</f>
        <v/>
      </c>
      <c r="V54" s="99" t="str">
        <f t="shared" si="13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3"/>
      <c r="O55" s="163"/>
      <c r="P55" s="96">
        <f t="shared" si="1"/>
        <v>0</v>
      </c>
      <c r="Q55" s="96"/>
      <c r="R55" s="97">
        <f t="shared" si="2"/>
        <v>0</v>
      </c>
      <c r="T55" s="98">
        <f t="shared" si="12"/>
        <v>0</v>
      </c>
      <c r="U55" s="99" t="str">
        <f>IFERROR(VLOOKUP($S55,References!$B$3:$C$8,2,FALSE),"")</f>
        <v/>
      </c>
      <c r="V55" s="99" t="str">
        <f t="shared" si="13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3"/>
      <c r="O56" s="163"/>
      <c r="P56" s="96">
        <f t="shared" si="1"/>
        <v>0</v>
      </c>
      <c r="Q56" s="96"/>
      <c r="R56" s="97">
        <f t="shared" si="2"/>
        <v>0</v>
      </c>
      <c r="T56" s="98">
        <f t="shared" si="12"/>
        <v>0</v>
      </c>
      <c r="U56" s="99" t="str">
        <f>IFERROR(VLOOKUP($S56,References!$B$3:$C$8,2,FALSE),"")</f>
        <v/>
      </c>
      <c r="V56" s="99" t="str">
        <f t="shared" si="13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2"/>
        <v>0</v>
      </c>
      <c r="U57" s="99" t="str">
        <f>IFERROR(VLOOKUP($S57,References!$B$3:$C$8,2,FALSE),"")</f>
        <v/>
      </c>
      <c r="V57" s="99" t="str">
        <f t="shared" si="13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2"/>
        <v>0</v>
      </c>
      <c r="U58" s="99" t="str">
        <f>IFERROR(VLOOKUP($S58,References!$B$3:$C$8,2,FALSE),"")</f>
        <v/>
      </c>
      <c r="V58" s="99" t="str">
        <f t="shared" si="13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5"/>
      <c r="O59" s="163"/>
      <c r="P59" s="96">
        <f t="shared" si="1"/>
        <v>0</v>
      </c>
      <c r="Q59" s="96"/>
      <c r="R59" s="97">
        <f t="shared" si="2"/>
        <v>0</v>
      </c>
      <c r="T59" s="98">
        <f t="shared" si="12"/>
        <v>0</v>
      </c>
      <c r="U59" s="99" t="str">
        <f>IFERROR(VLOOKUP($S59,References!$B$3:$C$8,2,FALSE),"")</f>
        <v/>
      </c>
      <c r="V59" s="99" t="str">
        <f t="shared" si="13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4"/>
      <c r="N60" s="165"/>
      <c r="O60" s="163"/>
      <c r="P60" s="96">
        <f t="shared" si="1"/>
        <v>0</v>
      </c>
      <c r="Q60" s="96"/>
      <c r="R60" s="97">
        <f t="shared" si="2"/>
        <v>0</v>
      </c>
      <c r="T60" s="98">
        <f t="shared" si="12"/>
        <v>0</v>
      </c>
      <c r="U60" s="99" t="str">
        <f>IFERROR(VLOOKUP($S60,References!$B$3:$C$8,2,FALSE),"")</f>
        <v/>
      </c>
      <c r="V60" s="99" t="str">
        <f t="shared" si="13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3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2"/>
        <v>0</v>
      </c>
      <c r="U61" s="99" t="str">
        <f>IFERROR(VLOOKUP($S61,References!$B$3:$C$8,2,FALSE),"")</f>
        <v/>
      </c>
      <c r="V61" s="99" t="str">
        <f t="shared" si="13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2"/>
        <v>0</v>
      </c>
      <c r="U62" s="99" t="str">
        <f>IFERROR(VLOOKUP($S62,References!$B$3:$C$8,2,FALSE),"")</f>
        <v/>
      </c>
      <c r="V62" s="99" t="str">
        <f t="shared" si="13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2"/>
        <v>0</v>
      </c>
      <c r="U63" s="99" t="str">
        <f>IFERROR(VLOOKUP($S63,References!$B$3:$C$8,2,FALSE),"")</f>
        <v/>
      </c>
      <c r="V63" s="99" t="str">
        <f t="shared" si="13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2"/>
        <v>0</v>
      </c>
      <c r="U64" s="99" t="str">
        <f>IFERROR(VLOOKUP($S64,References!$B$3:$C$8,2,FALSE),"")</f>
        <v/>
      </c>
      <c r="V64" s="99" t="str">
        <f t="shared" si="13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2"/>
        <v>0</v>
      </c>
      <c r="U65" s="99" t="str">
        <f>IFERROR(VLOOKUP($S65,References!$B$3:$C$8,2,FALSE),"")</f>
        <v/>
      </c>
      <c r="V65" s="99" t="str">
        <f t="shared" si="13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2"/>
        <v>0</v>
      </c>
      <c r="U66" s="99" t="str">
        <f>IFERROR(VLOOKUP($S66,References!$B$3:$C$8,2,FALSE),"")</f>
        <v/>
      </c>
      <c r="V66" s="99" t="str">
        <f t="shared" si="13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2"/>
        <v>0</v>
      </c>
      <c r="U67" s="99" t="str">
        <f>IFERROR(VLOOKUP($S67,References!$B$3:$C$8,2,FALSE),"")</f>
        <v/>
      </c>
      <c r="V67" s="99" t="str">
        <f t="shared" si="13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ref="T68:T131" si="14">IF(S68="50 - Cleaning Fee",1,HOUR($R68)+MINUTE(R68)/60)</f>
        <v>0</v>
      </c>
      <c r="U68" s="99" t="str">
        <f>IFERROR(VLOOKUP($S68,References!$B$3:$C$8,2,FALSE),"")</f>
        <v/>
      </c>
      <c r="V68" s="99" t="str">
        <f t="shared" ref="V68:V131" si="15">IF(T68&gt;=8,400,(IFERROR(T68*U68,"")))</f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si="14"/>
        <v>0</v>
      </c>
      <c r="U69" s="99" t="str">
        <f>IFERROR(VLOOKUP($S69,References!$B$3:$C$8,2,FALSE),"")</f>
        <v/>
      </c>
      <c r="V69" s="99" t="str">
        <f t="shared" si="15"/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IFERROR(VLOOKUP($S70,References!$B$3:$C$8,2,FALSE),"")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IFERROR(VLOOKUP($S71,References!$B$3:$C$8,2,FALSE),"")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IFERROR(VLOOKUP($S72,References!$B$3:$C$8,2,FALSE),"")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IFERROR(VLOOKUP($S73,References!$B$3:$C$8,2,FALSE),"")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IFERROR(VLOOKUP($S74,References!$B$3:$C$8,2,FALSE),"")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IFERROR(VLOOKUP($S75,References!$B$3:$C$8,2,FALSE),"")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IFERROR(VLOOKUP($S76,References!$B$3:$C$8,2,FALSE),"")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IFERROR(VLOOKUP($S77,References!$B$3:$C$8,2,FALSE),"")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si="0"/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si="1"/>
        <v>0</v>
      </c>
      <c r="Q78" s="96"/>
      <c r="R78" s="97">
        <f t="shared" si="2"/>
        <v>0</v>
      </c>
      <c r="T78" s="98">
        <f t="shared" si="14"/>
        <v>0</v>
      </c>
      <c r="U78" s="99" t="str">
        <f>IFERROR(VLOOKUP($S78,References!$B$3:$C$8,2,FALSE),"")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ref="A79:A142" si="16">O79&amp;S79</f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ref="P79:P142" si="17">INT(L79)</f>
        <v>0</v>
      </c>
      <c r="Q79" s="96"/>
      <c r="R79" s="97">
        <f t="shared" ref="R79:R142" si="18">L79-K79</f>
        <v>0</v>
      </c>
      <c r="T79" s="98">
        <f t="shared" si="14"/>
        <v>0</v>
      </c>
      <c r="U79" s="99" t="str">
        <f>IFERROR(VLOOKUP($S79,References!$B$3:$C$8,2,FALSE),"")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IFERROR(VLOOKUP($S80,References!$B$3:$C$8,2,FALSE),"")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IFERROR(VLOOKUP($S81,References!$B$3:$C$8,2,FALSE),"")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IFERROR(VLOOKUP($S82,References!$B$3:$C$8,2,FALSE),"")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4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IFERROR(VLOOKUP($S83,References!$B$3:$C$8,2,FALSE),"")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IFERROR(VLOOKUP($S84,References!$B$3:$C$8,2,FALSE),"")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3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IFERROR(VLOOKUP($S85,References!$B$3:$C$8,2,FALSE),"")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si="14"/>
        <v>0</v>
      </c>
      <c r="U86" s="99" t="str">
        <f>IFERROR(VLOOKUP($S86,References!$B$3:$C$8,2,FALSE),"")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4"/>
        <v>0</v>
      </c>
      <c r="U87" s="99" t="str">
        <f>IFERROR(VLOOKUP($S87,References!$B$3:$C$8,2,FALSE),"")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4"/>
        <v>0</v>
      </c>
      <c r="U88" s="99" t="str">
        <f>IFERROR(VLOOKUP($S88,References!$B$3:$C$8,2,FALSE),"")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4"/>
        <v>0</v>
      </c>
      <c r="U89" s="99" t="str">
        <f>IFERROR(VLOOKUP($S89,References!$B$3:$C$8,2,FALSE),"")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4"/>
        <v>0</v>
      </c>
      <c r="U90" s="99" t="str">
        <f>IFERROR(VLOOKUP($S90,References!$B$3:$C$8,2,FALSE),"")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4"/>
        <v>0</v>
      </c>
      <c r="U91" s="99" t="str">
        <f>IFERROR(VLOOKUP($S91,References!$B$3:$C$8,2,FALSE),"")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4"/>
        <v>0</v>
      </c>
      <c r="U92" s="99" t="str">
        <f>IFERROR(VLOOKUP($S92,References!$B$3:$C$8,2,FALSE),"")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4"/>
        <v>0</v>
      </c>
      <c r="U93" s="99" t="str">
        <f>IFERROR(VLOOKUP($S93,References!$B$3:$C$8,2,FALSE),"")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4"/>
        <v>0</v>
      </c>
      <c r="U94" s="99" t="str">
        <f>IFERROR(VLOOKUP($S94,References!$B$3:$C$8,2,FALSE),"")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4"/>
        <v>0</v>
      </c>
      <c r="U95" s="99" t="str">
        <f>IFERROR(VLOOKUP($S95,References!$B$3:$C$8,2,FALSE),"")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4"/>
        <v>0</v>
      </c>
      <c r="U96" s="99" t="str">
        <f>IFERROR(VLOOKUP($S96,References!$B$3:$C$8,2,FALSE),"")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4"/>
        <v>0</v>
      </c>
      <c r="U97" s="99" t="str">
        <f>IFERROR(VLOOKUP($S97,References!$B$3:$C$8,2,FALSE),"")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4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4"/>
        <v>0</v>
      </c>
      <c r="U98" s="99" t="str">
        <f>IFERROR(VLOOKUP($S98,References!$B$3:$C$8,2,FALSE),"")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3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4"/>
        <v>0</v>
      </c>
      <c r="U99" s="99" t="str">
        <f>IFERROR(VLOOKUP($S99,References!$B$3:$C$8,2,FALSE),"")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4"/>
        <v>0</v>
      </c>
      <c r="U100" s="99" t="str">
        <f>IFERROR(VLOOKUP($S100,References!$B$3:$C$8,2,FALSE),"")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4"/>
        <v>0</v>
      </c>
      <c r="U101" s="99" t="str">
        <f>IFERROR(VLOOKUP($S101,References!$B$3:$C$8,2,FALSE),"")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63"/>
      <c r="C102" s="163"/>
      <c r="D102" s="163"/>
      <c r="E102" s="163"/>
      <c r="F102" s="163"/>
      <c r="G102" s="163"/>
      <c r="H102" s="163"/>
      <c r="I102" s="163"/>
      <c r="J102" s="163"/>
      <c r="K102" s="164"/>
      <c r="L102" s="164"/>
      <c r="M102" s="164"/>
      <c r="N102" s="163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4"/>
        <v>0</v>
      </c>
      <c r="U102" s="99" t="str">
        <f>IFERROR(VLOOKUP($S102,References!$B$3:$C$8,2,FALSE),"")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63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4"/>
        <v>0</v>
      </c>
      <c r="U103" s="99" t="str">
        <f>IFERROR(VLOOKUP($S103,References!$B$3:$C$8,2,FALSE),"")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57"/>
      <c r="H104" s="157"/>
      <c r="I104" s="157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4"/>
        <v>0</v>
      </c>
      <c r="U104" s="99" t="str">
        <f>IFERROR(VLOOKUP($S104,References!$B$3:$C$8,2,FALSE),"")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57"/>
      <c r="D105" s="157"/>
      <c r="E105" s="157"/>
      <c r="F105" s="157"/>
      <c r="G105" s="163"/>
      <c r="H105" s="163"/>
      <c r="I105" s="163"/>
      <c r="J105" s="157"/>
      <c r="K105" s="158"/>
      <c r="L105" s="158"/>
      <c r="M105" s="158"/>
      <c r="N105" s="157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4"/>
        <v>0</v>
      </c>
      <c r="U105" s="99" t="str">
        <f>IFERROR(VLOOKUP($S105,References!$B$3:$C$8,2,FALSE),"")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57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4"/>
        <v>0</v>
      </c>
      <c r="U106" s="99" t="str">
        <f>IFERROR(VLOOKUP($S106,References!$B$3:$C$8,2,FALSE),"")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4"/>
        <v>0</v>
      </c>
      <c r="U107" s="99" t="str">
        <f>IFERROR(VLOOKUP($S107,References!$B$3:$C$8,2,FALSE),"")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4"/>
        <v>0</v>
      </c>
      <c r="U108" s="99" t="str">
        <f>IFERROR(VLOOKUP($S108,References!$B$3:$C$8,2,FALSE),"")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4"/>
        <v>0</v>
      </c>
      <c r="U109" s="99" t="str">
        <f>IFERROR(VLOOKUP($S109,References!$B$3:$C$8,2,FALSE),"")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63"/>
      <c r="D110" s="163"/>
      <c r="E110" s="163"/>
      <c r="F110" s="157"/>
      <c r="G110" s="163"/>
      <c r="H110" s="163"/>
      <c r="I110" s="163"/>
      <c r="J110" s="157"/>
      <c r="K110" s="158"/>
      <c r="L110" s="158"/>
      <c r="M110" s="158"/>
      <c r="N110" s="163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4"/>
        <v>0</v>
      </c>
      <c r="U110" s="99" t="str">
        <f>IFERROR(VLOOKUP($S110,References!$B$3:$C$8,2,FALSE),"")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63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4"/>
        <v>0</v>
      </c>
      <c r="U111" s="99" t="str">
        <f>IFERROR(VLOOKUP($S111,References!$B$3:$C$8,2,FALSE),"")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4"/>
        <v>0</v>
      </c>
      <c r="U112" s="99" t="str">
        <f>IFERROR(VLOOKUP($S112,References!$B$3:$C$8,2,FALSE),"")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4"/>
        <v>0</v>
      </c>
      <c r="U113" s="99" t="str">
        <f>IFERROR(VLOOKUP($S113,References!$B$3:$C$8,2,FALSE),"")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4"/>
        <v>0</v>
      </c>
      <c r="U114" s="99" t="str">
        <f>IFERROR(VLOOKUP($S114,References!$B$3:$C$8,2,FALSE),"")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4"/>
        <v>0</v>
      </c>
      <c r="U115" s="99" t="str">
        <f>IFERROR(VLOOKUP($S115,References!$B$3:$C$8,2,FALSE),"")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si="17"/>
        <v>0</v>
      </c>
      <c r="Q116" s="96"/>
      <c r="R116" s="97">
        <f t="shared" si="18"/>
        <v>0</v>
      </c>
      <c r="T116" s="98">
        <f t="shared" si="14"/>
        <v>0</v>
      </c>
      <c r="U116" s="99" t="str">
        <f>IFERROR(VLOOKUP($S116,References!$B$3:$C$8,2,FALSE),"")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17"/>
        <v>0</v>
      </c>
      <c r="Q117" s="96"/>
      <c r="R117" s="97">
        <f t="shared" si="18"/>
        <v>0</v>
      </c>
      <c r="T117" s="98">
        <f t="shared" si="14"/>
        <v>0</v>
      </c>
      <c r="U117" s="99" t="str">
        <f>IFERROR(VLOOKUP($S117,References!$B$3:$C$8,2,FALSE),"")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17"/>
        <v>0</v>
      </c>
      <c r="Q118" s="96"/>
      <c r="R118" s="97">
        <f t="shared" si="18"/>
        <v>0</v>
      </c>
      <c r="T118" s="98">
        <f t="shared" si="14"/>
        <v>0</v>
      </c>
      <c r="U118" s="99" t="str">
        <f>IFERROR(VLOOKUP($S118,References!$B$3:$C$8,2,FALSE),"")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17"/>
        <v>0</v>
      </c>
      <c r="Q119" s="96"/>
      <c r="R119" s="97">
        <f t="shared" si="18"/>
        <v>0</v>
      </c>
      <c r="T119" s="98">
        <f t="shared" si="14"/>
        <v>0</v>
      </c>
      <c r="U119" s="99" t="str">
        <f>IFERROR(VLOOKUP($S119,References!$B$3:$C$8,2,FALSE),"")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17"/>
        <v>0</v>
      </c>
      <c r="Q120" s="96"/>
      <c r="R120" s="97">
        <f t="shared" si="18"/>
        <v>0</v>
      </c>
      <c r="T120" s="98">
        <f t="shared" si="14"/>
        <v>0</v>
      </c>
      <c r="U120" s="99" t="str">
        <f>IFERROR(VLOOKUP($S120,References!$B$3:$C$8,2,FALSE),"")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17"/>
        <v>0</v>
      </c>
      <c r="Q121" s="96"/>
      <c r="R121" s="97">
        <f t="shared" si="18"/>
        <v>0</v>
      </c>
      <c r="T121" s="98">
        <f t="shared" si="14"/>
        <v>0</v>
      </c>
      <c r="U121" s="99" t="str">
        <f>IFERROR(VLOOKUP($S121,References!$B$3:$C$8,2,FALSE),"")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17"/>
        <v>0</v>
      </c>
      <c r="Q122" s="96"/>
      <c r="R122" s="97">
        <f t="shared" si="18"/>
        <v>0</v>
      </c>
      <c r="T122" s="98">
        <f t="shared" si="14"/>
        <v>0</v>
      </c>
      <c r="U122" s="99" t="str">
        <f>IFERROR(VLOOKUP($S122,References!$B$3:$C$8,2,FALSE),"")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17"/>
        <v>0</v>
      </c>
      <c r="Q123" s="96"/>
      <c r="R123" s="97">
        <f t="shared" si="18"/>
        <v>0</v>
      </c>
      <c r="T123" s="98">
        <f t="shared" si="14"/>
        <v>0</v>
      </c>
      <c r="U123" s="99" t="str">
        <f>IFERROR(VLOOKUP($S123,References!$B$3:$C$8,2,FALSE),"")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17"/>
        <v>0</v>
      </c>
      <c r="Q124" s="96"/>
      <c r="R124" s="97">
        <f t="shared" si="18"/>
        <v>0</v>
      </c>
      <c r="T124" s="98">
        <f t="shared" si="14"/>
        <v>0</v>
      </c>
      <c r="U124" s="99" t="str">
        <f>IFERROR(VLOOKUP($S124,References!$B$3:$C$8,2,FALSE),"")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17"/>
        <v>0</v>
      </c>
      <c r="Q125" s="96"/>
      <c r="R125" s="97">
        <f t="shared" si="18"/>
        <v>0</v>
      </c>
      <c r="T125" s="98">
        <f t="shared" si="14"/>
        <v>0</v>
      </c>
      <c r="U125" s="99" t="str">
        <f>IFERROR(VLOOKUP($S125,References!$B$3:$C$8,2,FALSE),"")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17"/>
        <v>0</v>
      </c>
      <c r="Q126" s="96"/>
      <c r="R126" s="97">
        <f t="shared" si="18"/>
        <v>0</v>
      </c>
      <c r="T126" s="98">
        <f t="shared" si="14"/>
        <v>0</v>
      </c>
      <c r="U126" s="99" t="str">
        <f>IFERROR(VLOOKUP($S126,References!$B$3:$C$8,2,FALSE),"")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17"/>
        <v>0</v>
      </c>
      <c r="Q127" s="96"/>
      <c r="R127" s="97">
        <f t="shared" si="18"/>
        <v>0</v>
      </c>
      <c r="T127" s="98">
        <f t="shared" si="14"/>
        <v>0</v>
      </c>
      <c r="U127" s="99" t="str">
        <f>IFERROR(VLOOKUP($S127,References!$B$3:$C$8,2,FALSE),"")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17"/>
        <v>0</v>
      </c>
      <c r="Q128" s="96"/>
      <c r="R128" s="97">
        <f t="shared" si="18"/>
        <v>0</v>
      </c>
      <c r="T128" s="98">
        <f t="shared" si="14"/>
        <v>0</v>
      </c>
      <c r="U128" s="99" t="str">
        <f>IFERROR(VLOOKUP($S128,References!$B$3:$C$8,2,FALSE),"")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17"/>
        <v>0</v>
      </c>
      <c r="Q129" s="96"/>
      <c r="R129" s="97">
        <f t="shared" si="18"/>
        <v>0</v>
      </c>
      <c r="T129" s="98">
        <f t="shared" si="14"/>
        <v>0</v>
      </c>
      <c r="U129" s="99" t="str">
        <f>IFERROR(VLOOKUP($S129,References!$B$3:$C$8,2,FALSE),"")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17"/>
        <v>0</v>
      </c>
      <c r="Q130" s="96"/>
      <c r="R130" s="97">
        <f t="shared" si="18"/>
        <v>0</v>
      </c>
      <c r="T130" s="98">
        <f t="shared" si="14"/>
        <v>0</v>
      </c>
      <c r="U130" s="99" t="str">
        <f>IFERROR(VLOOKUP($S130,References!$B$3:$C$8,2,FALSE),"")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17"/>
        <v>0</v>
      </c>
      <c r="Q131" s="96"/>
      <c r="R131" s="97">
        <f t="shared" si="18"/>
        <v>0</v>
      </c>
      <c r="T131" s="98">
        <f t="shared" si="14"/>
        <v>0</v>
      </c>
      <c r="U131" s="99" t="str">
        <f>IFERROR(VLOOKUP($S131,References!$B$3:$C$8,2,FALSE),"")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17"/>
        <v>0</v>
      </c>
      <c r="Q132" s="96"/>
      <c r="R132" s="97">
        <f t="shared" si="18"/>
        <v>0</v>
      </c>
      <c r="T132" s="98">
        <f t="shared" ref="T132:T195" si="19">IF(S132="50 - Cleaning Fee",1,HOUR($R132)+MINUTE(R132)/60)</f>
        <v>0</v>
      </c>
      <c r="U132" s="99" t="str">
        <f>IFERROR(VLOOKUP($S132,References!$B$3:$C$8,2,FALSE),"")</f>
        <v/>
      </c>
      <c r="V132" s="99" t="str">
        <f t="shared" ref="V132:V195" si="20">IF(T132&gt;=8,400,(IFERROR(T132*U132,"")))</f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17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IFERROR(VLOOKUP($S133,References!$B$3:$C$8,2,FALSE),"")</f>
        <v/>
      </c>
      <c r="V133" s="99" t="str">
        <f t="shared" si="20"/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17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IFERROR(VLOOKUP($S134,References!$B$3:$C$8,2,FALSE),"")</f>
        <v/>
      </c>
      <c r="V134" s="99" t="str">
        <f t="shared" si="20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17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IFERROR(VLOOKUP($S135,References!$B$3:$C$8,2,FALSE),"")</f>
        <v/>
      </c>
      <c r="V135" s="99" t="str">
        <f t="shared" si="20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17"/>
        <v>0</v>
      </c>
      <c r="Q136" s="96"/>
      <c r="R136" s="97">
        <f t="shared" si="18"/>
        <v>0</v>
      </c>
      <c r="T136" s="98">
        <f t="shared" si="19"/>
        <v>0</v>
      </c>
      <c r="U136" s="99" t="str">
        <f>IFERROR(VLOOKUP($S136,References!$B$3:$C$8,2,FALSE),"")</f>
        <v/>
      </c>
      <c r="V136" s="99" t="str">
        <f t="shared" si="20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17"/>
        <v>0</v>
      </c>
      <c r="Q137" s="96"/>
      <c r="R137" s="97">
        <f t="shared" si="18"/>
        <v>0</v>
      </c>
      <c r="T137" s="98">
        <f t="shared" si="19"/>
        <v>0</v>
      </c>
      <c r="U137" s="99" t="str">
        <f>IFERROR(VLOOKUP($S137,References!$B$3:$C$8,2,FALSE),"")</f>
        <v/>
      </c>
      <c r="V137" s="99" t="str">
        <f t="shared" si="20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17"/>
        <v>0</v>
      </c>
      <c r="Q138" s="96"/>
      <c r="R138" s="97">
        <f t="shared" si="18"/>
        <v>0</v>
      </c>
      <c r="T138" s="98">
        <f t="shared" si="19"/>
        <v>0</v>
      </c>
      <c r="U138" s="99" t="str">
        <f>IFERROR(VLOOKUP($S138,References!$B$3:$C$8,2,FALSE),"")</f>
        <v/>
      </c>
      <c r="V138" s="99" t="str">
        <f t="shared" si="20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17"/>
        <v>0</v>
      </c>
      <c r="Q139" s="96"/>
      <c r="R139" s="97">
        <f t="shared" si="18"/>
        <v>0</v>
      </c>
      <c r="T139" s="98">
        <f t="shared" si="19"/>
        <v>0</v>
      </c>
      <c r="U139" s="99" t="str">
        <f>IFERROR(VLOOKUP($S139,References!$B$3:$C$8,2,FALSE),"")</f>
        <v/>
      </c>
      <c r="V139" s="99" t="str">
        <f t="shared" si="20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17"/>
        <v>0</v>
      </c>
      <c r="Q140" s="96"/>
      <c r="R140" s="97">
        <f t="shared" si="18"/>
        <v>0</v>
      </c>
      <c r="T140" s="98">
        <f t="shared" si="19"/>
        <v>0</v>
      </c>
      <c r="U140" s="99" t="str">
        <f>IFERROR(VLOOKUP($S140,References!$B$3:$C$8,2,FALSE),"")</f>
        <v/>
      </c>
      <c r="V140" s="99" t="str">
        <f t="shared" si="20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17"/>
        <v>0</v>
      </c>
      <c r="Q141" s="96"/>
      <c r="R141" s="97">
        <f t="shared" si="18"/>
        <v>0</v>
      </c>
      <c r="T141" s="98">
        <f t="shared" si="19"/>
        <v>0</v>
      </c>
      <c r="U141" s="99" t="str">
        <f>IFERROR(VLOOKUP($S141,References!$B$3:$C$8,2,FALSE),"")</f>
        <v/>
      </c>
      <c r="V141" s="99" t="str">
        <f t="shared" si="20"/>
        <v/>
      </c>
      <c r="W141" s="66"/>
      <c r="AH141" s="66"/>
    </row>
    <row r="142" spans="1:34">
      <c r="A142" s="95" t="str">
        <f t="shared" si="16"/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si="17"/>
        <v>0</v>
      </c>
      <c r="Q142" s="96"/>
      <c r="R142" s="97">
        <f t="shared" si="18"/>
        <v>0</v>
      </c>
      <c r="T142" s="98">
        <f t="shared" si="19"/>
        <v>0</v>
      </c>
      <c r="U142" s="99" t="str">
        <f>IFERROR(VLOOKUP($S142,References!$B$3:$C$8,2,FALSE),"")</f>
        <v/>
      </c>
      <c r="V142" s="99" t="str">
        <f t="shared" si="20"/>
        <v/>
      </c>
      <c r="W142" s="66"/>
      <c r="AH142" s="66"/>
    </row>
    <row r="143" spans="1:34">
      <c r="A143" s="95" t="str">
        <f t="shared" ref="A143:A206" si="21">O143&amp;S143</f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ref="P143:P206" si="22">INT(L143)</f>
        <v>0</v>
      </c>
      <c r="Q143" s="96"/>
      <c r="R143" s="97">
        <f t="shared" ref="R143:R206" si="23">L143-K143</f>
        <v>0</v>
      </c>
      <c r="T143" s="98">
        <f t="shared" si="19"/>
        <v>0</v>
      </c>
      <c r="U143" s="99" t="str">
        <f>IFERROR(VLOOKUP($S143,References!$B$3:$C$8,2,FALSE),"")</f>
        <v/>
      </c>
      <c r="V143" s="99" t="str">
        <f t="shared" si="20"/>
        <v/>
      </c>
      <c r="W143" s="66"/>
      <c r="AH143" s="66"/>
    </row>
    <row r="144" spans="1:34">
      <c r="A144" s="95" t="str">
        <f t="shared" si="21"/>
        <v/>
      </c>
      <c r="B144" s="157"/>
      <c r="C144" s="157"/>
      <c r="D144" s="157"/>
      <c r="E144" s="157"/>
      <c r="F144" s="157"/>
      <c r="G144" s="157"/>
      <c r="H144" s="157"/>
      <c r="I144" s="157"/>
      <c r="J144" s="157"/>
      <c r="K144" s="158"/>
      <c r="L144" s="158"/>
      <c r="M144" s="158"/>
      <c r="N144" s="157"/>
      <c r="O144" s="163"/>
      <c r="P144" s="96">
        <f t="shared" si="22"/>
        <v>0</v>
      </c>
      <c r="Q144" s="96"/>
      <c r="R144" s="97">
        <f t="shared" si="23"/>
        <v>0</v>
      </c>
      <c r="T144" s="98">
        <f t="shared" si="19"/>
        <v>0</v>
      </c>
      <c r="U144" s="99" t="str">
        <f>IFERROR(VLOOKUP($S144,References!$B$3:$C$8,2,FALSE),"")</f>
        <v/>
      </c>
      <c r="V144" s="99" t="str">
        <f t="shared" si="20"/>
        <v/>
      </c>
      <c r="W144" s="66"/>
      <c r="AH144" s="66"/>
    </row>
    <row r="145" spans="1:375">
      <c r="A145" s="95" t="str">
        <f t="shared" si="21"/>
        <v/>
      </c>
      <c r="B145" s="157"/>
      <c r="C145" s="157"/>
      <c r="D145" s="157"/>
      <c r="E145" s="157"/>
      <c r="F145" s="157"/>
      <c r="G145" s="157"/>
      <c r="H145" s="157"/>
      <c r="I145" s="159"/>
      <c r="J145" s="157"/>
      <c r="K145" s="158"/>
      <c r="L145" s="158"/>
      <c r="M145" s="158"/>
      <c r="N145" s="157"/>
      <c r="O145" s="163"/>
      <c r="P145" s="96">
        <f t="shared" si="22"/>
        <v>0</v>
      </c>
      <c r="Q145" s="96"/>
      <c r="R145" s="97">
        <f t="shared" si="23"/>
        <v>0</v>
      </c>
      <c r="T145" s="98">
        <f t="shared" si="19"/>
        <v>0</v>
      </c>
      <c r="U145" s="99" t="str">
        <f>IFERROR(VLOOKUP($S145,References!$B$3:$C$8,2,FALSE),"")</f>
        <v/>
      </c>
      <c r="V145" s="99" t="str">
        <f t="shared" si="20"/>
        <v/>
      </c>
      <c r="W145" s="66"/>
      <c r="AH145" s="66"/>
    </row>
    <row r="146" spans="1:375">
      <c r="A146" s="95" t="str">
        <f t="shared" si="21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2"/>
        <v>0</v>
      </c>
      <c r="Q146" s="96"/>
      <c r="R146" s="97">
        <f t="shared" si="23"/>
        <v>0</v>
      </c>
      <c r="T146" s="98">
        <f t="shared" si="19"/>
        <v>0</v>
      </c>
      <c r="U146" s="99" t="str">
        <f>IFERROR(VLOOKUP($S146,References!$B$3:$C$8,2,FALSE),"")</f>
        <v/>
      </c>
      <c r="V146" s="99" t="str">
        <f t="shared" si="20"/>
        <v/>
      </c>
      <c r="W146" s="66"/>
      <c r="AH146" s="66"/>
    </row>
    <row r="147" spans="1:375">
      <c r="A147" s="95" t="str">
        <f t="shared" si="21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2"/>
        <v>0</v>
      </c>
      <c r="Q147" s="96"/>
      <c r="R147" s="97">
        <f t="shared" si="23"/>
        <v>0</v>
      </c>
      <c r="T147" s="98">
        <f t="shared" si="19"/>
        <v>0</v>
      </c>
      <c r="U147" s="99" t="str">
        <f>IFERROR(VLOOKUP($S147,References!$B$3:$C$8,2,FALSE),"")</f>
        <v/>
      </c>
      <c r="V147" s="99" t="str">
        <f t="shared" si="20"/>
        <v/>
      </c>
      <c r="W147" s="66"/>
      <c r="AH147" s="66"/>
    </row>
    <row r="148" spans="1:375" ht="29.4" customHeight="1">
      <c r="A148" s="95" t="str">
        <f t="shared" si="21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2"/>
        <v>0</v>
      </c>
      <c r="Q148" s="96"/>
      <c r="R148" s="97">
        <f t="shared" si="23"/>
        <v>0</v>
      </c>
      <c r="T148" s="98">
        <f t="shared" si="19"/>
        <v>0</v>
      </c>
      <c r="U148" s="99" t="str">
        <f>IFERROR(VLOOKUP($S148,References!$B$3:$C$8,2,FALSE),"")</f>
        <v/>
      </c>
      <c r="V148" s="99" t="str">
        <f t="shared" si="20"/>
        <v/>
      </c>
      <c r="W148" s="66"/>
      <c r="AH148" s="66"/>
    </row>
    <row r="149" spans="1:375">
      <c r="A149" s="95" t="str">
        <f t="shared" si="21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63"/>
      <c r="P149" s="96">
        <f t="shared" si="22"/>
        <v>0</v>
      </c>
      <c r="Q149" s="96"/>
      <c r="R149" s="97">
        <f t="shared" si="23"/>
        <v>0</v>
      </c>
      <c r="T149" s="98">
        <f t="shared" si="19"/>
        <v>0</v>
      </c>
      <c r="U149" s="99" t="str">
        <f>IFERROR(VLOOKUP($S149,References!$B$3:$C$8,2,FALSE),"")</f>
        <v/>
      </c>
      <c r="V149" s="99" t="str">
        <f t="shared" si="20"/>
        <v/>
      </c>
      <c r="W149" s="66"/>
      <c r="AH149" s="66"/>
    </row>
    <row r="150" spans="1:375">
      <c r="A150" s="95" t="str">
        <f t="shared" si="21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2"/>
        <v>0</v>
      </c>
      <c r="Q150" s="96"/>
      <c r="R150" s="97">
        <f t="shared" si="23"/>
        <v>0</v>
      </c>
      <c r="T150" s="98">
        <f t="shared" si="19"/>
        <v>0</v>
      </c>
      <c r="U150" s="99" t="str">
        <f>IFERROR(VLOOKUP($S150,References!$B$3:$C$8,2,FALSE),"")</f>
        <v/>
      </c>
      <c r="V150" s="99" t="str">
        <f t="shared" si="20"/>
        <v/>
      </c>
      <c r="W150" s="66"/>
      <c r="AH150" s="66"/>
    </row>
    <row r="151" spans="1:375">
      <c r="A151" s="95" t="str">
        <f t="shared" si="21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2"/>
        <v>0</v>
      </c>
      <c r="Q151" s="96"/>
      <c r="R151" s="97">
        <f t="shared" si="23"/>
        <v>0</v>
      </c>
      <c r="T151" s="98">
        <f t="shared" si="19"/>
        <v>0</v>
      </c>
      <c r="U151" s="99" t="str">
        <f>IFERROR(VLOOKUP($S151,References!$B$3:$C$8,2,FALSE),"")</f>
        <v/>
      </c>
      <c r="V151" s="99" t="str">
        <f t="shared" si="20"/>
        <v/>
      </c>
      <c r="W151" s="66"/>
      <c r="AH151" s="66"/>
    </row>
    <row r="152" spans="1:375" s="92" customFormat="1" ht="20.399999999999999" customHeight="1">
      <c r="A152" s="95" t="str">
        <f t="shared" si="21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2"/>
        <v>0</v>
      </c>
      <c r="Q152" s="96"/>
      <c r="R152" s="97">
        <f t="shared" si="23"/>
        <v>0</v>
      </c>
      <c r="T152" s="98">
        <f t="shared" si="19"/>
        <v>0</v>
      </c>
      <c r="U152" s="99" t="str">
        <f>IFERROR(VLOOKUP($S152,References!$B$3:$C$8,2,FALSE),"")</f>
        <v/>
      </c>
      <c r="V152" s="99" t="str">
        <f t="shared" si="20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1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2"/>
        <v>0</v>
      </c>
      <c r="Q153" s="96"/>
      <c r="R153" s="97">
        <f t="shared" si="23"/>
        <v>0</v>
      </c>
      <c r="T153" s="98">
        <f t="shared" si="19"/>
        <v>0</v>
      </c>
      <c r="U153" s="99" t="str">
        <f>IFERROR(VLOOKUP($S153,References!$B$3:$C$8,2,FALSE),"")</f>
        <v/>
      </c>
      <c r="V153" s="99" t="str">
        <f t="shared" si="20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1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2"/>
        <v>0</v>
      </c>
      <c r="Q154" s="96"/>
      <c r="R154" s="97">
        <f t="shared" si="23"/>
        <v>0</v>
      </c>
      <c r="T154" s="98">
        <f t="shared" si="19"/>
        <v>0</v>
      </c>
      <c r="U154" s="99" t="str">
        <f>IFERROR(VLOOKUP($S154,References!$B$3:$C$8,2,FALSE),"")</f>
        <v/>
      </c>
      <c r="V154" s="99" t="str">
        <f t="shared" si="20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1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2"/>
        <v>0</v>
      </c>
      <c r="Q155" s="96"/>
      <c r="R155" s="97">
        <f t="shared" si="23"/>
        <v>0</v>
      </c>
      <c r="T155" s="98">
        <f t="shared" si="19"/>
        <v>0</v>
      </c>
      <c r="U155" s="99" t="str">
        <f>IFERROR(VLOOKUP($S155,References!$B$3:$C$8,2,FALSE),"")</f>
        <v/>
      </c>
      <c r="V155" s="99" t="str">
        <f t="shared" si="20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1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2"/>
        <v>0</v>
      </c>
      <c r="Q156" s="96"/>
      <c r="R156" s="97">
        <f t="shared" si="23"/>
        <v>0</v>
      </c>
      <c r="T156" s="98">
        <f t="shared" si="19"/>
        <v>0</v>
      </c>
      <c r="U156" s="99" t="str">
        <f>IFERROR(VLOOKUP($S156,References!$B$3:$C$8,2,FALSE),"")</f>
        <v/>
      </c>
      <c r="V156" s="99" t="str">
        <f t="shared" si="20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1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2"/>
        <v>0</v>
      </c>
      <c r="Q157" s="96"/>
      <c r="R157" s="97">
        <f t="shared" si="23"/>
        <v>0</v>
      </c>
      <c r="T157" s="98">
        <f t="shared" si="19"/>
        <v>0</v>
      </c>
      <c r="U157" s="99" t="str">
        <f>IFERROR(VLOOKUP($S157,References!$B$3:$C$8,2,FALSE),"")</f>
        <v/>
      </c>
      <c r="V157" s="99" t="str">
        <f t="shared" si="20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1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2"/>
        <v>0</v>
      </c>
      <c r="Q158" s="96"/>
      <c r="R158" s="97">
        <f t="shared" si="23"/>
        <v>0</v>
      </c>
      <c r="T158" s="98">
        <f t="shared" si="19"/>
        <v>0</v>
      </c>
      <c r="U158" s="99" t="str">
        <f>IFERROR(VLOOKUP($S158,References!$B$3:$C$8,2,FALSE),"")</f>
        <v/>
      </c>
      <c r="V158" s="99" t="str">
        <f t="shared" si="20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1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2"/>
        <v>0</v>
      </c>
      <c r="Q159" s="96"/>
      <c r="R159" s="97">
        <f t="shared" si="23"/>
        <v>0</v>
      </c>
      <c r="T159" s="98">
        <f t="shared" si="19"/>
        <v>0</v>
      </c>
      <c r="U159" s="99" t="str">
        <f>IFERROR(VLOOKUP($S159,References!$B$3:$C$8,2,FALSE),"")</f>
        <v/>
      </c>
      <c r="V159" s="99" t="str">
        <f t="shared" si="20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1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2"/>
        <v>0</v>
      </c>
      <c r="Q160" s="96"/>
      <c r="R160" s="97">
        <f t="shared" si="23"/>
        <v>0</v>
      </c>
      <c r="T160" s="98">
        <f t="shared" si="19"/>
        <v>0</v>
      </c>
      <c r="U160" s="99" t="str">
        <f>IFERROR(VLOOKUP($S160,References!$B$3:$C$8,2,FALSE),"")</f>
        <v/>
      </c>
      <c r="V160" s="99" t="str">
        <f t="shared" si="20"/>
        <v/>
      </c>
      <c r="W160" s="66"/>
      <c r="AH160" s="66"/>
    </row>
    <row r="161" spans="1:34">
      <c r="A161" s="95" t="str">
        <f t="shared" si="21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2"/>
        <v>0</v>
      </c>
      <c r="Q161" s="96"/>
      <c r="R161" s="97">
        <f t="shared" si="23"/>
        <v>0</v>
      </c>
      <c r="T161" s="98">
        <f t="shared" si="19"/>
        <v>0</v>
      </c>
      <c r="U161" s="99" t="str">
        <f>IFERROR(VLOOKUP($S161,References!$B$3:$C$8,2,FALSE),"")</f>
        <v/>
      </c>
      <c r="V161" s="99" t="str">
        <f t="shared" si="20"/>
        <v/>
      </c>
      <c r="W161" s="66"/>
      <c r="AH161" s="66"/>
    </row>
    <row r="162" spans="1:34">
      <c r="A162" s="95" t="str">
        <f t="shared" si="21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2"/>
        <v>0</v>
      </c>
      <c r="Q162" s="96"/>
      <c r="R162" s="97">
        <f t="shared" si="23"/>
        <v>0</v>
      </c>
      <c r="T162" s="98">
        <f t="shared" si="19"/>
        <v>0</v>
      </c>
      <c r="U162" s="99" t="str">
        <f>IFERROR(VLOOKUP($S162,References!$B$3:$C$8,2,FALSE),"")</f>
        <v/>
      </c>
      <c r="V162" s="99" t="str">
        <f t="shared" si="20"/>
        <v/>
      </c>
      <c r="W162" s="66"/>
      <c r="AH162" s="66"/>
    </row>
    <row r="163" spans="1:34">
      <c r="A163" s="95" t="str">
        <f t="shared" si="21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2"/>
        <v>0</v>
      </c>
      <c r="Q163" s="96"/>
      <c r="R163" s="97">
        <f t="shared" si="23"/>
        <v>0</v>
      </c>
      <c r="T163" s="98">
        <f t="shared" si="19"/>
        <v>0</v>
      </c>
      <c r="U163" s="99" t="str">
        <f>IFERROR(VLOOKUP($S163,References!$B$3:$C$8,2,FALSE),"")</f>
        <v/>
      </c>
      <c r="V163" s="99" t="str">
        <f t="shared" si="20"/>
        <v/>
      </c>
      <c r="W163" s="66"/>
      <c r="X163" s="102"/>
      <c r="AH163" s="66"/>
    </row>
    <row r="164" spans="1:34">
      <c r="A164" s="95" t="str">
        <f t="shared" si="21"/>
        <v/>
      </c>
      <c r="B164" s="157"/>
      <c r="C164" s="157"/>
      <c r="D164" s="157"/>
      <c r="E164" s="157"/>
      <c r="F164" s="157"/>
      <c r="G164" s="157"/>
      <c r="H164" s="157"/>
      <c r="I164" s="157"/>
      <c r="J164" s="157"/>
      <c r="K164" s="158"/>
      <c r="L164" s="158"/>
      <c r="M164" s="158"/>
      <c r="N164" s="157"/>
      <c r="O164" s="157"/>
      <c r="P164" s="96">
        <f t="shared" si="22"/>
        <v>0</v>
      </c>
      <c r="Q164" s="96"/>
      <c r="R164" s="97">
        <f t="shared" si="23"/>
        <v>0</v>
      </c>
      <c r="T164" s="98">
        <f t="shared" si="19"/>
        <v>0</v>
      </c>
      <c r="U164" s="99" t="str">
        <f>IFERROR(VLOOKUP($S164,References!$B$3:$C$8,2,FALSE),"")</f>
        <v/>
      </c>
      <c r="V164" s="99" t="str">
        <f t="shared" si="20"/>
        <v/>
      </c>
      <c r="W164" s="66"/>
      <c r="X164" s="102"/>
      <c r="AH164" s="66"/>
    </row>
    <row r="165" spans="1:34">
      <c r="A165" s="95" t="str">
        <f t="shared" si="21"/>
        <v/>
      </c>
      <c r="B165" s="150"/>
      <c r="C165" s="150"/>
      <c r="D165" s="150"/>
      <c r="E165" s="150"/>
      <c r="F165" s="150"/>
      <c r="G165" s="150"/>
      <c r="H165" s="150"/>
      <c r="I165" s="150"/>
      <c r="J165" s="150"/>
      <c r="K165" s="151"/>
      <c r="L165" s="151"/>
      <c r="M165" s="151"/>
      <c r="N165" s="157"/>
      <c r="O165" s="157"/>
      <c r="P165" s="96">
        <f t="shared" si="22"/>
        <v>0</v>
      </c>
      <c r="Q165" s="96"/>
      <c r="R165" s="97">
        <f t="shared" si="23"/>
        <v>0</v>
      </c>
      <c r="T165" s="98">
        <f t="shared" si="19"/>
        <v>0</v>
      </c>
      <c r="U165" s="99" t="str">
        <f>IFERROR(VLOOKUP($S165,References!$B$3:$C$8,2,FALSE),"")</f>
        <v/>
      </c>
      <c r="V165" s="99" t="str">
        <f t="shared" si="20"/>
        <v/>
      </c>
      <c r="W165" s="66"/>
      <c r="X165" s="102"/>
      <c r="AH165" s="66"/>
    </row>
    <row r="166" spans="1:34">
      <c r="A166" s="95" t="str">
        <f t="shared" si="21"/>
        <v/>
      </c>
      <c r="B166" s="150"/>
      <c r="C166" s="150"/>
      <c r="D166" s="150"/>
      <c r="E166" s="150"/>
      <c r="F166" s="150"/>
      <c r="G166" s="157"/>
      <c r="H166" s="157"/>
      <c r="I166" s="157"/>
      <c r="J166" s="150"/>
      <c r="K166" s="151"/>
      <c r="L166" s="151"/>
      <c r="M166" s="151"/>
      <c r="N166" s="150"/>
      <c r="O166" s="157"/>
      <c r="P166" s="96">
        <f t="shared" si="22"/>
        <v>0</v>
      </c>
      <c r="Q166" s="96"/>
      <c r="R166" s="97">
        <f t="shared" si="23"/>
        <v>0</v>
      </c>
      <c r="T166" s="98">
        <f t="shared" si="19"/>
        <v>0</v>
      </c>
      <c r="U166" s="99" t="str">
        <f>IFERROR(VLOOKUP($S166,References!$B$3:$C$8,2,FALSE),"")</f>
        <v/>
      </c>
      <c r="V166" s="99" t="str">
        <f t="shared" si="20"/>
        <v/>
      </c>
      <c r="W166" s="66"/>
      <c r="X166" s="102"/>
      <c r="AH166" s="66"/>
    </row>
    <row r="167" spans="1:34">
      <c r="A167" s="95" t="str">
        <f t="shared" si="21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6"/>
      <c r="O167" s="157"/>
      <c r="P167" s="96">
        <f t="shared" si="22"/>
        <v>0</v>
      </c>
      <c r="Q167" s="96"/>
      <c r="R167" s="97">
        <f t="shared" si="23"/>
        <v>0</v>
      </c>
      <c r="T167" s="98">
        <f t="shared" si="19"/>
        <v>0</v>
      </c>
      <c r="U167" s="99" t="str">
        <f>IFERROR(VLOOKUP($S167,References!$B$3:$C$8,2,FALSE),"")</f>
        <v/>
      </c>
      <c r="V167" s="99" t="str">
        <f t="shared" si="20"/>
        <v/>
      </c>
      <c r="W167" s="66"/>
      <c r="X167" s="102"/>
      <c r="AH167" s="66"/>
    </row>
    <row r="168" spans="1:34">
      <c r="A168" s="95" t="str">
        <f t="shared" si="21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2"/>
        <v>0</v>
      </c>
      <c r="Q168" s="96"/>
      <c r="R168" s="97">
        <f t="shared" si="23"/>
        <v>0</v>
      </c>
      <c r="T168" s="98">
        <f t="shared" si="19"/>
        <v>0</v>
      </c>
      <c r="U168" s="99" t="str">
        <f>IFERROR(VLOOKUP($S168,References!$B$3:$C$8,2,FALSE),"")</f>
        <v/>
      </c>
      <c r="V168" s="99" t="str">
        <f t="shared" si="20"/>
        <v/>
      </c>
      <c r="W168" s="66"/>
      <c r="X168" s="102"/>
      <c r="AH168" s="66"/>
    </row>
    <row r="169" spans="1:34">
      <c r="A169" s="95" t="str">
        <f t="shared" si="21"/>
        <v/>
      </c>
      <c r="B169" s="150"/>
      <c r="C169" s="157"/>
      <c r="D169" s="160"/>
      <c r="E169" s="157"/>
      <c r="F169" s="150"/>
      <c r="G169" s="157"/>
      <c r="H169" s="157"/>
      <c r="I169" s="157"/>
      <c r="J169" s="150"/>
      <c r="K169" s="151"/>
      <c r="L169" s="151"/>
      <c r="M169" s="151"/>
      <c r="N169" s="157"/>
      <c r="O169" s="157"/>
      <c r="P169" s="96">
        <f t="shared" si="22"/>
        <v>0</v>
      </c>
      <c r="Q169" s="96"/>
      <c r="R169" s="97">
        <f t="shared" si="23"/>
        <v>0</v>
      </c>
      <c r="T169" s="98">
        <f t="shared" si="19"/>
        <v>0</v>
      </c>
      <c r="U169" s="99" t="str">
        <f>IFERROR(VLOOKUP($S169,References!$B$3:$C$8,2,FALSE),"")</f>
        <v/>
      </c>
      <c r="V169" s="99" t="str">
        <f t="shared" si="20"/>
        <v/>
      </c>
      <c r="W169" s="66"/>
      <c r="X169" s="102"/>
      <c r="AH169" s="66"/>
    </row>
    <row r="170" spans="1:34">
      <c r="A170" s="95" t="str">
        <f t="shared" si="21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7"/>
      <c r="O170" s="157"/>
      <c r="P170" s="96">
        <f t="shared" si="22"/>
        <v>0</v>
      </c>
      <c r="Q170" s="96"/>
      <c r="R170" s="97">
        <f t="shared" si="23"/>
        <v>0</v>
      </c>
      <c r="T170" s="98">
        <f t="shared" si="19"/>
        <v>0</v>
      </c>
      <c r="U170" s="99" t="str">
        <f>IFERROR(VLOOKUP($S170,References!$B$3:$C$8,2,FALSE),"")</f>
        <v/>
      </c>
      <c r="V170" s="99" t="str">
        <f t="shared" si="20"/>
        <v/>
      </c>
      <c r="W170" s="66"/>
      <c r="X170" s="102"/>
      <c r="AH170" s="66"/>
    </row>
    <row r="171" spans="1:34">
      <c r="A171" s="95" t="str">
        <f t="shared" si="21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2"/>
        <v>0</v>
      </c>
      <c r="Q171" s="96"/>
      <c r="R171" s="97">
        <f t="shared" si="23"/>
        <v>0</v>
      </c>
      <c r="T171" s="98">
        <f t="shared" si="19"/>
        <v>0</v>
      </c>
      <c r="U171" s="99" t="str">
        <f>IFERROR(VLOOKUP($S171,References!$B$3:$C$8,2,FALSE),"")</f>
        <v/>
      </c>
      <c r="V171" s="99" t="str">
        <f t="shared" si="20"/>
        <v/>
      </c>
      <c r="W171" s="66"/>
      <c r="X171" s="102"/>
      <c r="AH171" s="66"/>
    </row>
    <row r="172" spans="1:34">
      <c r="A172" s="95" t="str">
        <f t="shared" si="21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6"/>
      <c r="O172" s="157"/>
      <c r="P172" s="96">
        <f t="shared" si="22"/>
        <v>0</v>
      </c>
      <c r="Q172" s="96"/>
      <c r="R172" s="97">
        <f t="shared" si="23"/>
        <v>0</v>
      </c>
      <c r="T172" s="98">
        <f t="shared" si="19"/>
        <v>0</v>
      </c>
      <c r="U172" s="99" t="str">
        <f>IFERROR(VLOOKUP($S172,References!$B$3:$C$8,2,FALSE),"")</f>
        <v/>
      </c>
      <c r="V172" s="99" t="str">
        <f t="shared" si="20"/>
        <v/>
      </c>
      <c r="W172" s="66"/>
      <c r="AH172" s="66"/>
    </row>
    <row r="173" spans="1:34">
      <c r="A173" s="95" t="str">
        <f t="shared" si="21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0"/>
      <c r="O173" s="157"/>
      <c r="P173" s="96">
        <f t="shared" si="22"/>
        <v>0</v>
      </c>
      <c r="Q173" s="96"/>
      <c r="R173" s="97">
        <f t="shared" si="23"/>
        <v>0</v>
      </c>
      <c r="T173" s="98">
        <f t="shared" si="19"/>
        <v>0</v>
      </c>
      <c r="U173" s="99" t="str">
        <f>IFERROR(VLOOKUP($S173,References!$B$3:$C$8,2,FALSE),"")</f>
        <v/>
      </c>
      <c r="V173" s="99" t="str">
        <f t="shared" si="20"/>
        <v/>
      </c>
      <c r="W173" s="66"/>
      <c r="AH173" s="66"/>
    </row>
    <row r="174" spans="1:34">
      <c r="A174" s="95" t="str">
        <f t="shared" si="21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2"/>
        <v>0</v>
      </c>
      <c r="Q174" s="96"/>
      <c r="R174" s="97">
        <f t="shared" si="23"/>
        <v>0</v>
      </c>
      <c r="T174" s="98">
        <f t="shared" si="19"/>
        <v>0</v>
      </c>
      <c r="U174" s="99" t="str">
        <f>IFERROR(VLOOKUP($S174,References!$B$3:$C$8,2,FALSE),"")</f>
        <v/>
      </c>
      <c r="V174" s="99" t="str">
        <f t="shared" si="20"/>
        <v/>
      </c>
      <c r="W174" s="66"/>
      <c r="AH174" s="66"/>
    </row>
    <row r="175" spans="1:34">
      <c r="A175" s="95" t="str">
        <f t="shared" si="21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2"/>
        <v>0</v>
      </c>
      <c r="Q175" s="96"/>
      <c r="R175" s="97">
        <f t="shared" si="23"/>
        <v>0</v>
      </c>
      <c r="T175" s="98">
        <f t="shared" si="19"/>
        <v>0</v>
      </c>
      <c r="U175" s="99" t="str">
        <f>IFERROR(VLOOKUP($S175,References!$B$3:$C$8,2,FALSE),"")</f>
        <v/>
      </c>
      <c r="V175" s="99" t="str">
        <f t="shared" si="20"/>
        <v/>
      </c>
      <c r="W175" s="66"/>
      <c r="AH175" s="66"/>
    </row>
    <row r="176" spans="1:34">
      <c r="A176" s="95" t="str">
        <f t="shared" si="21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3"/>
      <c r="O176" s="157"/>
      <c r="P176" s="96">
        <f t="shared" si="22"/>
        <v>0</v>
      </c>
      <c r="Q176" s="96"/>
      <c r="R176" s="97">
        <f t="shared" si="23"/>
        <v>0</v>
      </c>
      <c r="T176" s="98">
        <f t="shared" si="19"/>
        <v>0</v>
      </c>
      <c r="U176" s="99" t="str">
        <f>IFERROR(VLOOKUP($S176,References!$B$3:$C$8,2,FALSE),"")</f>
        <v/>
      </c>
      <c r="V176" s="99" t="str">
        <f t="shared" si="20"/>
        <v/>
      </c>
      <c r="W176" s="66"/>
      <c r="AH176" s="66"/>
    </row>
    <row r="177" spans="1:34">
      <c r="A177" s="95" t="str">
        <f t="shared" si="21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2"/>
        <v>0</v>
      </c>
      <c r="Q177" s="96"/>
      <c r="R177" s="97">
        <f t="shared" si="23"/>
        <v>0</v>
      </c>
      <c r="T177" s="98">
        <f t="shared" si="19"/>
        <v>0</v>
      </c>
      <c r="U177" s="99" t="str">
        <f>IFERROR(VLOOKUP($S177,References!$B$3:$C$8,2,FALSE),"")</f>
        <v/>
      </c>
      <c r="V177" s="99" t="str">
        <f t="shared" si="20"/>
        <v/>
      </c>
      <c r="W177" s="66"/>
      <c r="AH177" s="66"/>
    </row>
    <row r="178" spans="1:34">
      <c r="A178" s="95" t="str">
        <f t="shared" si="21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2"/>
        <v>0</v>
      </c>
      <c r="Q178" s="96"/>
      <c r="R178" s="97">
        <f t="shared" si="23"/>
        <v>0</v>
      </c>
      <c r="T178" s="98">
        <f t="shared" si="19"/>
        <v>0</v>
      </c>
      <c r="U178" s="99" t="str">
        <f>IFERROR(VLOOKUP($S178,References!$B$3:$C$8,2,FALSE),"")</f>
        <v/>
      </c>
      <c r="V178" s="99" t="str">
        <f t="shared" si="20"/>
        <v/>
      </c>
      <c r="W178" s="66"/>
      <c r="AH178" s="66"/>
    </row>
    <row r="179" spans="1:34">
      <c r="A179" s="95" t="str">
        <f t="shared" si="21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3"/>
      <c r="O179" s="157"/>
      <c r="P179" s="96">
        <f t="shared" si="22"/>
        <v>0</v>
      </c>
      <c r="Q179" s="96"/>
      <c r="R179" s="97">
        <f t="shared" si="23"/>
        <v>0</v>
      </c>
      <c r="T179" s="98">
        <f t="shared" si="19"/>
        <v>0</v>
      </c>
      <c r="U179" s="99" t="str">
        <f>IFERROR(VLOOKUP($S179,References!$B$3:$C$8,2,FALSE),"")</f>
        <v/>
      </c>
      <c r="V179" s="99" t="str">
        <f t="shared" si="20"/>
        <v/>
      </c>
      <c r="W179" s="66"/>
      <c r="AH179" s="66"/>
    </row>
    <row r="180" spans="1:34">
      <c r="A180" s="95" t="str">
        <f t="shared" si="21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2"/>
        <v>0</v>
      </c>
      <c r="Q180" s="96"/>
      <c r="R180" s="97">
        <f t="shared" si="23"/>
        <v>0</v>
      </c>
      <c r="T180" s="98">
        <f t="shared" si="19"/>
        <v>0</v>
      </c>
      <c r="U180" s="99" t="str">
        <f>IFERROR(VLOOKUP($S180,References!$B$3:$C$8,2,FALSE),"")</f>
        <v/>
      </c>
      <c r="V180" s="99" t="str">
        <f t="shared" si="20"/>
        <v/>
      </c>
      <c r="W180" s="66"/>
      <c r="AH180" s="66"/>
    </row>
    <row r="181" spans="1:34">
      <c r="A181" s="95" t="str">
        <f t="shared" si="21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2"/>
        <v>0</v>
      </c>
      <c r="Q181" s="96"/>
      <c r="R181" s="97">
        <f t="shared" si="23"/>
        <v>0</v>
      </c>
      <c r="T181" s="98">
        <f t="shared" si="19"/>
        <v>0</v>
      </c>
      <c r="U181" s="99" t="str">
        <f>IFERROR(VLOOKUP($S181,References!$B$3:$C$8,2,FALSE),"")</f>
        <v/>
      </c>
      <c r="V181" s="99" t="str">
        <f t="shared" si="20"/>
        <v/>
      </c>
      <c r="W181" s="66"/>
      <c r="AH181" s="66"/>
    </row>
    <row r="182" spans="1:34">
      <c r="A182" s="95" t="str">
        <f t="shared" si="21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0"/>
      <c r="O182" s="157"/>
      <c r="P182" s="96">
        <f t="shared" si="22"/>
        <v>0</v>
      </c>
      <c r="Q182" s="96"/>
      <c r="R182" s="97">
        <f t="shared" si="23"/>
        <v>0</v>
      </c>
      <c r="T182" s="98">
        <f t="shared" si="19"/>
        <v>0</v>
      </c>
      <c r="U182" s="99" t="str">
        <f>IFERROR(VLOOKUP($S182,References!$B$3:$C$8,2,FALSE),"")</f>
        <v/>
      </c>
      <c r="V182" s="99" t="str">
        <f t="shared" si="20"/>
        <v/>
      </c>
      <c r="W182" s="66"/>
      <c r="AH182" s="66"/>
    </row>
    <row r="183" spans="1:34">
      <c r="A183" s="95" t="str">
        <f t="shared" si="21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2"/>
        <v>0</v>
      </c>
      <c r="Q183" s="96"/>
      <c r="R183" s="97">
        <f t="shared" si="23"/>
        <v>0</v>
      </c>
      <c r="T183" s="98">
        <f t="shared" si="19"/>
        <v>0</v>
      </c>
      <c r="U183" s="99" t="str">
        <f>IFERROR(VLOOKUP($S183,References!$B$3:$C$8,2,FALSE),"")</f>
        <v/>
      </c>
      <c r="V183" s="99" t="str">
        <f t="shared" si="20"/>
        <v/>
      </c>
      <c r="W183" s="66"/>
      <c r="AH183" s="66"/>
    </row>
    <row r="184" spans="1:34">
      <c r="A184" s="95" t="str">
        <f t="shared" si="21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2"/>
        <v>0</v>
      </c>
      <c r="Q184" s="96"/>
      <c r="R184" s="97">
        <f t="shared" si="23"/>
        <v>0</v>
      </c>
      <c r="T184" s="98">
        <f t="shared" si="19"/>
        <v>0</v>
      </c>
      <c r="U184" s="99" t="str">
        <f>IFERROR(VLOOKUP($S184,References!$B$3:$C$8,2,FALSE),"")</f>
        <v/>
      </c>
      <c r="V184" s="99" t="str">
        <f t="shared" si="20"/>
        <v/>
      </c>
      <c r="W184" s="66"/>
      <c r="AH184" s="66"/>
    </row>
    <row r="185" spans="1:34">
      <c r="A185" s="95" t="str">
        <f t="shared" si="21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0"/>
      <c r="O185" s="157"/>
      <c r="P185" s="96">
        <f t="shared" si="22"/>
        <v>0</v>
      </c>
      <c r="Q185" s="96"/>
      <c r="R185" s="97">
        <f t="shared" si="23"/>
        <v>0</v>
      </c>
      <c r="T185" s="98">
        <f t="shared" si="19"/>
        <v>0</v>
      </c>
      <c r="U185" s="99" t="str">
        <f>IFERROR(VLOOKUP($S185,References!$B$3:$C$8,2,FALSE),"")</f>
        <v/>
      </c>
      <c r="V185" s="99" t="str">
        <f t="shared" si="20"/>
        <v/>
      </c>
      <c r="W185" s="66"/>
      <c r="AH185" s="66"/>
    </row>
    <row r="186" spans="1:34">
      <c r="A186" s="95" t="str">
        <f t="shared" si="21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5"/>
      <c r="O186" s="157"/>
      <c r="P186" s="96">
        <f t="shared" si="22"/>
        <v>0</v>
      </c>
      <c r="Q186" s="96"/>
      <c r="R186" s="97">
        <f t="shared" si="23"/>
        <v>0</v>
      </c>
      <c r="T186" s="98">
        <f t="shared" si="19"/>
        <v>0</v>
      </c>
      <c r="U186" s="99" t="str">
        <f>IFERROR(VLOOKUP($S186,References!$B$3:$C$8,2,FALSE),"")</f>
        <v/>
      </c>
      <c r="V186" s="99" t="str">
        <f t="shared" si="20"/>
        <v/>
      </c>
      <c r="W186" s="66"/>
      <c r="AH186" s="66"/>
    </row>
    <row r="187" spans="1:34">
      <c r="A187" s="95" t="str">
        <f t="shared" si="21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2"/>
        <v>0</v>
      </c>
      <c r="Q187" s="96"/>
      <c r="R187" s="97">
        <f t="shared" si="23"/>
        <v>0</v>
      </c>
      <c r="T187" s="98">
        <f t="shared" si="19"/>
        <v>0</v>
      </c>
      <c r="U187" s="99" t="str">
        <f>IFERROR(VLOOKUP($S187,References!$B$3:$C$8,2,FALSE),"")</f>
        <v/>
      </c>
      <c r="V187" s="99" t="str">
        <f t="shared" si="20"/>
        <v/>
      </c>
      <c r="W187" s="66"/>
      <c r="AH187" s="66"/>
    </row>
    <row r="188" spans="1:34">
      <c r="A188" s="95" t="str">
        <f t="shared" si="21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3"/>
      <c r="O188" s="157"/>
      <c r="P188" s="96">
        <f t="shared" si="22"/>
        <v>0</v>
      </c>
      <c r="Q188" s="96"/>
      <c r="R188" s="97">
        <f t="shared" si="23"/>
        <v>0</v>
      </c>
      <c r="T188" s="98">
        <f t="shared" si="19"/>
        <v>0</v>
      </c>
      <c r="U188" s="99" t="str">
        <f>IFERROR(VLOOKUP($S188,References!$B$3:$C$8,2,FALSE),"")</f>
        <v/>
      </c>
      <c r="V188" s="99" t="str">
        <f t="shared" si="20"/>
        <v/>
      </c>
      <c r="W188" s="66"/>
      <c r="AH188" s="66"/>
    </row>
    <row r="189" spans="1:34">
      <c r="A189" s="95" t="str">
        <f t="shared" si="21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3"/>
      <c r="O189" s="157"/>
      <c r="P189" s="96">
        <f t="shared" si="22"/>
        <v>0</v>
      </c>
      <c r="Q189" s="96"/>
      <c r="R189" s="97">
        <f t="shared" si="23"/>
        <v>0</v>
      </c>
      <c r="T189" s="98">
        <f t="shared" si="19"/>
        <v>0</v>
      </c>
      <c r="U189" s="99" t="str">
        <f>IFERROR(VLOOKUP($S189,References!$B$3:$C$8,2,FALSE),"")</f>
        <v/>
      </c>
      <c r="V189" s="99" t="str">
        <f t="shared" si="20"/>
        <v/>
      </c>
      <c r="W189" s="66"/>
      <c r="AH189" s="66"/>
    </row>
    <row r="190" spans="1:34">
      <c r="A190" s="95" t="str">
        <f t="shared" si="21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2"/>
        <v>0</v>
      </c>
      <c r="Q190" s="96"/>
      <c r="R190" s="97">
        <f t="shared" si="23"/>
        <v>0</v>
      </c>
      <c r="T190" s="98">
        <f t="shared" si="19"/>
        <v>0</v>
      </c>
      <c r="U190" s="99" t="str">
        <f>IFERROR(VLOOKUP($S190,References!$B$3:$C$8,2,FALSE),"")</f>
        <v/>
      </c>
      <c r="V190" s="99" t="str">
        <f t="shared" si="20"/>
        <v/>
      </c>
      <c r="W190" s="66"/>
      <c r="AH190" s="66"/>
    </row>
    <row r="191" spans="1:34">
      <c r="A191" s="95" t="str">
        <f t="shared" si="21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0"/>
      <c r="O191" s="157"/>
      <c r="P191" s="96">
        <f t="shared" si="22"/>
        <v>0</v>
      </c>
      <c r="Q191" s="96"/>
      <c r="R191" s="97">
        <f t="shared" si="23"/>
        <v>0</v>
      </c>
      <c r="T191" s="98">
        <f t="shared" si="19"/>
        <v>0</v>
      </c>
      <c r="U191" s="99" t="str">
        <f>IFERROR(VLOOKUP($S191,References!$B$3:$C$8,2,FALSE),"")</f>
        <v/>
      </c>
      <c r="V191" s="99" t="str">
        <f t="shared" si="20"/>
        <v/>
      </c>
      <c r="W191" s="66"/>
      <c r="AH191" s="66"/>
    </row>
    <row r="192" spans="1:34">
      <c r="A192" s="95" t="str">
        <f t="shared" si="21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0"/>
      <c r="O192" s="157"/>
      <c r="P192" s="96">
        <f t="shared" si="22"/>
        <v>0</v>
      </c>
      <c r="Q192" s="96"/>
      <c r="R192" s="97">
        <f t="shared" si="23"/>
        <v>0</v>
      </c>
      <c r="T192" s="98">
        <f t="shared" si="19"/>
        <v>0</v>
      </c>
      <c r="U192" s="99" t="str">
        <f>IFERROR(VLOOKUP($S192,References!$B$3:$C$8,2,FALSE),"")</f>
        <v/>
      </c>
      <c r="V192" s="99" t="str">
        <f t="shared" si="20"/>
        <v/>
      </c>
      <c r="W192" s="66"/>
      <c r="AH192" s="66"/>
    </row>
    <row r="193" spans="1:34">
      <c r="A193" s="95" t="str">
        <f t="shared" si="21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2"/>
        <v>0</v>
      </c>
      <c r="Q193" s="96"/>
      <c r="R193" s="97">
        <f t="shared" si="23"/>
        <v>0</v>
      </c>
      <c r="T193" s="98">
        <f t="shared" si="19"/>
        <v>0</v>
      </c>
      <c r="U193" s="99" t="str">
        <f>IFERROR(VLOOKUP($S193,References!$B$3:$C$8,2,FALSE),"")</f>
        <v/>
      </c>
      <c r="V193" s="99" t="str">
        <f t="shared" si="20"/>
        <v/>
      </c>
      <c r="W193" s="66"/>
      <c r="AH193" s="66"/>
    </row>
    <row r="194" spans="1:34">
      <c r="A194" s="95" t="str">
        <f t="shared" si="21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2"/>
        <v>0</v>
      </c>
      <c r="Q194" s="96"/>
      <c r="R194" s="97">
        <f t="shared" si="23"/>
        <v>0</v>
      </c>
      <c r="T194" s="98">
        <f t="shared" si="19"/>
        <v>0</v>
      </c>
      <c r="U194" s="99" t="str">
        <f>IFERROR(VLOOKUP($S194,References!$B$3:$C$8,2,FALSE),"")</f>
        <v/>
      </c>
      <c r="V194" s="99" t="str">
        <f t="shared" si="20"/>
        <v/>
      </c>
      <c r="W194" s="66"/>
      <c r="AH194" s="66"/>
    </row>
    <row r="195" spans="1:34">
      <c r="A195" s="95" t="str">
        <f t="shared" si="21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2"/>
        <v>0</v>
      </c>
      <c r="Q195" s="96"/>
      <c r="R195" s="97">
        <f t="shared" si="23"/>
        <v>0</v>
      </c>
      <c r="T195" s="98">
        <f t="shared" si="19"/>
        <v>0</v>
      </c>
      <c r="U195" s="99" t="str">
        <f>IFERROR(VLOOKUP($S195,References!$B$3:$C$8,2,FALSE),"")</f>
        <v/>
      </c>
      <c r="V195" s="99" t="str">
        <f t="shared" si="20"/>
        <v/>
      </c>
      <c r="W195" s="66"/>
      <c r="AH195" s="66"/>
    </row>
    <row r="196" spans="1:34">
      <c r="A196" s="95" t="str">
        <f t="shared" si="21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2"/>
        <v>0</v>
      </c>
      <c r="Q196" s="96"/>
      <c r="R196" s="97">
        <f t="shared" si="23"/>
        <v>0</v>
      </c>
      <c r="T196" s="98">
        <f t="shared" ref="T196:T259" si="24">IF(S196="50 - Cleaning Fee",1,HOUR($R196)+MINUTE(R196)/60)</f>
        <v>0</v>
      </c>
      <c r="U196" s="99" t="str">
        <f>IFERROR(VLOOKUP($S196,References!$B$3:$C$8,2,FALSE),"")</f>
        <v/>
      </c>
      <c r="V196" s="99" t="str">
        <f t="shared" ref="V196:V259" si="25">IF(T196&gt;=8,400,(IFERROR(T196*U196,"")))</f>
        <v/>
      </c>
      <c r="W196" s="66"/>
      <c r="AH196" s="66"/>
    </row>
    <row r="197" spans="1:34">
      <c r="A197" s="95" t="str">
        <f t="shared" si="21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2"/>
        <v>0</v>
      </c>
      <c r="Q197" s="96"/>
      <c r="R197" s="97">
        <f t="shared" si="23"/>
        <v>0</v>
      </c>
      <c r="T197" s="98">
        <f t="shared" si="24"/>
        <v>0</v>
      </c>
      <c r="U197" s="99" t="str">
        <f>IFERROR(VLOOKUP($S197,References!$B$3:$C$8,2,FALSE),"")</f>
        <v/>
      </c>
      <c r="V197" s="99" t="str">
        <f t="shared" si="25"/>
        <v/>
      </c>
      <c r="W197" s="66"/>
      <c r="AH197" s="66"/>
    </row>
    <row r="198" spans="1:34">
      <c r="A198" s="95" t="str">
        <f t="shared" si="21"/>
        <v/>
      </c>
      <c r="B198" s="150"/>
      <c r="C198" s="150"/>
      <c r="D198" s="150"/>
      <c r="E198" s="150"/>
      <c r="F198" s="150"/>
      <c r="G198" s="150"/>
      <c r="H198" s="150"/>
      <c r="I198" s="150"/>
      <c r="J198" s="150"/>
      <c r="K198" s="151"/>
      <c r="L198" s="151"/>
      <c r="M198" s="151"/>
      <c r="N198" s="153"/>
      <c r="O198" s="157"/>
      <c r="P198" s="96">
        <f t="shared" si="22"/>
        <v>0</v>
      </c>
      <c r="Q198" s="96"/>
      <c r="R198" s="97">
        <f t="shared" si="23"/>
        <v>0</v>
      </c>
      <c r="T198" s="98">
        <f t="shared" si="24"/>
        <v>0</v>
      </c>
      <c r="U198" s="99" t="str">
        <f>IFERROR(VLOOKUP($S198,References!$B$3:$C$8,2,FALSE),"")</f>
        <v/>
      </c>
      <c r="V198" s="99" t="str">
        <f t="shared" si="25"/>
        <v/>
      </c>
      <c r="W198" s="66"/>
      <c r="AH198" s="66"/>
    </row>
    <row r="199" spans="1:34">
      <c r="A199" s="95" t="str">
        <f t="shared" si="21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53"/>
      <c r="O199" s="157"/>
      <c r="P199" s="96">
        <f t="shared" si="22"/>
        <v>0</v>
      </c>
      <c r="Q199" s="96"/>
      <c r="R199" s="97">
        <f t="shared" si="23"/>
        <v>0</v>
      </c>
      <c r="T199" s="98">
        <f t="shared" si="24"/>
        <v>0</v>
      </c>
      <c r="U199" s="99" t="str">
        <f>IFERROR(VLOOKUP($S199,References!$B$3:$C$8,2,FALSE),"")</f>
        <v/>
      </c>
      <c r="V199" s="99" t="str">
        <f t="shared" si="25"/>
        <v/>
      </c>
      <c r="W199" s="66"/>
      <c r="AH199" s="66"/>
    </row>
    <row r="200" spans="1:34">
      <c r="A200" s="95" t="str">
        <f t="shared" si="21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2"/>
        <v>0</v>
      </c>
      <c r="Q200" s="96"/>
      <c r="R200" s="97">
        <f t="shared" si="23"/>
        <v>0</v>
      </c>
      <c r="T200" s="98">
        <f t="shared" si="24"/>
        <v>0</v>
      </c>
      <c r="U200" s="99" t="str">
        <f>IFERROR(VLOOKUP($S200,References!$B$3:$C$8,2,FALSE),"")</f>
        <v/>
      </c>
      <c r="V200" s="99" t="str">
        <f t="shared" si="25"/>
        <v/>
      </c>
      <c r="W200" s="66"/>
      <c r="AH200" s="66"/>
    </row>
    <row r="201" spans="1:34">
      <c r="A201" s="95" t="str">
        <f t="shared" si="21"/>
        <v/>
      </c>
      <c r="B201" s="146"/>
      <c r="C201" s="146"/>
      <c r="D201" s="146"/>
      <c r="E201" s="146"/>
      <c r="F201" s="146"/>
      <c r="G201" s="146"/>
      <c r="H201" s="146"/>
      <c r="I201" s="146"/>
      <c r="J201" s="146"/>
      <c r="K201" s="147"/>
      <c r="L201" s="147"/>
      <c r="M201" s="147"/>
      <c r="N201" s="146"/>
      <c r="O201" s="157"/>
      <c r="P201" s="96">
        <f t="shared" si="22"/>
        <v>0</v>
      </c>
      <c r="Q201" s="96"/>
      <c r="R201" s="97">
        <f t="shared" si="23"/>
        <v>0</v>
      </c>
      <c r="T201" s="98">
        <f t="shared" si="24"/>
        <v>0</v>
      </c>
      <c r="U201" s="99" t="str">
        <f>IFERROR(VLOOKUP($S201,References!$B$3:$C$8,2,FALSE),"")</f>
        <v/>
      </c>
      <c r="V201" s="99" t="str">
        <f t="shared" si="25"/>
        <v/>
      </c>
      <c r="W201" s="66"/>
      <c r="AH201" s="66"/>
    </row>
    <row r="202" spans="1:34">
      <c r="A202" s="95" t="str">
        <f t="shared" si="21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46"/>
      <c r="O202" s="157"/>
      <c r="P202" s="96">
        <f t="shared" si="22"/>
        <v>0</v>
      </c>
      <c r="Q202" s="96"/>
      <c r="R202" s="97">
        <f t="shared" si="23"/>
        <v>0</v>
      </c>
      <c r="T202" s="98">
        <f t="shared" si="24"/>
        <v>0</v>
      </c>
      <c r="U202" s="99" t="str">
        <f>IFERROR(VLOOKUP($S202,References!$B$3:$C$8,2,FALSE),"")</f>
        <v/>
      </c>
      <c r="V202" s="99" t="str">
        <f t="shared" si="25"/>
        <v/>
      </c>
      <c r="W202" s="66"/>
      <c r="AH202" s="66"/>
    </row>
    <row r="203" spans="1:34">
      <c r="A203" s="95" t="str">
        <f t="shared" si="21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2"/>
        <v>0</v>
      </c>
      <c r="Q203" s="96"/>
      <c r="R203" s="97">
        <f t="shared" si="23"/>
        <v>0</v>
      </c>
      <c r="T203" s="98">
        <f t="shared" si="24"/>
        <v>0</v>
      </c>
      <c r="U203" s="99" t="str">
        <f>IFERROR(VLOOKUP($S203,References!$B$3:$C$8,2,FALSE),"")</f>
        <v/>
      </c>
      <c r="V203" s="99" t="str">
        <f t="shared" si="25"/>
        <v/>
      </c>
      <c r="W203" s="66"/>
      <c r="AH203" s="66"/>
    </row>
    <row r="204" spans="1:34">
      <c r="A204" s="95" t="str">
        <f t="shared" si="21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2"/>
        <v>0</v>
      </c>
      <c r="Q204" s="96"/>
      <c r="R204" s="97">
        <f t="shared" si="23"/>
        <v>0</v>
      </c>
      <c r="T204" s="98">
        <f t="shared" si="24"/>
        <v>0</v>
      </c>
      <c r="U204" s="99" t="str">
        <f>IFERROR(VLOOKUP($S204,References!$B$3:$C$8,2,FALSE),"")</f>
        <v/>
      </c>
      <c r="V204" s="99" t="str">
        <f t="shared" si="25"/>
        <v/>
      </c>
      <c r="W204" s="66"/>
      <c r="AH204" s="66"/>
    </row>
    <row r="205" spans="1:34">
      <c r="A205" s="95" t="str">
        <f t="shared" si="21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2"/>
        <v>0</v>
      </c>
      <c r="Q205" s="96"/>
      <c r="R205" s="97">
        <f t="shared" si="23"/>
        <v>0</v>
      </c>
      <c r="T205" s="98">
        <f t="shared" si="24"/>
        <v>0</v>
      </c>
      <c r="U205" s="99" t="str">
        <f>IFERROR(VLOOKUP($S205,References!$B$3:$C$8,2,FALSE),"")</f>
        <v/>
      </c>
      <c r="V205" s="99" t="str">
        <f t="shared" si="25"/>
        <v/>
      </c>
      <c r="W205" s="66"/>
      <c r="AH205" s="66"/>
    </row>
    <row r="206" spans="1:34">
      <c r="A206" s="95" t="str">
        <f t="shared" si="21"/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si="22"/>
        <v>0</v>
      </c>
      <c r="Q206" s="96"/>
      <c r="R206" s="97">
        <f t="shared" si="23"/>
        <v>0</v>
      </c>
      <c r="T206" s="98">
        <f t="shared" si="24"/>
        <v>0</v>
      </c>
      <c r="U206" s="99" t="str">
        <f>IFERROR(VLOOKUP($S206,References!$B$3:$C$8,2,FALSE),"")</f>
        <v/>
      </c>
      <c r="V206" s="99" t="str">
        <f t="shared" si="25"/>
        <v/>
      </c>
      <c r="W206" s="66"/>
      <c r="AH206" s="66"/>
    </row>
    <row r="207" spans="1:34">
      <c r="A207" s="95" t="str">
        <f t="shared" ref="A207:A270" si="26">O207&amp;S207</f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ref="P207:P270" si="27">INT(L207)</f>
        <v>0</v>
      </c>
      <c r="Q207" s="96"/>
      <c r="R207" s="97">
        <f t="shared" ref="R207:R270" si="28">L207-K207</f>
        <v>0</v>
      </c>
      <c r="T207" s="98">
        <f t="shared" si="24"/>
        <v>0</v>
      </c>
      <c r="U207" s="99" t="str">
        <f>IFERROR(VLOOKUP($S207,References!$B$3:$C$8,2,FALSE),"")</f>
        <v/>
      </c>
      <c r="V207" s="99" t="str">
        <f t="shared" si="25"/>
        <v/>
      </c>
      <c r="W207" s="66"/>
      <c r="AH207" s="66"/>
    </row>
    <row r="208" spans="1:34">
      <c r="A208" s="95" t="str">
        <f t="shared" si="26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7"/>
        <v>0</v>
      </c>
      <c r="Q208" s="96"/>
      <c r="R208" s="97">
        <f t="shared" si="28"/>
        <v>0</v>
      </c>
      <c r="T208" s="98">
        <f t="shared" si="24"/>
        <v>0</v>
      </c>
      <c r="U208" s="99" t="str">
        <f>IFERROR(VLOOKUP($S208,References!$B$3:$C$8,2,FALSE),"")</f>
        <v/>
      </c>
      <c r="V208" s="99" t="str">
        <f t="shared" si="25"/>
        <v/>
      </c>
      <c r="W208" s="66"/>
      <c r="AH208" s="66"/>
    </row>
    <row r="209" spans="1:34">
      <c r="A209" s="95" t="str">
        <f t="shared" si="26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7"/>
        <v>0</v>
      </c>
      <c r="Q209" s="96"/>
      <c r="R209" s="97">
        <f t="shared" si="28"/>
        <v>0</v>
      </c>
      <c r="T209" s="98">
        <f t="shared" si="24"/>
        <v>0</v>
      </c>
      <c r="U209" s="99" t="str">
        <f>IFERROR(VLOOKUP($S209,References!$B$3:$C$8,2,FALSE),"")</f>
        <v/>
      </c>
      <c r="V209" s="99" t="str">
        <f t="shared" si="25"/>
        <v/>
      </c>
      <c r="W209" s="66"/>
      <c r="AH209" s="66"/>
    </row>
    <row r="210" spans="1:34">
      <c r="A210" s="95" t="str">
        <f t="shared" si="26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7"/>
        <v>0</v>
      </c>
      <c r="Q210" s="96"/>
      <c r="R210" s="97">
        <f t="shared" si="28"/>
        <v>0</v>
      </c>
      <c r="T210" s="98">
        <f t="shared" si="24"/>
        <v>0</v>
      </c>
      <c r="U210" s="99" t="str">
        <f>IFERROR(VLOOKUP($S210,References!$B$3:$C$8,2,FALSE),"")</f>
        <v/>
      </c>
      <c r="V210" s="99" t="str">
        <f t="shared" si="25"/>
        <v/>
      </c>
      <c r="W210" s="66"/>
      <c r="AH210" s="66"/>
    </row>
    <row r="211" spans="1:34">
      <c r="A211" s="95" t="str">
        <f t="shared" si="26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7"/>
        <v>0</v>
      </c>
      <c r="Q211" s="103"/>
      <c r="R211" s="97">
        <f t="shared" si="28"/>
        <v>0</v>
      </c>
      <c r="T211" s="98">
        <f t="shared" si="24"/>
        <v>0</v>
      </c>
      <c r="U211" s="99" t="str">
        <f>IFERROR(VLOOKUP($S211,References!$B$3:$C$8,2,FALSE),"")</f>
        <v/>
      </c>
      <c r="V211" s="99" t="str">
        <f t="shared" si="25"/>
        <v/>
      </c>
      <c r="W211" s="66"/>
      <c r="AH211" s="66"/>
    </row>
    <row r="212" spans="1:34">
      <c r="A212" s="95" t="str">
        <f t="shared" si="26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7"/>
        <v>0</v>
      </c>
      <c r="Q212" s="96"/>
      <c r="R212" s="97">
        <f t="shared" si="28"/>
        <v>0</v>
      </c>
      <c r="T212" s="98">
        <f t="shared" si="24"/>
        <v>0</v>
      </c>
      <c r="U212" s="99" t="str">
        <f>IFERROR(VLOOKUP($S212,References!$B$3:$C$8,2,FALSE),"")</f>
        <v/>
      </c>
      <c r="V212" s="99" t="str">
        <f t="shared" si="25"/>
        <v/>
      </c>
      <c r="W212" s="66"/>
      <c r="AH212" s="66"/>
    </row>
    <row r="213" spans="1:34">
      <c r="A213" s="95" t="str">
        <f t="shared" si="26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7"/>
      <c r="P213" s="96">
        <f t="shared" si="27"/>
        <v>0</v>
      </c>
      <c r="Q213" s="96"/>
      <c r="R213" s="97">
        <f t="shared" si="28"/>
        <v>0</v>
      </c>
      <c r="T213" s="98">
        <f t="shared" si="24"/>
        <v>0</v>
      </c>
      <c r="U213" s="99" t="str">
        <f>IFERROR(VLOOKUP($S213,References!$B$3:$C$8,2,FALSE),"")</f>
        <v/>
      </c>
      <c r="V213" s="99" t="str">
        <f t="shared" si="25"/>
        <v/>
      </c>
      <c r="W213" s="66"/>
      <c r="AH213" s="66"/>
    </row>
    <row r="214" spans="1:34">
      <c r="A214" s="95" t="str">
        <f t="shared" si="26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7"/>
        <v>0</v>
      </c>
      <c r="Q214" s="96"/>
      <c r="R214" s="97">
        <f t="shared" si="28"/>
        <v>0</v>
      </c>
      <c r="T214" s="98">
        <f t="shared" si="24"/>
        <v>0</v>
      </c>
      <c r="U214" s="99" t="str">
        <f>IFERROR(VLOOKUP($S214,References!$B$3:$C$8,2,FALSE),"")</f>
        <v/>
      </c>
      <c r="V214" s="99" t="str">
        <f t="shared" si="25"/>
        <v/>
      </c>
      <c r="W214" s="66"/>
      <c r="AH214" s="66"/>
    </row>
    <row r="215" spans="1:34">
      <c r="A215" s="95" t="str">
        <f t="shared" si="26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1"/>
      <c r="N215" s="150"/>
      <c r="O215" s="150"/>
      <c r="P215" s="96">
        <f t="shared" si="27"/>
        <v>0</v>
      </c>
      <c r="Q215" s="96"/>
      <c r="R215" s="97">
        <f t="shared" si="28"/>
        <v>0</v>
      </c>
      <c r="T215" s="98">
        <f t="shared" si="24"/>
        <v>0</v>
      </c>
      <c r="U215" s="99" t="str">
        <f>IFERROR(VLOOKUP($S215,References!$B$3:$C$8,2,FALSE),"")</f>
        <v/>
      </c>
      <c r="V215" s="99" t="str">
        <f t="shared" si="25"/>
        <v/>
      </c>
      <c r="W215" s="66"/>
      <c r="AH215" s="66"/>
    </row>
    <row r="216" spans="1:34">
      <c r="A216" s="95" t="str">
        <f t="shared" si="26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0"/>
      <c r="N216" s="150"/>
      <c r="O216" s="150"/>
      <c r="P216" s="96">
        <f t="shared" si="27"/>
        <v>0</v>
      </c>
      <c r="Q216" s="96"/>
      <c r="R216" s="97">
        <f t="shared" si="28"/>
        <v>0</v>
      </c>
      <c r="T216" s="98">
        <f t="shared" si="24"/>
        <v>0</v>
      </c>
      <c r="U216" s="99" t="str">
        <f>IFERROR(VLOOKUP($S216,References!$B$3:$C$8,2,FALSE),"")</f>
        <v/>
      </c>
      <c r="V216" s="99" t="str">
        <f t="shared" si="25"/>
        <v/>
      </c>
      <c r="W216" s="66"/>
    </row>
    <row r="217" spans="1:34">
      <c r="A217" s="95" t="str">
        <f t="shared" si="26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7"/>
        <v>0</v>
      </c>
      <c r="Q217" s="96"/>
      <c r="R217" s="97">
        <f t="shared" si="28"/>
        <v>0</v>
      </c>
      <c r="T217" s="98">
        <f t="shared" si="24"/>
        <v>0</v>
      </c>
      <c r="U217" s="99" t="str">
        <f>IFERROR(VLOOKUP($S217,References!$B$3:$C$8,2,FALSE),"")</f>
        <v/>
      </c>
      <c r="V217" s="99" t="str">
        <f t="shared" si="25"/>
        <v/>
      </c>
      <c r="W217" s="66"/>
    </row>
    <row r="218" spans="1:34">
      <c r="A218" s="95" t="str">
        <f t="shared" si="26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7"/>
        <v>0</v>
      </c>
      <c r="Q218" s="96"/>
      <c r="R218" s="97">
        <f t="shared" si="28"/>
        <v>0</v>
      </c>
      <c r="T218" s="98">
        <f t="shared" si="24"/>
        <v>0</v>
      </c>
      <c r="U218" s="99" t="str">
        <f>IFERROR(VLOOKUP($S218,References!$B$3:$C$8,2,FALSE),"")</f>
        <v/>
      </c>
      <c r="V218" s="99" t="str">
        <f t="shared" si="25"/>
        <v/>
      </c>
      <c r="W218" s="66"/>
    </row>
    <row r="219" spans="1:34">
      <c r="A219" s="95" t="str">
        <f t="shared" si="26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7"/>
        <v>0</v>
      </c>
      <c r="Q219" s="96"/>
      <c r="R219" s="97">
        <f t="shared" si="28"/>
        <v>0</v>
      </c>
      <c r="T219" s="98">
        <f t="shared" si="24"/>
        <v>0</v>
      </c>
      <c r="U219" s="99" t="str">
        <f>IFERROR(VLOOKUP($S219,References!$B$3:$C$8,2,FALSE),"")</f>
        <v/>
      </c>
      <c r="V219" s="99" t="str">
        <f t="shared" si="25"/>
        <v/>
      </c>
      <c r="W219" s="66"/>
    </row>
    <row r="220" spans="1:34">
      <c r="A220" s="95" t="str">
        <f t="shared" si="26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7"/>
        <v>0</v>
      </c>
      <c r="Q220" s="96"/>
      <c r="R220" s="97">
        <f t="shared" si="28"/>
        <v>0</v>
      </c>
      <c r="T220" s="98">
        <f t="shared" si="24"/>
        <v>0</v>
      </c>
      <c r="U220" s="99" t="str">
        <f>IFERROR(VLOOKUP($S220,References!$B$3:$C$8,2,FALSE),"")</f>
        <v/>
      </c>
      <c r="V220" s="99" t="str">
        <f t="shared" si="25"/>
        <v/>
      </c>
      <c r="W220" s="66"/>
    </row>
    <row r="221" spans="1:34">
      <c r="A221" s="95" t="str">
        <f t="shared" si="26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7"/>
        <v>0</v>
      </c>
      <c r="Q221" s="96"/>
      <c r="R221" s="97">
        <f t="shared" si="28"/>
        <v>0</v>
      </c>
      <c r="T221" s="98">
        <f t="shared" si="24"/>
        <v>0</v>
      </c>
      <c r="U221" s="99" t="str">
        <f>IFERROR(VLOOKUP($S221,References!$B$3:$C$8,2,FALSE),"")</f>
        <v/>
      </c>
      <c r="V221" s="99" t="str">
        <f t="shared" si="25"/>
        <v/>
      </c>
      <c r="W221" s="66"/>
    </row>
    <row r="222" spans="1:34">
      <c r="A222" s="95" t="str">
        <f t="shared" si="26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7"/>
        <v>0</v>
      </c>
      <c r="Q222" s="96"/>
      <c r="R222" s="97">
        <f t="shared" si="28"/>
        <v>0</v>
      </c>
      <c r="T222" s="98">
        <f t="shared" si="24"/>
        <v>0</v>
      </c>
      <c r="U222" s="99" t="str">
        <f>IFERROR(VLOOKUP($S222,References!$B$3:$C$8,2,FALSE),"")</f>
        <v/>
      </c>
      <c r="V222" s="99" t="str">
        <f t="shared" si="25"/>
        <v/>
      </c>
      <c r="W222" s="66"/>
    </row>
    <row r="223" spans="1:34">
      <c r="A223" s="95" t="str">
        <f t="shared" si="26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7"/>
        <v>0</v>
      </c>
      <c r="Q223" s="96"/>
      <c r="R223" s="97">
        <f t="shared" si="28"/>
        <v>0</v>
      </c>
      <c r="T223" s="98">
        <f t="shared" si="24"/>
        <v>0</v>
      </c>
      <c r="U223" s="99" t="str">
        <f>IFERROR(VLOOKUP($S223,References!$B$3:$C$8,2,FALSE),"")</f>
        <v/>
      </c>
      <c r="V223" s="99" t="str">
        <f t="shared" si="25"/>
        <v/>
      </c>
      <c r="W223" s="66"/>
    </row>
    <row r="224" spans="1:34">
      <c r="A224" s="95" t="str">
        <f t="shared" si="26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7"/>
        <v>0</v>
      </c>
      <c r="Q224" s="96"/>
      <c r="R224" s="97">
        <f t="shared" si="28"/>
        <v>0</v>
      </c>
      <c r="T224" s="98">
        <f t="shared" si="24"/>
        <v>0</v>
      </c>
      <c r="U224" s="99" t="str">
        <f>IFERROR(VLOOKUP($S224,References!$B$3:$C$8,2,FALSE),"")</f>
        <v/>
      </c>
      <c r="V224" s="99" t="str">
        <f t="shared" si="25"/>
        <v/>
      </c>
      <c r="W224" s="66"/>
    </row>
    <row r="225" spans="1:23">
      <c r="A225" s="95" t="str">
        <f t="shared" si="26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7"/>
        <v>0</v>
      </c>
      <c r="Q225" s="96"/>
      <c r="R225" s="97">
        <f t="shared" si="28"/>
        <v>0</v>
      </c>
      <c r="T225" s="98">
        <f t="shared" si="24"/>
        <v>0</v>
      </c>
      <c r="U225" s="99" t="str">
        <f>IFERROR(VLOOKUP($S225,References!$B$3:$C$8,2,FALSE),"")</f>
        <v/>
      </c>
      <c r="V225" s="99" t="str">
        <f t="shared" si="25"/>
        <v/>
      </c>
      <c r="W225" s="66"/>
    </row>
    <row r="226" spans="1:23">
      <c r="A226" s="95" t="str">
        <f t="shared" si="26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7"/>
        <v>0</v>
      </c>
      <c r="Q226" s="96"/>
      <c r="R226" s="97">
        <f t="shared" si="28"/>
        <v>0</v>
      </c>
      <c r="T226" s="98">
        <f t="shared" si="24"/>
        <v>0</v>
      </c>
      <c r="U226" s="99" t="str">
        <f>IFERROR(VLOOKUP($S226,References!$B$3:$C$8,2,FALSE),"")</f>
        <v/>
      </c>
      <c r="V226" s="99" t="str">
        <f t="shared" si="25"/>
        <v/>
      </c>
      <c r="W226" s="66"/>
    </row>
    <row r="227" spans="1:23">
      <c r="A227" s="95" t="str">
        <f t="shared" si="26"/>
        <v/>
      </c>
      <c r="B227" s="150"/>
      <c r="C227" s="150"/>
      <c r="D227" s="150"/>
      <c r="E227" s="150"/>
      <c r="F227" s="150"/>
      <c r="G227" s="150"/>
      <c r="H227" s="150"/>
      <c r="I227" s="150"/>
      <c r="J227" s="150"/>
      <c r="K227" s="151"/>
      <c r="L227" s="151"/>
      <c r="M227" s="151"/>
      <c r="N227" s="150"/>
      <c r="O227" s="150"/>
      <c r="P227" s="96">
        <f t="shared" si="27"/>
        <v>0</v>
      </c>
      <c r="Q227" s="96"/>
      <c r="R227" s="97">
        <f t="shared" si="28"/>
        <v>0</v>
      </c>
      <c r="T227" s="98">
        <f t="shared" si="24"/>
        <v>0</v>
      </c>
      <c r="U227" s="99" t="str">
        <f>IFERROR(VLOOKUP($S227,References!$B$3:$C$8,2,FALSE),"")</f>
        <v/>
      </c>
      <c r="V227" s="99" t="str">
        <f t="shared" si="25"/>
        <v/>
      </c>
      <c r="W227" s="66"/>
    </row>
    <row r="228" spans="1:23">
      <c r="A228" s="95" t="str">
        <f t="shared" si="26"/>
        <v/>
      </c>
      <c r="B228" s="150"/>
      <c r="C228" s="150"/>
      <c r="D228" s="150"/>
      <c r="E228" s="150"/>
      <c r="F228" s="150"/>
      <c r="G228" s="150"/>
      <c r="H228" s="150"/>
      <c r="I228" s="154"/>
      <c r="J228" s="150"/>
      <c r="K228" s="151"/>
      <c r="L228" s="151"/>
      <c r="M228" s="151"/>
      <c r="N228" s="150"/>
      <c r="O228" s="150"/>
      <c r="P228" s="96">
        <f t="shared" si="27"/>
        <v>0</v>
      </c>
      <c r="Q228" s="96"/>
      <c r="R228" s="97">
        <f t="shared" si="28"/>
        <v>0</v>
      </c>
      <c r="T228" s="98">
        <f t="shared" si="24"/>
        <v>0</v>
      </c>
      <c r="U228" s="99" t="str">
        <f>IFERROR(VLOOKUP($S228,References!$B$3:$C$8,2,FALSE),"")</f>
        <v/>
      </c>
      <c r="V228" s="99" t="str">
        <f t="shared" si="25"/>
        <v/>
      </c>
      <c r="W228" s="66"/>
    </row>
    <row r="229" spans="1:23">
      <c r="A229" s="95" t="str">
        <f t="shared" si="26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7"/>
        <v>0</v>
      </c>
      <c r="Q229" s="96"/>
      <c r="R229" s="97">
        <f t="shared" si="28"/>
        <v>0</v>
      </c>
      <c r="T229" s="98">
        <f t="shared" si="24"/>
        <v>0</v>
      </c>
      <c r="U229" s="99" t="str">
        <f>IFERROR(VLOOKUP($S229,References!$B$3:$C$8,2,FALSE),"")</f>
        <v/>
      </c>
      <c r="V229" s="99" t="str">
        <f t="shared" si="25"/>
        <v/>
      </c>
      <c r="W229" s="66"/>
    </row>
    <row r="230" spans="1:23">
      <c r="A230" s="95" t="str">
        <f t="shared" si="26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7"/>
        <v>0</v>
      </c>
      <c r="Q230" s="96"/>
      <c r="R230" s="97">
        <f t="shared" si="28"/>
        <v>0</v>
      </c>
      <c r="T230" s="98">
        <f t="shared" si="24"/>
        <v>0</v>
      </c>
      <c r="U230" s="99" t="str">
        <f>IFERROR(VLOOKUP($S230,References!$B$3:$C$8,2,FALSE),"")</f>
        <v/>
      </c>
      <c r="V230" s="99" t="str">
        <f t="shared" si="25"/>
        <v/>
      </c>
      <c r="W230" s="66"/>
    </row>
    <row r="231" spans="1:23">
      <c r="A231" s="95" t="str">
        <f t="shared" si="26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7"/>
        <v>0</v>
      </c>
      <c r="Q231" s="96"/>
      <c r="R231" s="97">
        <f t="shared" si="28"/>
        <v>0</v>
      </c>
      <c r="T231" s="98">
        <f t="shared" si="24"/>
        <v>0</v>
      </c>
      <c r="U231" s="99" t="str">
        <f>IFERROR(VLOOKUP($S231,References!$B$3:$C$8,2,FALSE),"")</f>
        <v/>
      </c>
      <c r="V231" s="99" t="str">
        <f t="shared" si="25"/>
        <v/>
      </c>
      <c r="W231" s="66"/>
    </row>
    <row r="232" spans="1:23">
      <c r="A232" s="95" t="str">
        <f t="shared" si="26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7"/>
        <v>0</v>
      </c>
      <c r="Q232" s="96"/>
      <c r="R232" s="97">
        <f t="shared" si="28"/>
        <v>0</v>
      </c>
      <c r="T232" s="98">
        <f t="shared" si="24"/>
        <v>0</v>
      </c>
      <c r="U232" s="99" t="str">
        <f>IFERROR(VLOOKUP($S232,References!$B$3:$C$8,2,FALSE),"")</f>
        <v/>
      </c>
      <c r="V232" s="99" t="str">
        <f t="shared" si="25"/>
        <v/>
      </c>
      <c r="W232" s="66"/>
    </row>
    <row r="233" spans="1:23">
      <c r="A233" s="95" t="str">
        <f t="shared" si="26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7"/>
        <v>0</v>
      </c>
      <c r="Q233" s="96"/>
      <c r="R233" s="97">
        <f t="shared" si="28"/>
        <v>0</v>
      </c>
      <c r="T233" s="98">
        <f t="shared" si="24"/>
        <v>0</v>
      </c>
      <c r="U233" s="99" t="str">
        <f>IFERROR(VLOOKUP($S233,References!$B$3:$C$8,2,FALSE),"")</f>
        <v/>
      </c>
      <c r="V233" s="99" t="str">
        <f t="shared" si="25"/>
        <v/>
      </c>
      <c r="W233" s="66"/>
    </row>
    <row r="234" spans="1:23">
      <c r="A234" s="95" t="str">
        <f t="shared" si="26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7"/>
        <v>0</v>
      </c>
      <c r="Q234" s="96"/>
      <c r="R234" s="97">
        <f t="shared" si="28"/>
        <v>0</v>
      </c>
      <c r="T234" s="98">
        <f t="shared" si="24"/>
        <v>0</v>
      </c>
      <c r="U234" s="99" t="str">
        <f>IFERROR(VLOOKUP($S234,References!$B$3:$C$8,2,FALSE),"")</f>
        <v/>
      </c>
      <c r="V234" s="99" t="str">
        <f t="shared" si="25"/>
        <v/>
      </c>
      <c r="W234" s="66"/>
    </row>
    <row r="235" spans="1:23">
      <c r="A235" s="95" t="str">
        <f t="shared" si="26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7"/>
        <v>0</v>
      </c>
      <c r="Q235" s="96"/>
      <c r="R235" s="97">
        <f t="shared" si="28"/>
        <v>0</v>
      </c>
      <c r="T235" s="98">
        <f t="shared" si="24"/>
        <v>0</v>
      </c>
      <c r="U235" s="99" t="str">
        <f>IFERROR(VLOOKUP($S235,References!$B$3:$C$8,2,FALSE),"")</f>
        <v/>
      </c>
      <c r="V235" s="99" t="str">
        <f t="shared" si="25"/>
        <v/>
      </c>
      <c r="W235" s="66"/>
    </row>
    <row r="236" spans="1:23">
      <c r="A236" s="95" t="str">
        <f t="shared" si="26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7"/>
        <v>0</v>
      </c>
      <c r="Q236" s="96"/>
      <c r="R236" s="97">
        <f t="shared" si="28"/>
        <v>0</v>
      </c>
      <c r="T236" s="98">
        <f t="shared" si="24"/>
        <v>0</v>
      </c>
      <c r="U236" s="99" t="str">
        <f>IFERROR(VLOOKUP($S236,References!$B$3:$C$8,2,FALSE),"")</f>
        <v/>
      </c>
      <c r="V236" s="99" t="str">
        <f t="shared" si="25"/>
        <v/>
      </c>
      <c r="W236" s="66"/>
    </row>
    <row r="237" spans="1:23">
      <c r="A237" s="95" t="str">
        <f t="shared" si="26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7"/>
        <v>0</v>
      </c>
      <c r="Q237" s="96"/>
      <c r="R237" s="97">
        <f t="shared" si="28"/>
        <v>0</v>
      </c>
      <c r="T237" s="98">
        <f t="shared" si="24"/>
        <v>0</v>
      </c>
      <c r="U237" s="99" t="str">
        <f>IFERROR(VLOOKUP($S237,References!$B$3:$C$8,2,FALSE),"")</f>
        <v/>
      </c>
      <c r="V237" s="99" t="str">
        <f t="shared" si="25"/>
        <v/>
      </c>
      <c r="W237" s="66"/>
    </row>
    <row r="238" spans="1:23">
      <c r="A238" s="95" t="str">
        <f t="shared" si="26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7"/>
        <v>0</v>
      </c>
      <c r="Q238" s="96"/>
      <c r="R238" s="97">
        <f t="shared" si="28"/>
        <v>0</v>
      </c>
      <c r="T238" s="98">
        <f t="shared" si="24"/>
        <v>0</v>
      </c>
      <c r="U238" s="99" t="str">
        <f>IFERROR(VLOOKUP($S238,References!$B$3:$C$8,2,FALSE),"")</f>
        <v/>
      </c>
      <c r="V238" s="99" t="str">
        <f t="shared" si="25"/>
        <v/>
      </c>
      <c r="W238" s="66"/>
    </row>
    <row r="239" spans="1:23">
      <c r="A239" s="95" t="str">
        <f t="shared" si="26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7"/>
        <v>0</v>
      </c>
      <c r="Q239" s="96"/>
      <c r="R239" s="97">
        <f t="shared" si="28"/>
        <v>0</v>
      </c>
      <c r="T239" s="98">
        <f t="shared" si="24"/>
        <v>0</v>
      </c>
      <c r="U239" s="99" t="str">
        <f>IFERROR(VLOOKUP($S239,References!$B$3:$C$8,2,FALSE),"")</f>
        <v/>
      </c>
      <c r="V239" s="99" t="str">
        <f t="shared" si="25"/>
        <v/>
      </c>
      <c r="W239" s="66"/>
    </row>
    <row r="240" spans="1:23">
      <c r="A240" s="95" t="str">
        <f t="shared" si="26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7"/>
        <v>0</v>
      </c>
      <c r="Q240" s="96"/>
      <c r="R240" s="97">
        <f t="shared" si="28"/>
        <v>0</v>
      </c>
      <c r="T240" s="98">
        <f t="shared" si="24"/>
        <v>0</v>
      </c>
      <c r="U240" s="99" t="str">
        <f>IFERROR(VLOOKUP($S240,References!$B$3:$C$8,2,FALSE),"")</f>
        <v/>
      </c>
      <c r="V240" s="99" t="str">
        <f t="shared" si="25"/>
        <v/>
      </c>
      <c r="W240" s="66"/>
    </row>
    <row r="241" spans="1:23">
      <c r="A241" s="95" t="str">
        <f t="shared" si="26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7"/>
        <v>0</v>
      </c>
      <c r="Q241" s="96"/>
      <c r="R241" s="97">
        <f t="shared" si="28"/>
        <v>0</v>
      </c>
      <c r="T241" s="98">
        <f t="shared" si="24"/>
        <v>0</v>
      </c>
      <c r="U241" s="99" t="str">
        <f>IFERROR(VLOOKUP($S241,References!$B$3:$C$8,2,FALSE),"")</f>
        <v/>
      </c>
      <c r="V241" s="99" t="str">
        <f t="shared" si="25"/>
        <v/>
      </c>
      <c r="W241" s="66"/>
    </row>
    <row r="242" spans="1:23">
      <c r="A242" s="95" t="str">
        <f t="shared" si="26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7"/>
        <v>0</v>
      </c>
      <c r="Q242" s="96"/>
      <c r="R242" s="97">
        <f t="shared" si="28"/>
        <v>0</v>
      </c>
      <c r="T242" s="98">
        <f t="shared" si="24"/>
        <v>0</v>
      </c>
      <c r="U242" s="99" t="str">
        <f>IFERROR(VLOOKUP($S242,References!$B$3:$C$8,2,FALSE),"")</f>
        <v/>
      </c>
      <c r="V242" s="99" t="str">
        <f t="shared" si="25"/>
        <v/>
      </c>
      <c r="W242" s="66"/>
    </row>
    <row r="243" spans="1:23">
      <c r="A243" s="95" t="str">
        <f t="shared" si="26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7"/>
        <v>0</v>
      </c>
      <c r="Q243" s="96"/>
      <c r="R243" s="97">
        <f t="shared" si="28"/>
        <v>0</v>
      </c>
      <c r="T243" s="98">
        <f t="shared" si="24"/>
        <v>0</v>
      </c>
      <c r="U243" s="99" t="str">
        <f>IFERROR(VLOOKUP($S243,References!$B$3:$C$8,2,FALSE),"")</f>
        <v/>
      </c>
      <c r="V243" s="99" t="str">
        <f t="shared" si="25"/>
        <v/>
      </c>
      <c r="W243" s="66"/>
    </row>
    <row r="244" spans="1:23">
      <c r="A244" s="95" t="str">
        <f t="shared" si="26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7"/>
        <v>0</v>
      </c>
      <c r="Q244" s="96"/>
      <c r="R244" s="97">
        <f t="shared" si="28"/>
        <v>0</v>
      </c>
      <c r="T244" s="98">
        <f t="shared" si="24"/>
        <v>0</v>
      </c>
      <c r="U244" s="99" t="str">
        <f>IFERROR(VLOOKUP($S244,References!$B$3:$C$8,2,FALSE),"")</f>
        <v/>
      </c>
      <c r="V244" s="99" t="str">
        <f t="shared" si="25"/>
        <v/>
      </c>
      <c r="W244" s="66"/>
    </row>
    <row r="245" spans="1:23">
      <c r="A245" s="95" t="str">
        <f t="shared" si="26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7"/>
        <v>0</v>
      </c>
      <c r="Q245" s="96"/>
      <c r="R245" s="97">
        <f t="shared" si="28"/>
        <v>0</v>
      </c>
      <c r="T245" s="98">
        <f t="shared" si="24"/>
        <v>0</v>
      </c>
      <c r="U245" s="99" t="str">
        <f>IFERROR(VLOOKUP($S245,References!$B$3:$C$8,2,FALSE),"")</f>
        <v/>
      </c>
      <c r="V245" s="99" t="str">
        <f t="shared" si="25"/>
        <v/>
      </c>
      <c r="W245" s="66"/>
    </row>
    <row r="246" spans="1:23">
      <c r="A246" s="95" t="str">
        <f t="shared" si="26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7"/>
        <v>0</v>
      </c>
      <c r="Q246" s="96"/>
      <c r="R246" s="97">
        <f t="shared" si="28"/>
        <v>0</v>
      </c>
      <c r="T246" s="98">
        <f t="shared" si="24"/>
        <v>0</v>
      </c>
      <c r="U246" s="99" t="str">
        <f>IFERROR(VLOOKUP($S246,References!$B$3:$C$8,2,FALSE),"")</f>
        <v/>
      </c>
      <c r="V246" s="99" t="str">
        <f t="shared" si="25"/>
        <v/>
      </c>
      <c r="W246" s="66"/>
    </row>
    <row r="247" spans="1:23">
      <c r="A247" s="95" t="str">
        <f t="shared" si="26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7"/>
        <v>0</v>
      </c>
      <c r="Q247" s="96"/>
      <c r="R247" s="97">
        <f t="shared" si="28"/>
        <v>0</v>
      </c>
      <c r="T247" s="98">
        <f t="shared" si="24"/>
        <v>0</v>
      </c>
      <c r="U247" s="99" t="str">
        <f>IFERROR(VLOOKUP($S247,References!$B$3:$C$8,2,FALSE),"")</f>
        <v/>
      </c>
      <c r="V247" s="99" t="str">
        <f t="shared" si="25"/>
        <v/>
      </c>
      <c r="W247" s="66"/>
    </row>
    <row r="248" spans="1:23">
      <c r="A248" s="95" t="str">
        <f t="shared" si="26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7"/>
        <v>0</v>
      </c>
      <c r="Q248" s="96"/>
      <c r="R248" s="97">
        <f t="shared" si="28"/>
        <v>0</v>
      </c>
      <c r="T248" s="98">
        <f t="shared" si="24"/>
        <v>0</v>
      </c>
      <c r="U248" s="99" t="str">
        <f>IFERROR(VLOOKUP($S248,References!$B$3:$C$8,2,FALSE),"")</f>
        <v/>
      </c>
      <c r="V248" s="99" t="str">
        <f t="shared" si="25"/>
        <v/>
      </c>
      <c r="W248" s="66"/>
    </row>
    <row r="249" spans="1:23">
      <c r="A249" s="95" t="str">
        <f t="shared" si="26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7"/>
        <v>0</v>
      </c>
      <c r="Q249" s="96"/>
      <c r="R249" s="97">
        <f t="shared" si="28"/>
        <v>0</v>
      </c>
      <c r="T249" s="98">
        <f t="shared" si="24"/>
        <v>0</v>
      </c>
      <c r="U249" s="99" t="str">
        <f>IFERROR(VLOOKUP($S249,References!$B$3:$C$8,2,FALSE),"")</f>
        <v/>
      </c>
      <c r="V249" s="99" t="str">
        <f t="shared" si="25"/>
        <v/>
      </c>
      <c r="W249" s="66"/>
    </row>
    <row r="250" spans="1:23">
      <c r="A250" s="95" t="str">
        <f t="shared" si="26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7"/>
        <v>0</v>
      </c>
      <c r="Q250" s="96"/>
      <c r="R250" s="97">
        <f t="shared" si="28"/>
        <v>0</v>
      </c>
      <c r="T250" s="98">
        <f t="shared" si="24"/>
        <v>0</v>
      </c>
      <c r="U250" s="99" t="str">
        <f>IFERROR(VLOOKUP($S250,References!$B$3:$C$8,2,FALSE),"")</f>
        <v/>
      </c>
      <c r="V250" s="99" t="str">
        <f t="shared" si="25"/>
        <v/>
      </c>
      <c r="W250" s="66"/>
    </row>
    <row r="251" spans="1:23">
      <c r="A251" s="95" t="str">
        <f t="shared" si="26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7"/>
        <v>0</v>
      </c>
      <c r="Q251" s="96"/>
      <c r="R251" s="97">
        <f t="shared" si="28"/>
        <v>0</v>
      </c>
      <c r="T251" s="98">
        <f t="shared" si="24"/>
        <v>0</v>
      </c>
      <c r="U251" s="99" t="str">
        <f>IFERROR(VLOOKUP($S251,References!$B$3:$C$8,2,FALSE),"")</f>
        <v/>
      </c>
      <c r="V251" s="99" t="str">
        <f t="shared" si="25"/>
        <v/>
      </c>
      <c r="W251" s="66"/>
    </row>
    <row r="252" spans="1:23">
      <c r="A252" s="95" t="str">
        <f t="shared" si="26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7"/>
        <v>0</v>
      </c>
      <c r="Q252" s="96"/>
      <c r="R252" s="97">
        <f t="shared" si="28"/>
        <v>0</v>
      </c>
      <c r="T252" s="98">
        <f t="shared" si="24"/>
        <v>0</v>
      </c>
      <c r="U252" s="99" t="str">
        <f>IFERROR(VLOOKUP($S252,References!$B$3:$C$8,2,FALSE),"")</f>
        <v/>
      </c>
      <c r="V252" s="99" t="str">
        <f t="shared" si="25"/>
        <v/>
      </c>
      <c r="W252" s="66"/>
    </row>
    <row r="253" spans="1:23">
      <c r="A253" s="95" t="str">
        <f t="shared" si="26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7"/>
        <v>0</v>
      </c>
      <c r="Q253" s="96"/>
      <c r="R253" s="97">
        <f t="shared" si="28"/>
        <v>0</v>
      </c>
      <c r="T253" s="98">
        <f t="shared" si="24"/>
        <v>0</v>
      </c>
      <c r="U253" s="99" t="str">
        <f>IFERROR(VLOOKUP($S253,References!$B$3:$C$8,2,FALSE),"")</f>
        <v/>
      </c>
      <c r="V253" s="99" t="str">
        <f t="shared" si="25"/>
        <v/>
      </c>
      <c r="W253" s="66"/>
    </row>
    <row r="254" spans="1:23">
      <c r="A254" s="95" t="str">
        <f t="shared" si="26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7"/>
        <v>0</v>
      </c>
      <c r="Q254" s="96"/>
      <c r="R254" s="97">
        <f t="shared" si="28"/>
        <v>0</v>
      </c>
      <c r="T254" s="98">
        <f t="shared" si="24"/>
        <v>0</v>
      </c>
      <c r="U254" s="99" t="str">
        <f>IFERROR(VLOOKUP($S254,References!$B$3:$C$8,2,FALSE),"")</f>
        <v/>
      </c>
      <c r="V254" s="99" t="str">
        <f t="shared" si="25"/>
        <v/>
      </c>
      <c r="W254" s="66"/>
    </row>
    <row r="255" spans="1:23">
      <c r="A255" s="95" t="str">
        <f t="shared" si="26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7"/>
        <v>0</v>
      </c>
      <c r="Q255" s="96"/>
      <c r="R255" s="97">
        <f t="shared" si="28"/>
        <v>0</v>
      </c>
      <c r="T255" s="98">
        <f t="shared" si="24"/>
        <v>0</v>
      </c>
      <c r="U255" s="99" t="str">
        <f>IFERROR(VLOOKUP($S255,References!$B$3:$C$8,2,FALSE),"")</f>
        <v/>
      </c>
      <c r="V255" s="99" t="str">
        <f t="shared" si="25"/>
        <v/>
      </c>
      <c r="W255" s="66"/>
    </row>
    <row r="256" spans="1:23">
      <c r="A256" s="95" t="str">
        <f t="shared" si="26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7"/>
        <v>0</v>
      </c>
      <c r="Q256" s="96"/>
      <c r="R256" s="97">
        <f t="shared" si="28"/>
        <v>0</v>
      </c>
      <c r="T256" s="98">
        <f t="shared" si="24"/>
        <v>0</v>
      </c>
      <c r="U256" s="99" t="str">
        <f>IFERROR(VLOOKUP($S256,References!$B$3:$C$8,2,FALSE),"")</f>
        <v/>
      </c>
      <c r="V256" s="99" t="str">
        <f t="shared" si="25"/>
        <v/>
      </c>
      <c r="W256" s="66"/>
    </row>
    <row r="257" spans="1:23">
      <c r="A257" s="95" t="str">
        <f t="shared" si="26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7"/>
        <v>0</v>
      </c>
      <c r="Q257" s="96"/>
      <c r="R257" s="97">
        <f t="shared" si="28"/>
        <v>0</v>
      </c>
      <c r="T257" s="98">
        <f t="shared" si="24"/>
        <v>0</v>
      </c>
      <c r="U257" s="99" t="str">
        <f>IFERROR(VLOOKUP($S257,References!$B$3:$C$8,2,FALSE),"")</f>
        <v/>
      </c>
      <c r="V257" s="99" t="str">
        <f t="shared" si="25"/>
        <v/>
      </c>
      <c r="W257" s="66"/>
    </row>
    <row r="258" spans="1:23">
      <c r="A258" s="95" t="str">
        <f t="shared" si="26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7"/>
        <v>0</v>
      </c>
      <c r="Q258" s="96"/>
      <c r="R258" s="97">
        <f t="shared" si="28"/>
        <v>0</v>
      </c>
      <c r="T258" s="98">
        <f t="shared" si="24"/>
        <v>0</v>
      </c>
      <c r="U258" s="99" t="str">
        <f>IFERROR(VLOOKUP($S258,References!$B$3:$C$8,2,FALSE),"")</f>
        <v/>
      </c>
      <c r="V258" s="99" t="str">
        <f t="shared" si="25"/>
        <v/>
      </c>
      <c r="W258" s="66"/>
    </row>
    <row r="259" spans="1:23">
      <c r="A259" s="95" t="str">
        <f t="shared" si="26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7"/>
        <v>0</v>
      </c>
      <c r="Q259" s="96"/>
      <c r="R259" s="97">
        <f t="shared" si="28"/>
        <v>0</v>
      </c>
      <c r="T259" s="98">
        <f t="shared" si="24"/>
        <v>0</v>
      </c>
      <c r="U259" s="99" t="str">
        <f>IFERROR(VLOOKUP($S259,References!$B$3:$C$8,2,FALSE),"")</f>
        <v/>
      </c>
      <c r="V259" s="99" t="str">
        <f t="shared" si="25"/>
        <v/>
      </c>
      <c r="W259" s="66"/>
    </row>
    <row r="260" spans="1:23">
      <c r="A260" s="95" t="str">
        <f t="shared" si="26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7"/>
        <v>0</v>
      </c>
      <c r="Q260" s="96"/>
      <c r="R260" s="97">
        <f t="shared" si="28"/>
        <v>0</v>
      </c>
      <c r="T260" s="98">
        <f t="shared" ref="T260:T323" si="29">IF(S260="50 - Cleaning Fee",1,HOUR($R260)+MINUTE(R260)/60)</f>
        <v>0</v>
      </c>
      <c r="U260" s="99" t="str">
        <f>IFERROR(VLOOKUP($S260,References!$B$3:$C$8,2,FALSE),"")</f>
        <v/>
      </c>
      <c r="V260" s="99" t="str">
        <f t="shared" ref="V260:V323" si="30">IF(T260&gt;=8,400,(IFERROR(T260*U260,"")))</f>
        <v/>
      </c>
      <c r="W260" s="66"/>
    </row>
    <row r="261" spans="1:23">
      <c r="A261" s="95" t="str">
        <f t="shared" si="26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7"/>
        <v>0</v>
      </c>
      <c r="Q261" s="96"/>
      <c r="R261" s="97">
        <f t="shared" si="28"/>
        <v>0</v>
      </c>
      <c r="T261" s="98">
        <f t="shared" si="29"/>
        <v>0</v>
      </c>
      <c r="U261" s="99" t="str">
        <f>IFERROR(VLOOKUP($S261,References!$B$3:$C$8,2,FALSE),"")</f>
        <v/>
      </c>
      <c r="V261" s="99" t="str">
        <f t="shared" si="30"/>
        <v/>
      </c>
      <c r="W261" s="66"/>
    </row>
    <row r="262" spans="1:23">
      <c r="A262" s="95" t="str">
        <f t="shared" si="26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7"/>
        <v>0</v>
      </c>
      <c r="Q262" s="96"/>
      <c r="R262" s="97">
        <f t="shared" si="28"/>
        <v>0</v>
      </c>
      <c r="T262" s="98">
        <f t="shared" si="29"/>
        <v>0</v>
      </c>
      <c r="U262" s="99" t="str">
        <f>IFERROR(VLOOKUP($S262,References!$B$3:$C$8,2,FALSE),"")</f>
        <v/>
      </c>
      <c r="V262" s="99" t="str">
        <f t="shared" si="30"/>
        <v/>
      </c>
      <c r="W262" s="66"/>
    </row>
    <row r="263" spans="1:23">
      <c r="A263" s="95" t="str">
        <f t="shared" si="26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7"/>
        <v>0</v>
      </c>
      <c r="Q263" s="96"/>
      <c r="R263" s="97">
        <f t="shared" si="28"/>
        <v>0</v>
      </c>
      <c r="T263" s="98">
        <f t="shared" si="29"/>
        <v>0</v>
      </c>
      <c r="U263" s="99" t="str">
        <f>IFERROR(VLOOKUP($S263,References!$B$3:$C$8,2,FALSE),"")</f>
        <v/>
      </c>
      <c r="V263" s="99" t="str">
        <f t="shared" si="30"/>
        <v/>
      </c>
      <c r="W263" s="66"/>
    </row>
    <row r="264" spans="1:23">
      <c r="A264" s="95" t="str">
        <f t="shared" si="26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7"/>
        <v>0</v>
      </c>
      <c r="Q264" s="96"/>
      <c r="R264" s="97">
        <f t="shared" si="28"/>
        <v>0</v>
      </c>
      <c r="T264" s="98">
        <f t="shared" si="29"/>
        <v>0</v>
      </c>
      <c r="U264" s="99" t="str">
        <f>IFERROR(VLOOKUP($S264,References!$B$3:$C$8,2,FALSE),"")</f>
        <v/>
      </c>
      <c r="V264" s="99" t="str">
        <f t="shared" si="30"/>
        <v/>
      </c>
      <c r="W264" s="66"/>
    </row>
    <row r="265" spans="1:23">
      <c r="A265" s="95" t="str">
        <f t="shared" si="26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7"/>
        <v>0</v>
      </c>
      <c r="Q265" s="96"/>
      <c r="R265" s="97">
        <f t="shared" si="28"/>
        <v>0</v>
      </c>
      <c r="T265" s="98">
        <f t="shared" si="29"/>
        <v>0</v>
      </c>
      <c r="U265" s="99" t="str">
        <f>IFERROR(VLOOKUP($S265,References!$B$3:$C$8,2,FALSE),"")</f>
        <v/>
      </c>
      <c r="V265" s="99" t="str">
        <f t="shared" si="30"/>
        <v/>
      </c>
      <c r="W265" s="66"/>
    </row>
    <row r="266" spans="1:23">
      <c r="A266" s="95" t="str">
        <f t="shared" si="26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7"/>
        <v>0</v>
      </c>
      <c r="Q266" s="96"/>
      <c r="R266" s="97">
        <f t="shared" si="28"/>
        <v>0</v>
      </c>
      <c r="T266" s="98">
        <f t="shared" si="29"/>
        <v>0</v>
      </c>
      <c r="U266" s="99" t="str">
        <f>IFERROR(VLOOKUP($S266,References!$B$3:$C$8,2,FALSE),"")</f>
        <v/>
      </c>
      <c r="V266" s="99" t="str">
        <f t="shared" si="30"/>
        <v/>
      </c>
      <c r="W266" s="66"/>
    </row>
    <row r="267" spans="1:23">
      <c r="A267" s="95" t="str">
        <f t="shared" si="26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7"/>
        <v>0</v>
      </c>
      <c r="Q267" s="96"/>
      <c r="R267" s="97">
        <f t="shared" si="28"/>
        <v>0</v>
      </c>
      <c r="T267" s="98">
        <f t="shared" si="29"/>
        <v>0</v>
      </c>
      <c r="U267" s="99" t="str">
        <f>IFERROR(VLOOKUP($S267,References!$B$3:$C$8,2,FALSE),"")</f>
        <v/>
      </c>
      <c r="V267" s="99" t="str">
        <f t="shared" si="30"/>
        <v/>
      </c>
      <c r="W267" s="66"/>
    </row>
    <row r="268" spans="1:23">
      <c r="A268" s="95" t="str">
        <f t="shared" si="26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7"/>
        <v>0</v>
      </c>
      <c r="Q268" s="96"/>
      <c r="R268" s="97">
        <f t="shared" si="28"/>
        <v>0</v>
      </c>
      <c r="T268" s="98">
        <f t="shared" si="29"/>
        <v>0</v>
      </c>
      <c r="U268" s="99" t="str">
        <f>IFERROR(VLOOKUP($S268,References!$B$3:$C$8,2,FALSE),"")</f>
        <v/>
      </c>
      <c r="V268" s="99" t="str">
        <f t="shared" si="30"/>
        <v/>
      </c>
      <c r="W268" s="66"/>
    </row>
    <row r="269" spans="1:23">
      <c r="A269" s="95" t="str">
        <f t="shared" si="26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7"/>
        <v>0</v>
      </c>
      <c r="Q269" s="96"/>
      <c r="R269" s="97">
        <f t="shared" si="28"/>
        <v>0</v>
      </c>
      <c r="T269" s="98">
        <f t="shared" si="29"/>
        <v>0</v>
      </c>
      <c r="U269" s="99" t="str">
        <f>IFERROR(VLOOKUP($S269,References!$B$3:$C$8,2,FALSE),"")</f>
        <v/>
      </c>
      <c r="V269" s="99" t="str">
        <f t="shared" si="30"/>
        <v/>
      </c>
      <c r="W269" s="66"/>
    </row>
    <row r="270" spans="1:23">
      <c r="A270" s="95" t="str">
        <f t="shared" si="26"/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si="27"/>
        <v>0</v>
      </c>
      <c r="Q270" s="96"/>
      <c r="R270" s="97">
        <f t="shared" si="28"/>
        <v>0</v>
      </c>
      <c r="T270" s="98">
        <f t="shared" si="29"/>
        <v>0</v>
      </c>
      <c r="U270" s="99" t="str">
        <f>IFERROR(VLOOKUP($S270,References!$B$3:$C$8,2,FALSE),"")</f>
        <v/>
      </c>
      <c r="V270" s="99" t="str">
        <f t="shared" si="30"/>
        <v/>
      </c>
      <c r="W270" s="66"/>
    </row>
    <row r="271" spans="1:23">
      <c r="A271" s="95" t="str">
        <f t="shared" ref="A271:A334" si="31">O271&amp;S271</f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ref="P271:P334" si="32">INT(L271)</f>
        <v>0</v>
      </c>
      <c r="Q271" s="96"/>
      <c r="R271" s="97">
        <f t="shared" ref="R271:R334" si="33">L271-K271</f>
        <v>0</v>
      </c>
      <c r="T271" s="98">
        <f t="shared" si="29"/>
        <v>0</v>
      </c>
      <c r="U271" s="99" t="str">
        <f>IFERROR(VLOOKUP($S271,References!$B$3:$C$8,2,FALSE),"")</f>
        <v/>
      </c>
      <c r="V271" s="99" t="str">
        <f t="shared" si="30"/>
        <v/>
      </c>
      <c r="W271" s="66"/>
    </row>
    <row r="272" spans="1:23">
      <c r="A272" s="95" t="str">
        <f t="shared" si="31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2"/>
        <v>0</v>
      </c>
      <c r="Q272" s="96"/>
      <c r="R272" s="97">
        <f t="shared" si="33"/>
        <v>0</v>
      </c>
      <c r="T272" s="98">
        <f t="shared" si="29"/>
        <v>0</v>
      </c>
      <c r="U272" s="99" t="str">
        <f>IFERROR(VLOOKUP($S272,References!$B$3:$C$8,2,FALSE),"")</f>
        <v/>
      </c>
      <c r="V272" s="99" t="str">
        <f t="shared" si="30"/>
        <v/>
      </c>
      <c r="W272" s="66"/>
    </row>
    <row r="273" spans="1:23">
      <c r="A273" s="95" t="str">
        <f t="shared" si="31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2"/>
        <v>0</v>
      </c>
      <c r="Q273" s="96"/>
      <c r="R273" s="97">
        <f t="shared" si="33"/>
        <v>0</v>
      </c>
      <c r="T273" s="98">
        <f t="shared" si="29"/>
        <v>0</v>
      </c>
      <c r="U273" s="99" t="str">
        <f>IFERROR(VLOOKUP($S273,References!$B$3:$C$8,2,FALSE),"")</f>
        <v/>
      </c>
      <c r="V273" s="99" t="str">
        <f t="shared" si="30"/>
        <v/>
      </c>
      <c r="W273" s="66"/>
    </row>
    <row r="274" spans="1:23">
      <c r="A274" s="95" t="str">
        <f t="shared" si="31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2"/>
        <v>0</v>
      </c>
      <c r="Q274" s="96"/>
      <c r="R274" s="97">
        <f t="shared" si="33"/>
        <v>0</v>
      </c>
      <c r="T274" s="98">
        <f t="shared" si="29"/>
        <v>0</v>
      </c>
      <c r="U274" s="99" t="str">
        <f>IFERROR(VLOOKUP($S274,References!$B$3:$C$8,2,FALSE),"")</f>
        <v/>
      </c>
      <c r="V274" s="99" t="str">
        <f t="shared" si="30"/>
        <v/>
      </c>
      <c r="W274" s="66"/>
    </row>
    <row r="275" spans="1:23">
      <c r="A275" s="95" t="str">
        <f t="shared" si="31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2"/>
        <v>0</v>
      </c>
      <c r="Q275" s="96"/>
      <c r="R275" s="97">
        <f t="shared" si="33"/>
        <v>0</v>
      </c>
      <c r="T275" s="98">
        <f t="shared" si="29"/>
        <v>0</v>
      </c>
      <c r="U275" s="99" t="str">
        <f>IFERROR(VLOOKUP($S275,References!$B$3:$C$8,2,FALSE),"")</f>
        <v/>
      </c>
      <c r="V275" s="99" t="str">
        <f t="shared" si="30"/>
        <v/>
      </c>
      <c r="W275" s="66"/>
    </row>
    <row r="276" spans="1:23">
      <c r="A276" s="95" t="str">
        <f t="shared" si="31"/>
        <v/>
      </c>
      <c r="B276" s="150"/>
      <c r="C276" s="150"/>
      <c r="D276" s="150"/>
      <c r="E276" s="150"/>
      <c r="F276" s="150"/>
      <c r="G276" s="150"/>
      <c r="H276" s="150"/>
      <c r="I276" s="150"/>
      <c r="J276" s="150"/>
      <c r="K276" s="151"/>
      <c r="L276" s="151"/>
      <c r="M276" s="151"/>
      <c r="N276" s="150"/>
      <c r="O276" s="150"/>
      <c r="P276" s="96">
        <f t="shared" si="32"/>
        <v>0</v>
      </c>
      <c r="Q276" s="96"/>
      <c r="R276" s="97">
        <f t="shared" si="33"/>
        <v>0</v>
      </c>
      <c r="T276" s="98">
        <f t="shared" si="29"/>
        <v>0</v>
      </c>
      <c r="U276" s="99" t="str">
        <f>IFERROR(VLOOKUP($S276,References!$B$3:$C$8,2,FALSE),"")</f>
        <v/>
      </c>
      <c r="V276" s="99" t="str">
        <f t="shared" si="30"/>
        <v/>
      </c>
      <c r="W276" s="66"/>
    </row>
    <row r="277" spans="1:23">
      <c r="A277" s="95" t="str">
        <f t="shared" si="31"/>
        <v/>
      </c>
      <c r="B277" s="150"/>
      <c r="C277" s="150"/>
      <c r="D277" s="150"/>
      <c r="E277" s="150"/>
      <c r="F277" s="150"/>
      <c r="G277" s="153"/>
      <c r="H277" s="150"/>
      <c r="I277" s="154"/>
      <c r="J277" s="150"/>
      <c r="K277" s="151"/>
      <c r="L277" s="151"/>
      <c r="M277" s="151"/>
      <c r="N277" s="150"/>
      <c r="O277" s="150"/>
      <c r="P277" s="96">
        <f t="shared" si="32"/>
        <v>0</v>
      </c>
      <c r="Q277" s="96"/>
      <c r="R277" s="97">
        <f t="shared" si="33"/>
        <v>0</v>
      </c>
      <c r="T277" s="98">
        <f t="shared" si="29"/>
        <v>0</v>
      </c>
      <c r="U277" s="99" t="str">
        <f>IFERROR(VLOOKUP($S277,References!$B$3:$C$8,2,FALSE),"")</f>
        <v/>
      </c>
      <c r="V277" s="99" t="str">
        <f t="shared" si="30"/>
        <v/>
      </c>
      <c r="W277" s="66"/>
    </row>
    <row r="278" spans="1:23">
      <c r="A278" s="95" t="str">
        <f t="shared" si="31"/>
        <v/>
      </c>
      <c r="B278" s="150"/>
      <c r="C278" s="150"/>
      <c r="D278" s="150"/>
      <c r="E278" s="150"/>
      <c r="F278" s="150"/>
      <c r="G278" s="153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2"/>
        <v>0</v>
      </c>
      <c r="Q278" s="96"/>
      <c r="R278" s="97">
        <f t="shared" si="33"/>
        <v>0</v>
      </c>
      <c r="T278" s="98">
        <f t="shared" si="29"/>
        <v>0</v>
      </c>
      <c r="U278" s="99" t="str">
        <f>IFERROR(VLOOKUP($S278,References!$B$3:$C$8,2,FALSE),"")</f>
        <v/>
      </c>
      <c r="V278" s="99" t="str">
        <f t="shared" si="30"/>
        <v/>
      </c>
      <c r="W278" s="66"/>
    </row>
    <row r="279" spans="1:23">
      <c r="A279" s="95" t="str">
        <f t="shared" si="31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2"/>
        <v>0</v>
      </c>
      <c r="Q279" s="96"/>
      <c r="R279" s="97">
        <f t="shared" si="33"/>
        <v>0</v>
      </c>
      <c r="T279" s="98">
        <f t="shared" si="29"/>
        <v>0</v>
      </c>
      <c r="U279" s="99" t="str">
        <f>IFERROR(VLOOKUP($S279,References!$B$3:$C$8,2,FALSE),"")</f>
        <v/>
      </c>
      <c r="V279" s="99" t="str">
        <f t="shared" si="30"/>
        <v/>
      </c>
      <c r="W279" s="66"/>
    </row>
    <row r="280" spans="1:23">
      <c r="A280" s="95" t="str">
        <f t="shared" si="31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2"/>
        <v>0</v>
      </c>
      <c r="Q280" s="96"/>
      <c r="R280" s="97">
        <f t="shared" si="33"/>
        <v>0</v>
      </c>
      <c r="T280" s="98">
        <f t="shared" si="29"/>
        <v>0</v>
      </c>
      <c r="U280" s="99" t="str">
        <f>IFERROR(VLOOKUP($S280,References!$B$3:$C$8,2,FALSE),"")</f>
        <v/>
      </c>
      <c r="V280" s="99" t="str">
        <f t="shared" si="30"/>
        <v/>
      </c>
      <c r="W280" s="66"/>
    </row>
    <row r="281" spans="1:23">
      <c r="A281" s="95" t="str">
        <f t="shared" si="31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2"/>
        <v>0</v>
      </c>
      <c r="Q281" s="96"/>
      <c r="R281" s="97">
        <f t="shared" si="33"/>
        <v>0</v>
      </c>
      <c r="T281" s="98">
        <f t="shared" si="29"/>
        <v>0</v>
      </c>
      <c r="U281" s="99" t="str">
        <f>IFERROR(VLOOKUP($S281,References!$B$3:$C$8,2,FALSE),"")</f>
        <v/>
      </c>
      <c r="V281" s="99" t="str">
        <f t="shared" si="30"/>
        <v/>
      </c>
      <c r="W281" s="66"/>
    </row>
    <row r="282" spans="1:23">
      <c r="A282" s="95" t="str">
        <f t="shared" si="31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2"/>
        <v>0</v>
      </c>
      <c r="Q282" s="96"/>
      <c r="R282" s="97">
        <f t="shared" si="33"/>
        <v>0</v>
      </c>
      <c r="T282" s="98">
        <f t="shared" si="29"/>
        <v>0</v>
      </c>
      <c r="U282" s="99" t="str">
        <f>IFERROR(VLOOKUP($S282,References!$B$3:$C$8,2,FALSE),"")</f>
        <v/>
      </c>
      <c r="V282" s="99" t="str">
        <f t="shared" si="30"/>
        <v/>
      </c>
      <c r="W282" s="66"/>
    </row>
    <row r="283" spans="1:23">
      <c r="A283" s="95" t="str">
        <f t="shared" si="31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2"/>
        <v>0</v>
      </c>
      <c r="Q283" s="96"/>
      <c r="R283" s="97">
        <f t="shared" si="33"/>
        <v>0</v>
      </c>
      <c r="T283" s="98">
        <f t="shared" si="29"/>
        <v>0</v>
      </c>
      <c r="U283" s="99" t="str">
        <f>IFERROR(VLOOKUP($S283,References!$B$3:$C$8,2,FALSE),"")</f>
        <v/>
      </c>
      <c r="V283" s="99" t="str">
        <f t="shared" si="30"/>
        <v/>
      </c>
      <c r="W283" s="66"/>
    </row>
    <row r="284" spans="1:23">
      <c r="A284" s="95" t="str">
        <f t="shared" si="31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2"/>
        <v>0</v>
      </c>
      <c r="Q284" s="96"/>
      <c r="R284" s="97">
        <f t="shared" si="33"/>
        <v>0</v>
      </c>
      <c r="T284" s="98">
        <f t="shared" si="29"/>
        <v>0</v>
      </c>
      <c r="U284" s="99" t="str">
        <f>IFERROR(VLOOKUP($S284,References!$B$3:$C$8,2,FALSE),"")</f>
        <v/>
      </c>
      <c r="V284" s="99" t="str">
        <f t="shared" si="30"/>
        <v/>
      </c>
      <c r="W284" s="66"/>
    </row>
    <row r="285" spans="1:23">
      <c r="A285" s="95" t="str">
        <f t="shared" si="31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2"/>
        <v>0</v>
      </c>
      <c r="Q285" s="96"/>
      <c r="R285" s="97">
        <f t="shared" si="33"/>
        <v>0</v>
      </c>
      <c r="T285" s="98">
        <f t="shared" si="29"/>
        <v>0</v>
      </c>
      <c r="U285" s="99" t="str">
        <f>IFERROR(VLOOKUP($S285,References!$B$3:$C$8,2,FALSE),"")</f>
        <v/>
      </c>
      <c r="V285" s="99" t="str">
        <f t="shared" si="30"/>
        <v/>
      </c>
      <c r="W285" s="66"/>
    </row>
    <row r="286" spans="1:23">
      <c r="A286" s="95" t="str">
        <f t="shared" si="31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2"/>
        <v>0</v>
      </c>
      <c r="Q286" s="96"/>
      <c r="R286" s="97">
        <f t="shared" si="33"/>
        <v>0</v>
      </c>
      <c r="T286" s="98">
        <f t="shared" si="29"/>
        <v>0</v>
      </c>
      <c r="U286" s="99" t="str">
        <f>IFERROR(VLOOKUP($S286,References!$B$3:$C$8,2,FALSE),"")</f>
        <v/>
      </c>
      <c r="V286" s="99" t="str">
        <f t="shared" si="30"/>
        <v/>
      </c>
      <c r="W286" s="66"/>
    </row>
    <row r="287" spans="1:23">
      <c r="A287" s="95" t="str">
        <f t="shared" si="31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2"/>
        <v>0</v>
      </c>
      <c r="Q287" s="96"/>
      <c r="R287" s="97">
        <f t="shared" si="33"/>
        <v>0</v>
      </c>
      <c r="T287" s="98">
        <f t="shared" si="29"/>
        <v>0</v>
      </c>
      <c r="U287" s="99" t="str">
        <f>IFERROR(VLOOKUP($S287,References!$B$3:$C$8,2,FALSE),"")</f>
        <v/>
      </c>
      <c r="V287" s="99" t="str">
        <f t="shared" si="30"/>
        <v/>
      </c>
      <c r="W287" s="66"/>
    </row>
    <row r="288" spans="1:23">
      <c r="A288" s="95" t="str">
        <f t="shared" si="31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2"/>
        <v>0</v>
      </c>
      <c r="Q288" s="96"/>
      <c r="R288" s="97">
        <f t="shared" si="33"/>
        <v>0</v>
      </c>
      <c r="T288" s="98">
        <f t="shared" si="29"/>
        <v>0</v>
      </c>
      <c r="U288" s="99" t="str">
        <f>IFERROR(VLOOKUP($S288,References!$B$3:$C$8,2,FALSE),"")</f>
        <v/>
      </c>
      <c r="V288" s="99" t="str">
        <f t="shared" si="30"/>
        <v/>
      </c>
      <c r="W288" s="66"/>
    </row>
    <row r="289" spans="1:23">
      <c r="A289" s="95" t="str">
        <f t="shared" si="31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2"/>
        <v>0</v>
      </c>
      <c r="Q289" s="96"/>
      <c r="R289" s="97">
        <f t="shared" si="33"/>
        <v>0</v>
      </c>
      <c r="T289" s="98">
        <f t="shared" si="29"/>
        <v>0</v>
      </c>
      <c r="U289" s="99" t="str">
        <f>IFERROR(VLOOKUP($S289,References!$B$3:$C$8,2,FALSE),"")</f>
        <v/>
      </c>
      <c r="V289" s="99" t="str">
        <f t="shared" si="30"/>
        <v/>
      </c>
      <c r="W289" s="66"/>
    </row>
    <row r="290" spans="1:23">
      <c r="A290" s="95" t="str">
        <f t="shared" si="31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2"/>
        <v>0</v>
      </c>
      <c r="Q290" s="96"/>
      <c r="R290" s="97">
        <f t="shared" si="33"/>
        <v>0</v>
      </c>
      <c r="T290" s="98">
        <f t="shared" si="29"/>
        <v>0</v>
      </c>
      <c r="U290" s="99" t="str">
        <f>IFERROR(VLOOKUP($S290,References!$B$3:$C$8,2,FALSE),"")</f>
        <v/>
      </c>
      <c r="V290" s="99" t="str">
        <f t="shared" si="30"/>
        <v/>
      </c>
      <c r="W290" s="66"/>
    </row>
    <row r="291" spans="1:23">
      <c r="A291" s="95" t="str">
        <f t="shared" si="31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2"/>
        <v>0</v>
      </c>
      <c r="Q291" s="96"/>
      <c r="R291" s="97">
        <f t="shared" si="33"/>
        <v>0</v>
      </c>
      <c r="T291" s="98">
        <f t="shared" si="29"/>
        <v>0</v>
      </c>
      <c r="U291" s="99" t="str">
        <f>IFERROR(VLOOKUP($S291,References!$B$3:$C$8,2,FALSE),"")</f>
        <v/>
      </c>
      <c r="V291" s="99" t="str">
        <f t="shared" si="30"/>
        <v/>
      </c>
      <c r="W291" s="66"/>
    </row>
    <row r="292" spans="1:23">
      <c r="A292" s="95" t="str">
        <f t="shared" si="31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2"/>
        <v>0</v>
      </c>
      <c r="Q292" s="96"/>
      <c r="R292" s="97">
        <f t="shared" si="33"/>
        <v>0</v>
      </c>
      <c r="T292" s="98">
        <f t="shared" si="29"/>
        <v>0</v>
      </c>
      <c r="U292" s="99" t="str">
        <f>IFERROR(VLOOKUP($S292,References!$B$3:$C$8,2,FALSE),"")</f>
        <v/>
      </c>
      <c r="V292" s="99" t="str">
        <f t="shared" si="30"/>
        <v/>
      </c>
      <c r="W292" s="66"/>
    </row>
    <row r="293" spans="1:23">
      <c r="A293" s="95" t="str">
        <f t="shared" si="31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2"/>
        <v>0</v>
      </c>
      <c r="Q293" s="96"/>
      <c r="R293" s="97">
        <f t="shared" si="33"/>
        <v>0</v>
      </c>
      <c r="T293" s="98">
        <f t="shared" si="29"/>
        <v>0</v>
      </c>
      <c r="U293" s="99" t="str">
        <f>IFERROR(VLOOKUP($S293,References!$B$3:$C$8,2,FALSE),"")</f>
        <v/>
      </c>
      <c r="V293" s="99" t="str">
        <f t="shared" si="30"/>
        <v/>
      </c>
      <c r="W293" s="66"/>
    </row>
    <row r="294" spans="1:23">
      <c r="A294" s="95" t="str">
        <f t="shared" si="31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2"/>
        <v>0</v>
      </c>
      <c r="Q294" s="96"/>
      <c r="R294" s="97">
        <f t="shared" si="33"/>
        <v>0</v>
      </c>
      <c r="T294" s="98">
        <f t="shared" si="29"/>
        <v>0</v>
      </c>
      <c r="U294" s="99" t="str">
        <f>IFERROR(VLOOKUP($S294,References!$B$3:$C$8,2,FALSE),"")</f>
        <v/>
      </c>
      <c r="V294" s="99" t="str">
        <f t="shared" si="30"/>
        <v/>
      </c>
      <c r="W294" s="66"/>
    </row>
    <row r="295" spans="1:23">
      <c r="A295" s="95" t="str">
        <f t="shared" si="31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2"/>
        <v>0</v>
      </c>
      <c r="Q295" s="96"/>
      <c r="R295" s="97">
        <f t="shared" si="33"/>
        <v>0</v>
      </c>
      <c r="T295" s="98">
        <f t="shared" si="29"/>
        <v>0</v>
      </c>
      <c r="U295" s="99" t="str">
        <f>IFERROR(VLOOKUP($S295,References!$B$3:$C$8,2,FALSE),"")</f>
        <v/>
      </c>
      <c r="V295" s="99" t="str">
        <f t="shared" si="30"/>
        <v/>
      </c>
      <c r="W295" s="66"/>
    </row>
    <row r="296" spans="1:23">
      <c r="A296" s="95" t="str">
        <f t="shared" si="31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2"/>
        <v>0</v>
      </c>
      <c r="Q296" s="96"/>
      <c r="R296" s="97">
        <f t="shared" si="33"/>
        <v>0</v>
      </c>
      <c r="T296" s="98">
        <f t="shared" si="29"/>
        <v>0</v>
      </c>
      <c r="U296" s="99" t="str">
        <f>IFERROR(VLOOKUP($S296,References!$B$3:$C$8,2,FALSE),"")</f>
        <v/>
      </c>
      <c r="V296" s="99" t="str">
        <f t="shared" si="30"/>
        <v/>
      </c>
      <c r="W296" s="66"/>
    </row>
    <row r="297" spans="1:23">
      <c r="A297" s="95" t="str">
        <f t="shared" si="31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2"/>
        <v>0</v>
      </c>
      <c r="Q297" s="96"/>
      <c r="R297" s="97">
        <f t="shared" si="33"/>
        <v>0</v>
      </c>
      <c r="T297" s="98">
        <f t="shared" si="29"/>
        <v>0</v>
      </c>
      <c r="U297" s="99" t="str">
        <f>IFERROR(VLOOKUP($S297,References!$B$3:$C$8,2,FALSE),"")</f>
        <v/>
      </c>
      <c r="V297" s="99" t="str">
        <f t="shared" si="30"/>
        <v/>
      </c>
      <c r="W297" s="66"/>
    </row>
    <row r="298" spans="1:23">
      <c r="A298" s="95" t="str">
        <f t="shared" si="31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2"/>
        <v>0</v>
      </c>
      <c r="Q298" s="96"/>
      <c r="R298" s="97">
        <f t="shared" si="33"/>
        <v>0</v>
      </c>
      <c r="T298" s="98">
        <f t="shared" si="29"/>
        <v>0</v>
      </c>
      <c r="U298" s="99" t="str">
        <f>IFERROR(VLOOKUP($S298,References!$B$3:$C$8,2,FALSE),"")</f>
        <v/>
      </c>
      <c r="V298" s="99" t="str">
        <f t="shared" si="30"/>
        <v/>
      </c>
      <c r="W298" s="66"/>
    </row>
    <row r="299" spans="1:23">
      <c r="A299" s="95" t="str">
        <f t="shared" si="31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2"/>
        <v>0</v>
      </c>
      <c r="Q299" s="96"/>
      <c r="R299" s="97">
        <f t="shared" si="33"/>
        <v>0</v>
      </c>
      <c r="T299" s="98">
        <f t="shared" si="29"/>
        <v>0</v>
      </c>
      <c r="U299" s="99" t="str">
        <f>IFERROR(VLOOKUP($S299,References!$B$3:$C$8,2,FALSE),"")</f>
        <v/>
      </c>
      <c r="V299" s="99" t="str">
        <f t="shared" si="30"/>
        <v/>
      </c>
      <c r="W299" s="66"/>
    </row>
    <row r="300" spans="1:23">
      <c r="A300" s="95" t="str">
        <f t="shared" si="31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2"/>
        <v>0</v>
      </c>
      <c r="Q300" s="96"/>
      <c r="R300" s="97">
        <f t="shared" si="33"/>
        <v>0</v>
      </c>
      <c r="T300" s="98">
        <f t="shared" si="29"/>
        <v>0</v>
      </c>
      <c r="U300" s="99" t="str">
        <f>IFERROR(VLOOKUP($S300,References!$B$3:$C$8,2,FALSE),"")</f>
        <v/>
      </c>
      <c r="V300" s="99" t="str">
        <f t="shared" si="30"/>
        <v/>
      </c>
      <c r="W300" s="66"/>
    </row>
    <row r="301" spans="1:23">
      <c r="A301" s="95" t="str">
        <f t="shared" si="31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2"/>
        <v>0</v>
      </c>
      <c r="Q301" s="96"/>
      <c r="R301" s="97">
        <f t="shared" si="33"/>
        <v>0</v>
      </c>
      <c r="T301" s="98">
        <f t="shared" si="29"/>
        <v>0</v>
      </c>
      <c r="U301" s="99" t="str">
        <f>IFERROR(VLOOKUP($S301,References!$B$3:$C$8,2,FALSE),"")</f>
        <v/>
      </c>
      <c r="V301" s="99" t="str">
        <f t="shared" si="30"/>
        <v/>
      </c>
      <c r="W301" s="66"/>
    </row>
    <row r="302" spans="1:23">
      <c r="A302" s="95" t="str">
        <f t="shared" si="31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2"/>
        <v>0</v>
      </c>
      <c r="Q302" s="96"/>
      <c r="R302" s="97">
        <f t="shared" si="33"/>
        <v>0</v>
      </c>
      <c r="T302" s="98">
        <f t="shared" si="29"/>
        <v>0</v>
      </c>
      <c r="U302" s="99" t="str">
        <f>IFERROR(VLOOKUP($S302,References!$B$3:$C$8,2,FALSE),"")</f>
        <v/>
      </c>
      <c r="V302" s="99" t="str">
        <f t="shared" si="30"/>
        <v/>
      </c>
      <c r="W302" s="66"/>
    </row>
    <row r="303" spans="1:23" ht="24.6" customHeight="1">
      <c r="A303" s="95" t="str">
        <f t="shared" si="31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2"/>
        <v>0</v>
      </c>
      <c r="Q303" s="96"/>
      <c r="R303" s="97">
        <f t="shared" si="33"/>
        <v>0</v>
      </c>
      <c r="T303" s="98">
        <f t="shared" si="29"/>
        <v>0</v>
      </c>
      <c r="U303" s="99" t="str">
        <f>IFERROR(VLOOKUP($S303,References!$B$3:$C$8,2,FALSE),"")</f>
        <v/>
      </c>
      <c r="V303" s="99" t="str">
        <f t="shared" si="30"/>
        <v/>
      </c>
      <c r="W303" s="66"/>
    </row>
    <row r="304" spans="1:23">
      <c r="A304" s="95" t="str">
        <f t="shared" si="31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2"/>
        <v>0</v>
      </c>
      <c r="Q304" s="96"/>
      <c r="R304" s="97">
        <f t="shared" si="33"/>
        <v>0</v>
      </c>
      <c r="T304" s="98">
        <f t="shared" si="29"/>
        <v>0</v>
      </c>
      <c r="U304" s="99" t="str">
        <f>IFERROR(VLOOKUP($S304,References!$B$3:$C$8,2,FALSE),"")</f>
        <v/>
      </c>
      <c r="V304" s="99" t="str">
        <f t="shared" si="30"/>
        <v/>
      </c>
      <c r="W304" s="66"/>
    </row>
    <row r="305" spans="1:23">
      <c r="A305" s="95" t="str">
        <f t="shared" si="31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2"/>
        <v>0</v>
      </c>
      <c r="Q305" s="96"/>
      <c r="R305" s="97">
        <f t="shared" si="33"/>
        <v>0</v>
      </c>
      <c r="T305" s="98">
        <f t="shared" si="29"/>
        <v>0</v>
      </c>
      <c r="U305" s="99" t="str">
        <f>IFERROR(VLOOKUP($S305,References!$B$3:$C$8,2,FALSE),"")</f>
        <v/>
      </c>
      <c r="V305" s="99" t="str">
        <f t="shared" si="30"/>
        <v/>
      </c>
      <c r="W305" s="66"/>
    </row>
    <row r="306" spans="1:23">
      <c r="A306" s="95" t="str">
        <f t="shared" si="31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2"/>
        <v>0</v>
      </c>
      <c r="Q306" s="96"/>
      <c r="R306" s="97">
        <f t="shared" si="33"/>
        <v>0</v>
      </c>
      <c r="T306" s="98">
        <f t="shared" si="29"/>
        <v>0</v>
      </c>
      <c r="U306" s="99" t="str">
        <f>IFERROR(VLOOKUP($S306,References!$B$3:$C$8,2,FALSE),"")</f>
        <v/>
      </c>
      <c r="V306" s="99" t="str">
        <f t="shared" si="30"/>
        <v/>
      </c>
      <c r="W306" s="66"/>
    </row>
    <row r="307" spans="1:23">
      <c r="A307" s="95" t="str">
        <f t="shared" si="31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2"/>
        <v>0</v>
      </c>
      <c r="Q307" s="96"/>
      <c r="R307" s="97">
        <f t="shared" si="33"/>
        <v>0</v>
      </c>
      <c r="T307" s="98">
        <f t="shared" si="29"/>
        <v>0</v>
      </c>
      <c r="U307" s="99" t="str">
        <f>IFERROR(VLOOKUP($S307,References!$B$3:$C$8,2,FALSE),"")</f>
        <v/>
      </c>
      <c r="V307" s="99" t="str">
        <f t="shared" si="30"/>
        <v/>
      </c>
      <c r="W307" s="66"/>
    </row>
    <row r="308" spans="1:23">
      <c r="A308" s="95" t="str">
        <f t="shared" si="31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2"/>
        <v>0</v>
      </c>
      <c r="Q308" s="96"/>
      <c r="R308" s="97">
        <f t="shared" si="33"/>
        <v>0</v>
      </c>
      <c r="T308" s="98">
        <f t="shared" si="29"/>
        <v>0</v>
      </c>
      <c r="U308" s="99" t="str">
        <f>IFERROR(VLOOKUP($S308,References!$B$3:$C$8,2,FALSE),"")</f>
        <v/>
      </c>
      <c r="V308" s="99" t="str">
        <f t="shared" si="30"/>
        <v/>
      </c>
      <c r="W308" s="66"/>
    </row>
    <row r="309" spans="1:23">
      <c r="A309" s="95" t="str">
        <f t="shared" si="31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2"/>
        <v>0</v>
      </c>
      <c r="Q309" s="96"/>
      <c r="R309" s="97">
        <f t="shared" si="33"/>
        <v>0</v>
      </c>
      <c r="T309" s="98">
        <f t="shared" si="29"/>
        <v>0</v>
      </c>
      <c r="U309" s="99" t="str">
        <f>IFERROR(VLOOKUP($S309,References!$B$3:$C$8,2,FALSE),"")</f>
        <v/>
      </c>
      <c r="V309" s="99" t="str">
        <f t="shared" si="30"/>
        <v/>
      </c>
      <c r="W309" s="66"/>
    </row>
    <row r="310" spans="1:23">
      <c r="A310" s="95" t="str">
        <f t="shared" si="31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2"/>
        <v>0</v>
      </c>
      <c r="Q310" s="96"/>
      <c r="R310" s="97">
        <f t="shared" si="33"/>
        <v>0</v>
      </c>
      <c r="T310" s="98">
        <f t="shared" si="29"/>
        <v>0</v>
      </c>
      <c r="U310" s="99" t="str">
        <f>IFERROR(VLOOKUP($S310,References!$B$3:$C$8,2,FALSE),"")</f>
        <v/>
      </c>
      <c r="V310" s="99" t="str">
        <f t="shared" si="30"/>
        <v/>
      </c>
      <c r="W310" s="66"/>
    </row>
    <row r="311" spans="1:23">
      <c r="A311" s="95" t="str">
        <f t="shared" si="31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2"/>
        <v>0</v>
      </c>
      <c r="Q311" s="96"/>
      <c r="R311" s="97">
        <f t="shared" si="33"/>
        <v>0</v>
      </c>
      <c r="T311" s="98">
        <f t="shared" si="29"/>
        <v>0</v>
      </c>
      <c r="U311" s="99" t="str">
        <f>IFERROR(VLOOKUP($S311,References!$B$3:$C$8,2,FALSE),"")</f>
        <v/>
      </c>
      <c r="V311" s="99" t="str">
        <f t="shared" si="30"/>
        <v/>
      </c>
      <c r="W311" s="66"/>
    </row>
    <row r="312" spans="1:23">
      <c r="A312" s="95" t="str">
        <f t="shared" si="31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2"/>
        <v>0</v>
      </c>
      <c r="Q312" s="96"/>
      <c r="R312" s="97">
        <f t="shared" si="33"/>
        <v>0</v>
      </c>
      <c r="T312" s="98">
        <f t="shared" si="29"/>
        <v>0</v>
      </c>
      <c r="U312" s="99" t="str">
        <f>IFERROR(VLOOKUP($S312,References!$B$3:$C$8,2,FALSE),"")</f>
        <v/>
      </c>
      <c r="V312" s="99" t="str">
        <f t="shared" si="30"/>
        <v/>
      </c>
      <c r="W312" s="66"/>
    </row>
    <row r="313" spans="1:23">
      <c r="A313" s="95" t="str">
        <f t="shared" si="31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2"/>
        <v>0</v>
      </c>
      <c r="Q313" s="96"/>
      <c r="R313" s="97">
        <f t="shared" si="33"/>
        <v>0</v>
      </c>
      <c r="T313" s="98">
        <f t="shared" si="29"/>
        <v>0</v>
      </c>
      <c r="U313" s="99" t="str">
        <f>IFERROR(VLOOKUP($S313,References!$B$3:$C$8,2,FALSE),"")</f>
        <v/>
      </c>
      <c r="V313" s="99" t="str">
        <f t="shared" si="30"/>
        <v/>
      </c>
      <c r="W313" s="66"/>
    </row>
    <row r="314" spans="1:23">
      <c r="A314" s="95" t="str">
        <f t="shared" si="31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2"/>
        <v>0</v>
      </c>
      <c r="Q314" s="96"/>
      <c r="R314" s="97">
        <f t="shared" si="33"/>
        <v>0</v>
      </c>
      <c r="T314" s="98">
        <f t="shared" si="29"/>
        <v>0</v>
      </c>
      <c r="U314" s="99" t="str">
        <f>IFERROR(VLOOKUP($S314,References!$B$3:$C$8,2,FALSE),"")</f>
        <v/>
      </c>
      <c r="V314" s="99" t="str">
        <f t="shared" si="30"/>
        <v/>
      </c>
      <c r="W314" s="66"/>
    </row>
    <row r="315" spans="1:23">
      <c r="A315" s="95" t="str">
        <f t="shared" si="31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2"/>
        <v>0</v>
      </c>
      <c r="Q315" s="96"/>
      <c r="R315" s="97">
        <f t="shared" si="33"/>
        <v>0</v>
      </c>
      <c r="T315" s="98">
        <f t="shared" si="29"/>
        <v>0</v>
      </c>
      <c r="U315" s="99" t="str">
        <f>IFERROR(VLOOKUP($S315,References!$B$3:$C$8,2,FALSE),"")</f>
        <v/>
      </c>
      <c r="V315" s="99" t="str">
        <f t="shared" si="30"/>
        <v/>
      </c>
      <c r="W315" s="66"/>
    </row>
    <row r="316" spans="1:23">
      <c r="A316" s="95" t="str">
        <f t="shared" si="31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2"/>
        <v>0</v>
      </c>
      <c r="Q316" s="96"/>
      <c r="R316" s="97">
        <f t="shared" si="33"/>
        <v>0</v>
      </c>
      <c r="T316" s="98">
        <f t="shared" si="29"/>
        <v>0</v>
      </c>
      <c r="U316" s="99" t="str">
        <f>IFERROR(VLOOKUP($S316,References!$B$3:$C$8,2,FALSE),"")</f>
        <v/>
      </c>
      <c r="V316" s="99" t="str">
        <f t="shared" si="30"/>
        <v/>
      </c>
      <c r="W316" s="66"/>
    </row>
    <row r="317" spans="1:23">
      <c r="A317" s="95" t="str">
        <f t="shared" si="31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2"/>
        <v>0</v>
      </c>
      <c r="Q317" s="96"/>
      <c r="R317" s="97">
        <f t="shared" si="33"/>
        <v>0</v>
      </c>
      <c r="T317" s="98">
        <f t="shared" si="29"/>
        <v>0</v>
      </c>
      <c r="U317" s="99" t="str">
        <f>IFERROR(VLOOKUP($S317,References!$B$3:$C$8,2,FALSE),"")</f>
        <v/>
      </c>
      <c r="V317" s="99" t="str">
        <f t="shared" si="30"/>
        <v/>
      </c>
      <c r="W317" s="66"/>
    </row>
    <row r="318" spans="1:23">
      <c r="A318" s="95" t="str">
        <f t="shared" si="31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2"/>
        <v>0</v>
      </c>
      <c r="Q318" s="96"/>
      <c r="R318" s="97">
        <f t="shared" si="33"/>
        <v>0</v>
      </c>
      <c r="T318" s="98">
        <f t="shared" si="29"/>
        <v>0</v>
      </c>
      <c r="U318" s="99" t="str">
        <f>IFERROR(VLOOKUP($S318,References!$B$3:$C$8,2,FALSE),"")</f>
        <v/>
      </c>
      <c r="V318" s="99" t="str">
        <f t="shared" si="30"/>
        <v/>
      </c>
      <c r="W318" s="66"/>
    </row>
    <row r="319" spans="1:23">
      <c r="A319" s="95" t="str">
        <f t="shared" si="31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2"/>
        <v>0</v>
      </c>
      <c r="Q319" s="96"/>
      <c r="R319" s="97">
        <f t="shared" si="33"/>
        <v>0</v>
      </c>
      <c r="T319" s="98">
        <f t="shared" si="29"/>
        <v>0</v>
      </c>
      <c r="U319" s="99" t="str">
        <f>IFERROR(VLOOKUP($S319,References!$B$3:$C$8,2,FALSE),"")</f>
        <v/>
      </c>
      <c r="V319" s="99" t="str">
        <f t="shared" si="30"/>
        <v/>
      </c>
      <c r="W319" s="66"/>
    </row>
    <row r="320" spans="1:23">
      <c r="A320" s="95" t="str">
        <f t="shared" si="31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2"/>
        <v>0</v>
      </c>
      <c r="Q320" s="96"/>
      <c r="R320" s="97">
        <f t="shared" si="33"/>
        <v>0</v>
      </c>
      <c r="T320" s="98">
        <f t="shared" si="29"/>
        <v>0</v>
      </c>
      <c r="U320" s="99" t="str">
        <f>IFERROR(VLOOKUP($S320,References!$B$3:$C$8,2,FALSE),"")</f>
        <v/>
      </c>
      <c r="V320" s="99" t="str">
        <f t="shared" si="30"/>
        <v/>
      </c>
      <c r="W320" s="66"/>
    </row>
    <row r="321" spans="1:23">
      <c r="A321" s="95" t="str">
        <f t="shared" si="31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2"/>
        <v>0</v>
      </c>
      <c r="Q321" s="96"/>
      <c r="R321" s="97">
        <f t="shared" si="33"/>
        <v>0</v>
      </c>
      <c r="T321" s="98">
        <f t="shared" si="29"/>
        <v>0</v>
      </c>
      <c r="U321" s="99" t="str">
        <f>IFERROR(VLOOKUP($S321,References!$B$3:$C$8,2,FALSE),"")</f>
        <v/>
      </c>
      <c r="V321" s="99" t="str">
        <f t="shared" si="30"/>
        <v/>
      </c>
      <c r="W321" s="66"/>
    </row>
    <row r="322" spans="1:23">
      <c r="A322" s="95" t="str">
        <f t="shared" si="31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2"/>
        <v>0</v>
      </c>
      <c r="Q322" s="96"/>
      <c r="R322" s="97">
        <f t="shared" si="33"/>
        <v>0</v>
      </c>
      <c r="T322" s="98">
        <f t="shared" si="29"/>
        <v>0</v>
      </c>
      <c r="U322" s="99" t="str">
        <f>IFERROR(VLOOKUP($S322,References!$B$3:$C$8,2,FALSE),"")</f>
        <v/>
      </c>
      <c r="V322" s="99" t="str">
        <f t="shared" si="30"/>
        <v/>
      </c>
      <c r="W322" s="66"/>
    </row>
    <row r="323" spans="1:23">
      <c r="A323" s="95" t="str">
        <f t="shared" si="31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2"/>
        <v>0</v>
      </c>
      <c r="Q323" s="96"/>
      <c r="R323" s="97">
        <f t="shared" si="33"/>
        <v>0</v>
      </c>
      <c r="T323" s="98">
        <f t="shared" si="29"/>
        <v>0</v>
      </c>
      <c r="U323" s="99" t="str">
        <f>IFERROR(VLOOKUP($S323,References!$B$3:$C$8,2,FALSE),"")</f>
        <v/>
      </c>
      <c r="V323" s="99" t="str">
        <f t="shared" si="30"/>
        <v/>
      </c>
      <c r="W323" s="66"/>
    </row>
    <row r="324" spans="1:23">
      <c r="A324" s="95" t="str">
        <f t="shared" si="31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2"/>
        <v>0</v>
      </c>
      <c r="Q324" s="96"/>
      <c r="R324" s="97">
        <f t="shared" si="33"/>
        <v>0</v>
      </c>
      <c r="T324" s="98">
        <f t="shared" ref="T324:T387" si="34">IF(S324="50 - Cleaning Fee",1,HOUR($R324)+MINUTE(R324)/60)</f>
        <v>0</v>
      </c>
      <c r="U324" s="99" t="str">
        <f>IFERROR(VLOOKUP($S324,References!$B$3:$C$8,2,FALSE),"")</f>
        <v/>
      </c>
      <c r="V324" s="99" t="str">
        <f t="shared" ref="V324:V387" si="35">IF(T324&gt;=8,400,(IFERROR(T324*U324,"")))</f>
        <v/>
      </c>
      <c r="W324" s="66"/>
    </row>
    <row r="325" spans="1:23">
      <c r="A325" s="95" t="str">
        <f t="shared" si="31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2"/>
        <v>0</v>
      </c>
      <c r="Q325" s="96"/>
      <c r="R325" s="97">
        <f t="shared" si="33"/>
        <v>0</v>
      </c>
      <c r="T325" s="98">
        <f t="shared" si="34"/>
        <v>0</v>
      </c>
      <c r="U325" s="99" t="str">
        <f>IFERROR(VLOOKUP($S325,References!$B$3:$C$8,2,FALSE),"")</f>
        <v/>
      </c>
      <c r="V325" s="99" t="str">
        <f t="shared" si="35"/>
        <v/>
      </c>
      <c r="W325" s="66"/>
    </row>
    <row r="326" spans="1:23">
      <c r="A326" s="95" t="str">
        <f t="shared" si="31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2"/>
        <v>0</v>
      </c>
      <c r="Q326" s="96"/>
      <c r="R326" s="97">
        <f t="shared" si="33"/>
        <v>0</v>
      </c>
      <c r="T326" s="98">
        <f t="shared" si="34"/>
        <v>0</v>
      </c>
      <c r="U326" s="99" t="str">
        <f>IFERROR(VLOOKUP($S326,References!$B$3:$C$8,2,FALSE),"")</f>
        <v/>
      </c>
      <c r="V326" s="99" t="str">
        <f t="shared" si="35"/>
        <v/>
      </c>
      <c r="W326" s="66"/>
    </row>
    <row r="327" spans="1:23">
      <c r="A327" s="95" t="str">
        <f t="shared" si="31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2"/>
        <v>0</v>
      </c>
      <c r="Q327" s="96"/>
      <c r="R327" s="97">
        <f t="shared" si="33"/>
        <v>0</v>
      </c>
      <c r="T327" s="98">
        <f t="shared" si="34"/>
        <v>0</v>
      </c>
      <c r="U327" s="99" t="str">
        <f>IFERROR(VLOOKUP($S327,References!$B$3:$C$8,2,FALSE),"")</f>
        <v/>
      </c>
      <c r="V327" s="99" t="str">
        <f t="shared" si="35"/>
        <v/>
      </c>
      <c r="W327" s="66"/>
    </row>
    <row r="328" spans="1:23">
      <c r="A328" s="95" t="str">
        <f t="shared" si="31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2"/>
        <v>0</v>
      </c>
      <c r="Q328" s="96"/>
      <c r="R328" s="97">
        <f t="shared" si="33"/>
        <v>0</v>
      </c>
      <c r="T328" s="98">
        <f t="shared" si="34"/>
        <v>0</v>
      </c>
      <c r="U328" s="99" t="str">
        <f>IFERROR(VLOOKUP($S328,References!$B$3:$C$8,2,FALSE),"")</f>
        <v/>
      </c>
      <c r="V328" s="99" t="str">
        <f t="shared" si="35"/>
        <v/>
      </c>
      <c r="W328" s="66"/>
    </row>
    <row r="329" spans="1:23">
      <c r="A329" s="95" t="str">
        <f t="shared" si="31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2"/>
        <v>0</v>
      </c>
      <c r="Q329" s="96"/>
      <c r="R329" s="97">
        <f t="shared" si="33"/>
        <v>0</v>
      </c>
      <c r="T329" s="98">
        <f t="shared" si="34"/>
        <v>0</v>
      </c>
      <c r="U329" s="99" t="str">
        <f>IFERROR(VLOOKUP($S329,References!$B$3:$C$8,2,FALSE),"")</f>
        <v/>
      </c>
      <c r="V329" s="99" t="str">
        <f t="shared" si="35"/>
        <v/>
      </c>
      <c r="W329" s="66"/>
    </row>
    <row r="330" spans="1:23">
      <c r="A330" s="95" t="str">
        <f t="shared" si="31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2"/>
        <v>0</v>
      </c>
      <c r="Q330" s="96"/>
      <c r="R330" s="97">
        <f t="shared" si="33"/>
        <v>0</v>
      </c>
      <c r="T330" s="98">
        <f t="shared" si="34"/>
        <v>0</v>
      </c>
      <c r="U330" s="99" t="str">
        <f>IFERROR(VLOOKUP($S330,References!$B$3:$C$8,2,FALSE),"")</f>
        <v/>
      </c>
      <c r="V330" s="99" t="str">
        <f t="shared" si="35"/>
        <v/>
      </c>
      <c r="W330" s="66"/>
    </row>
    <row r="331" spans="1:23">
      <c r="A331" s="95" t="str">
        <f t="shared" si="31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2"/>
        <v>0</v>
      </c>
      <c r="Q331" s="96"/>
      <c r="R331" s="97">
        <f t="shared" si="33"/>
        <v>0</v>
      </c>
      <c r="T331" s="98">
        <f t="shared" si="34"/>
        <v>0</v>
      </c>
      <c r="U331" s="99" t="str">
        <f>IFERROR(VLOOKUP($S331,References!$B$3:$C$8,2,FALSE),"")</f>
        <v/>
      </c>
      <c r="V331" s="99" t="str">
        <f t="shared" si="35"/>
        <v/>
      </c>
      <c r="W331" s="66"/>
    </row>
    <row r="332" spans="1:23">
      <c r="A332" s="95" t="str">
        <f t="shared" si="31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2"/>
        <v>0</v>
      </c>
      <c r="Q332" s="96"/>
      <c r="R332" s="97">
        <f t="shared" si="33"/>
        <v>0</v>
      </c>
      <c r="T332" s="98">
        <f t="shared" si="34"/>
        <v>0</v>
      </c>
      <c r="U332" s="99" t="str">
        <f>IFERROR(VLOOKUP($S332,References!$B$3:$C$8,2,FALSE),"")</f>
        <v/>
      </c>
      <c r="V332" s="99" t="str">
        <f t="shared" si="35"/>
        <v/>
      </c>
      <c r="W332" s="66"/>
    </row>
    <row r="333" spans="1:23">
      <c r="A333" s="95" t="str">
        <f t="shared" si="31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2"/>
        <v>0</v>
      </c>
      <c r="Q333" s="96"/>
      <c r="R333" s="97">
        <f t="shared" si="33"/>
        <v>0</v>
      </c>
      <c r="T333" s="98">
        <f t="shared" si="34"/>
        <v>0</v>
      </c>
      <c r="U333" s="99" t="str">
        <f>IFERROR(VLOOKUP($S333,References!$B$3:$C$8,2,FALSE),"")</f>
        <v/>
      </c>
      <c r="V333" s="99" t="str">
        <f t="shared" si="35"/>
        <v/>
      </c>
      <c r="W333" s="66"/>
    </row>
    <row r="334" spans="1:23">
      <c r="A334" s="95" t="str">
        <f t="shared" si="31"/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si="32"/>
        <v>0</v>
      </c>
      <c r="Q334" s="96"/>
      <c r="R334" s="97">
        <f t="shared" si="33"/>
        <v>0</v>
      </c>
      <c r="T334" s="98">
        <f t="shared" si="34"/>
        <v>0</v>
      </c>
      <c r="U334" s="99" t="str">
        <f>IFERROR(VLOOKUP($S334,References!$B$3:$C$8,2,FALSE),"")</f>
        <v/>
      </c>
      <c r="V334" s="99" t="str">
        <f t="shared" si="35"/>
        <v/>
      </c>
      <c r="W334" s="66"/>
    </row>
    <row r="335" spans="1:23">
      <c r="A335" s="95" t="str">
        <f t="shared" ref="A335:A398" si="36">O335&amp;S335</f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ref="P335:P398" si="37">INT(L335)</f>
        <v>0</v>
      </c>
      <c r="Q335" s="96"/>
      <c r="R335" s="97">
        <f t="shared" ref="R335:R398" si="38">L335-K335</f>
        <v>0</v>
      </c>
      <c r="T335" s="98">
        <f t="shared" si="34"/>
        <v>0</v>
      </c>
      <c r="U335" s="99" t="str">
        <f>IFERROR(VLOOKUP($S335,References!$B$3:$C$8,2,FALSE),"")</f>
        <v/>
      </c>
      <c r="V335" s="99" t="str">
        <f t="shared" si="35"/>
        <v/>
      </c>
      <c r="W335" s="66"/>
    </row>
    <row r="336" spans="1:23">
      <c r="A336" s="95" t="str">
        <f t="shared" si="36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37"/>
        <v>0</v>
      </c>
      <c r="Q336" s="96"/>
      <c r="R336" s="97">
        <f t="shared" si="38"/>
        <v>0</v>
      </c>
      <c r="T336" s="98">
        <f t="shared" si="34"/>
        <v>0</v>
      </c>
      <c r="U336" s="99" t="str">
        <f>IFERROR(VLOOKUP($S336,References!$B$3:$C$8,2,FALSE),"")</f>
        <v/>
      </c>
      <c r="V336" s="99" t="str">
        <f t="shared" si="35"/>
        <v/>
      </c>
      <c r="W336" s="66"/>
    </row>
    <row r="337" spans="1:23">
      <c r="A337" s="95" t="str">
        <f t="shared" si="36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37"/>
        <v>0</v>
      </c>
      <c r="Q337" s="96"/>
      <c r="R337" s="97">
        <f t="shared" si="38"/>
        <v>0</v>
      </c>
      <c r="T337" s="98">
        <f t="shared" si="34"/>
        <v>0</v>
      </c>
      <c r="U337" s="99" t="str">
        <f>IFERROR(VLOOKUP($S337,References!$B$3:$C$8,2,FALSE),"")</f>
        <v/>
      </c>
      <c r="V337" s="99" t="str">
        <f t="shared" si="35"/>
        <v/>
      </c>
      <c r="W337" s="66"/>
    </row>
    <row r="338" spans="1:23">
      <c r="A338" s="95" t="str">
        <f t="shared" si="36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37"/>
        <v>0</v>
      </c>
      <c r="Q338" s="96"/>
      <c r="R338" s="97">
        <f t="shared" si="38"/>
        <v>0</v>
      </c>
      <c r="T338" s="98">
        <f t="shared" si="34"/>
        <v>0</v>
      </c>
      <c r="U338" s="99" t="str">
        <f>IFERROR(VLOOKUP($S338,References!$B$3:$C$8,2,FALSE),"")</f>
        <v/>
      </c>
      <c r="V338" s="99" t="str">
        <f t="shared" si="35"/>
        <v/>
      </c>
      <c r="W338" s="66"/>
    </row>
    <row r="339" spans="1:23">
      <c r="A339" s="95" t="str">
        <f t="shared" si="36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37"/>
        <v>0</v>
      </c>
      <c r="Q339" s="96"/>
      <c r="R339" s="97">
        <f t="shared" si="38"/>
        <v>0</v>
      </c>
      <c r="T339" s="98">
        <f t="shared" si="34"/>
        <v>0</v>
      </c>
      <c r="U339" s="99" t="str">
        <f>IFERROR(VLOOKUP($S339,References!$B$3:$C$8,2,FALSE),"")</f>
        <v/>
      </c>
      <c r="V339" s="99" t="str">
        <f t="shared" si="35"/>
        <v/>
      </c>
      <c r="W339" s="66"/>
    </row>
    <row r="340" spans="1:23">
      <c r="A340" s="95" t="str">
        <f t="shared" si="36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37"/>
        <v>0</v>
      </c>
      <c r="Q340" s="96"/>
      <c r="R340" s="97">
        <f t="shared" si="38"/>
        <v>0</v>
      </c>
      <c r="T340" s="98">
        <f t="shared" si="34"/>
        <v>0</v>
      </c>
      <c r="U340" s="99" t="str">
        <f>IFERROR(VLOOKUP($S340,References!$B$3:$C$8,2,FALSE),"")</f>
        <v/>
      </c>
      <c r="V340" s="99" t="str">
        <f t="shared" si="35"/>
        <v/>
      </c>
      <c r="W340" s="66"/>
    </row>
    <row r="341" spans="1:23">
      <c r="A341" s="95" t="str">
        <f t="shared" si="36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37"/>
        <v>0</v>
      </c>
      <c r="Q341" s="96"/>
      <c r="R341" s="97">
        <f t="shared" si="38"/>
        <v>0</v>
      </c>
      <c r="T341" s="98">
        <f t="shared" si="34"/>
        <v>0</v>
      </c>
      <c r="U341" s="99" t="str">
        <f>IFERROR(VLOOKUP($S341,References!$B$3:$C$8,2,FALSE),"")</f>
        <v/>
      </c>
      <c r="V341" s="99" t="str">
        <f t="shared" si="35"/>
        <v/>
      </c>
      <c r="W341" s="66"/>
    </row>
    <row r="342" spans="1:23">
      <c r="A342" s="95" t="str">
        <f t="shared" si="36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si="37"/>
        <v>0</v>
      </c>
      <c r="Q342" s="96"/>
      <c r="R342" s="97">
        <f t="shared" si="38"/>
        <v>0</v>
      </c>
      <c r="T342" s="98">
        <f t="shared" si="34"/>
        <v>0</v>
      </c>
      <c r="U342" s="99" t="str">
        <f>IFERROR(VLOOKUP($S342,References!$B$3:$C$8,2,FALSE),"")</f>
        <v/>
      </c>
      <c r="V342" s="99" t="str">
        <f t="shared" si="35"/>
        <v/>
      </c>
      <c r="W342" s="66"/>
    </row>
    <row r="343" spans="1:23">
      <c r="A343" s="95" t="str">
        <f t="shared" si="36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37"/>
        <v>0</v>
      </c>
      <c r="Q343" s="96"/>
      <c r="R343" s="97">
        <f t="shared" si="38"/>
        <v>0</v>
      </c>
      <c r="T343" s="98">
        <f t="shared" si="34"/>
        <v>0</v>
      </c>
      <c r="U343" s="99" t="str">
        <f>IFERROR(VLOOKUP($S343,References!$B$3:$C$8,2,FALSE),"")</f>
        <v/>
      </c>
      <c r="V343" s="99" t="str">
        <f t="shared" si="35"/>
        <v/>
      </c>
      <c r="W343" s="66"/>
    </row>
    <row r="344" spans="1:23">
      <c r="A344" s="95" t="str">
        <f t="shared" si="36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37"/>
        <v>0</v>
      </c>
      <c r="Q344" s="96"/>
      <c r="R344" s="97">
        <f t="shared" si="38"/>
        <v>0</v>
      </c>
      <c r="T344" s="98">
        <f t="shared" si="34"/>
        <v>0</v>
      </c>
      <c r="U344" s="99" t="str">
        <f>IFERROR(VLOOKUP($S344,References!$B$3:$C$8,2,FALSE),"")</f>
        <v/>
      </c>
      <c r="V344" s="99" t="str">
        <f t="shared" si="35"/>
        <v/>
      </c>
      <c r="W344" s="66"/>
    </row>
    <row r="345" spans="1:23">
      <c r="A345" s="95" t="str">
        <f t="shared" si="36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37"/>
        <v>0</v>
      </c>
      <c r="Q345" s="96"/>
      <c r="R345" s="97">
        <f t="shared" si="38"/>
        <v>0</v>
      </c>
      <c r="T345" s="98">
        <f t="shared" si="34"/>
        <v>0</v>
      </c>
      <c r="U345" s="99" t="str">
        <f>IFERROR(VLOOKUP($S345,References!$B$3:$C$8,2,FALSE),"")</f>
        <v/>
      </c>
      <c r="V345" s="99" t="str">
        <f t="shared" si="35"/>
        <v/>
      </c>
      <c r="W345" s="66"/>
    </row>
    <row r="346" spans="1:23">
      <c r="A346" s="95" t="str">
        <f t="shared" si="36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37"/>
        <v>0</v>
      </c>
      <c r="Q346" s="96"/>
      <c r="R346" s="97">
        <f t="shared" si="38"/>
        <v>0</v>
      </c>
      <c r="T346" s="98">
        <f t="shared" si="34"/>
        <v>0</v>
      </c>
      <c r="U346" s="99" t="str">
        <f>IFERROR(VLOOKUP($S346,References!$B$3:$C$8,2,FALSE),"")</f>
        <v/>
      </c>
      <c r="V346" s="99" t="str">
        <f t="shared" si="35"/>
        <v/>
      </c>
      <c r="W346" s="66"/>
    </row>
    <row r="347" spans="1:23">
      <c r="A347" s="95" t="str">
        <f t="shared" si="36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37"/>
        <v>0</v>
      </c>
      <c r="Q347" s="96"/>
      <c r="R347" s="97">
        <f t="shared" si="38"/>
        <v>0</v>
      </c>
      <c r="T347" s="98">
        <f t="shared" si="34"/>
        <v>0</v>
      </c>
      <c r="U347" s="99" t="str">
        <f>IFERROR(VLOOKUP($S347,References!$B$3:$C$8,2,FALSE),"")</f>
        <v/>
      </c>
      <c r="V347" s="99" t="str">
        <f t="shared" si="35"/>
        <v/>
      </c>
      <c r="W347" s="66"/>
    </row>
    <row r="348" spans="1:23">
      <c r="A348" s="95" t="str">
        <f t="shared" si="36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37"/>
        <v>0</v>
      </c>
      <c r="Q348" s="96"/>
      <c r="R348" s="97">
        <f t="shared" si="38"/>
        <v>0</v>
      </c>
      <c r="T348" s="98">
        <f t="shared" si="34"/>
        <v>0</v>
      </c>
      <c r="U348" s="99" t="str">
        <f>IFERROR(VLOOKUP($S348,References!$B$3:$C$8,2,FALSE),"")</f>
        <v/>
      </c>
      <c r="V348" s="99" t="str">
        <f t="shared" si="35"/>
        <v/>
      </c>
      <c r="W348" s="66"/>
    </row>
    <row r="349" spans="1:23">
      <c r="A349" s="95" t="str">
        <f t="shared" si="36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37"/>
        <v>0</v>
      </c>
      <c r="Q349" s="96"/>
      <c r="R349" s="97">
        <f t="shared" si="38"/>
        <v>0</v>
      </c>
      <c r="T349" s="98">
        <f t="shared" si="34"/>
        <v>0</v>
      </c>
      <c r="U349" s="99" t="str">
        <f>IFERROR(VLOOKUP($S349,References!$B$3:$C$8,2,FALSE),"")</f>
        <v/>
      </c>
      <c r="V349" s="99" t="str">
        <f t="shared" si="35"/>
        <v/>
      </c>
      <c r="W349" s="66"/>
    </row>
    <row r="350" spans="1:23">
      <c r="A350" s="95" t="str">
        <f t="shared" si="36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37"/>
        <v>0</v>
      </c>
      <c r="Q350" s="96"/>
      <c r="R350" s="97">
        <f t="shared" si="38"/>
        <v>0</v>
      </c>
      <c r="T350" s="98">
        <f t="shared" si="34"/>
        <v>0</v>
      </c>
      <c r="U350" s="99" t="str">
        <f>IFERROR(VLOOKUP($S350,References!$B$3:$C$8,2,FALSE),"")</f>
        <v/>
      </c>
      <c r="V350" s="99" t="str">
        <f t="shared" si="35"/>
        <v/>
      </c>
      <c r="W350" s="66"/>
    </row>
    <row r="351" spans="1:23">
      <c r="A351" s="95" t="str">
        <f t="shared" si="36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37"/>
        <v>0</v>
      </c>
      <c r="Q351" s="96"/>
      <c r="R351" s="97">
        <f t="shared" si="38"/>
        <v>0</v>
      </c>
      <c r="T351" s="98">
        <f t="shared" si="34"/>
        <v>0</v>
      </c>
      <c r="U351" s="99" t="str">
        <f>IFERROR(VLOOKUP($S351,References!$B$3:$C$8,2,FALSE),"")</f>
        <v/>
      </c>
      <c r="V351" s="99" t="str">
        <f t="shared" si="35"/>
        <v/>
      </c>
      <c r="W351" s="66"/>
    </row>
    <row r="352" spans="1:23">
      <c r="A352" s="95" t="str">
        <f t="shared" si="36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37"/>
        <v>0</v>
      </c>
      <c r="Q352" s="96"/>
      <c r="R352" s="97">
        <f t="shared" si="38"/>
        <v>0</v>
      </c>
      <c r="T352" s="98">
        <f t="shared" si="34"/>
        <v>0</v>
      </c>
      <c r="U352" s="99" t="str">
        <f>IFERROR(VLOOKUP($S352,References!$B$3:$C$8,2,FALSE),"")</f>
        <v/>
      </c>
      <c r="V352" s="99" t="str">
        <f t="shared" si="35"/>
        <v/>
      </c>
      <c r="W352" s="66"/>
    </row>
    <row r="353" spans="1:23">
      <c r="A353" s="95" t="str">
        <f t="shared" si="36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37"/>
        <v>0</v>
      </c>
      <c r="Q353" s="96"/>
      <c r="R353" s="97">
        <f t="shared" si="38"/>
        <v>0</v>
      </c>
      <c r="T353" s="98">
        <f t="shared" si="34"/>
        <v>0</v>
      </c>
      <c r="U353" s="99" t="str">
        <f>IFERROR(VLOOKUP($S353,References!$B$3:$C$8,2,FALSE),"")</f>
        <v/>
      </c>
      <c r="V353" s="99" t="str">
        <f t="shared" si="35"/>
        <v/>
      </c>
      <c r="W353" s="66"/>
    </row>
    <row r="354" spans="1:23">
      <c r="A354" s="95" t="str">
        <f t="shared" si="36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37"/>
        <v>0</v>
      </c>
      <c r="Q354" s="96"/>
      <c r="R354" s="97">
        <f t="shared" si="38"/>
        <v>0</v>
      </c>
      <c r="T354" s="98">
        <f t="shared" si="34"/>
        <v>0</v>
      </c>
      <c r="U354" s="99" t="str">
        <f>IFERROR(VLOOKUP($S354,References!$B$3:$C$8,2,FALSE),"")</f>
        <v/>
      </c>
      <c r="V354" s="99" t="str">
        <f t="shared" si="35"/>
        <v/>
      </c>
      <c r="W354" s="66"/>
    </row>
    <row r="355" spans="1:23">
      <c r="A355" s="95" t="str">
        <f t="shared" si="36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37"/>
        <v>0</v>
      </c>
      <c r="Q355" s="96"/>
      <c r="R355" s="97">
        <f t="shared" si="38"/>
        <v>0</v>
      </c>
      <c r="T355" s="98">
        <f t="shared" si="34"/>
        <v>0</v>
      </c>
      <c r="U355" s="99" t="str">
        <f>IFERROR(VLOOKUP($S355,References!$B$3:$C$8,2,FALSE),"")</f>
        <v/>
      </c>
      <c r="V355" s="99" t="str">
        <f t="shared" si="35"/>
        <v/>
      </c>
      <c r="W355" s="66"/>
    </row>
    <row r="356" spans="1:23">
      <c r="A356" s="95" t="str">
        <f t="shared" si="36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37"/>
        <v>0</v>
      </c>
      <c r="Q356" s="96"/>
      <c r="R356" s="97">
        <f t="shared" si="38"/>
        <v>0</v>
      </c>
      <c r="T356" s="98">
        <f t="shared" si="34"/>
        <v>0</v>
      </c>
      <c r="U356" s="99" t="str">
        <f>IFERROR(VLOOKUP($S356,References!$B$3:$C$8,2,FALSE),"")</f>
        <v/>
      </c>
      <c r="V356" s="99" t="str">
        <f t="shared" si="35"/>
        <v/>
      </c>
      <c r="W356" s="66"/>
    </row>
    <row r="357" spans="1:23">
      <c r="A357" s="95" t="str">
        <f t="shared" si="36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37"/>
        <v>0</v>
      </c>
      <c r="Q357" s="96"/>
      <c r="R357" s="97">
        <f t="shared" si="38"/>
        <v>0</v>
      </c>
      <c r="T357" s="98">
        <f t="shared" si="34"/>
        <v>0</v>
      </c>
      <c r="U357" s="99" t="str">
        <f>IFERROR(VLOOKUP($S357,References!$B$3:$C$8,2,FALSE),"")</f>
        <v/>
      </c>
      <c r="V357" s="99" t="str">
        <f t="shared" si="35"/>
        <v/>
      </c>
      <c r="W357" s="66"/>
    </row>
    <row r="358" spans="1:23">
      <c r="A358" s="95" t="str">
        <f t="shared" si="36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37"/>
        <v>0</v>
      </c>
      <c r="Q358" s="96"/>
      <c r="R358" s="97">
        <f t="shared" si="38"/>
        <v>0</v>
      </c>
      <c r="T358" s="98">
        <f t="shared" si="34"/>
        <v>0</v>
      </c>
      <c r="U358" s="99" t="str">
        <f>IFERROR(VLOOKUP($S358,References!$B$3:$C$8,2,FALSE),"")</f>
        <v/>
      </c>
      <c r="V358" s="99" t="str">
        <f t="shared" si="35"/>
        <v/>
      </c>
      <c r="W358" s="66"/>
    </row>
    <row r="359" spans="1:23">
      <c r="A359" s="95" t="str">
        <f t="shared" si="36"/>
        <v/>
      </c>
      <c r="B359" s="150"/>
      <c r="C359" s="150"/>
      <c r="D359" s="150"/>
      <c r="E359" s="150"/>
      <c r="F359" s="150"/>
      <c r="G359" s="150"/>
      <c r="H359" s="150"/>
      <c r="I359" s="150"/>
      <c r="J359" s="150"/>
      <c r="K359" s="151"/>
      <c r="L359" s="151"/>
      <c r="M359" s="151"/>
      <c r="N359" s="150"/>
      <c r="O359" s="150"/>
      <c r="P359" s="96">
        <f t="shared" si="37"/>
        <v>0</v>
      </c>
      <c r="Q359" s="96"/>
      <c r="R359" s="97">
        <f t="shared" si="38"/>
        <v>0</v>
      </c>
      <c r="T359" s="98">
        <f t="shared" si="34"/>
        <v>0</v>
      </c>
      <c r="U359" s="99" t="str">
        <f>IFERROR(VLOOKUP($S359,References!$B$3:$C$8,2,FALSE),"")</f>
        <v/>
      </c>
      <c r="V359" s="99" t="str">
        <f t="shared" si="35"/>
        <v/>
      </c>
      <c r="W359" s="66"/>
    </row>
    <row r="360" spans="1:23">
      <c r="A360" s="95" t="str">
        <f t="shared" si="36"/>
        <v/>
      </c>
      <c r="B360" s="150"/>
      <c r="C360" s="150"/>
      <c r="D360" s="150"/>
      <c r="E360" s="150"/>
      <c r="F360" s="150"/>
      <c r="G360" s="150"/>
      <c r="H360" s="150"/>
      <c r="I360" s="154"/>
      <c r="J360" s="150"/>
      <c r="K360" s="151"/>
      <c r="L360" s="151"/>
      <c r="M360" s="151"/>
      <c r="N360" s="150"/>
      <c r="O360" s="150"/>
      <c r="P360" s="96">
        <f t="shared" si="37"/>
        <v>0</v>
      </c>
      <c r="Q360" s="96"/>
      <c r="R360" s="97">
        <f t="shared" si="38"/>
        <v>0</v>
      </c>
      <c r="T360" s="98">
        <f t="shared" si="34"/>
        <v>0</v>
      </c>
      <c r="U360" s="99" t="str">
        <f>IFERROR(VLOOKUP($S360,References!$B$3:$C$8,2,FALSE),"")</f>
        <v/>
      </c>
      <c r="V360" s="99" t="str">
        <f t="shared" si="35"/>
        <v/>
      </c>
      <c r="W360" s="66"/>
    </row>
    <row r="361" spans="1:23">
      <c r="A361" s="95" t="str">
        <f t="shared" si="36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37"/>
        <v>0</v>
      </c>
      <c r="Q361" s="96"/>
      <c r="R361" s="97">
        <f t="shared" si="38"/>
        <v>0</v>
      </c>
      <c r="T361" s="98">
        <f t="shared" si="34"/>
        <v>0</v>
      </c>
      <c r="U361" s="99" t="str">
        <f>IFERROR(VLOOKUP($S361,References!$B$3:$C$8,2,FALSE),"")</f>
        <v/>
      </c>
      <c r="V361" s="99" t="str">
        <f t="shared" si="35"/>
        <v/>
      </c>
      <c r="W361" s="66"/>
    </row>
    <row r="362" spans="1:23">
      <c r="A362" s="95" t="str">
        <f t="shared" si="36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37"/>
        <v>0</v>
      </c>
      <c r="Q362" s="96"/>
      <c r="R362" s="97">
        <f t="shared" si="38"/>
        <v>0</v>
      </c>
      <c r="T362" s="98">
        <f t="shared" si="34"/>
        <v>0</v>
      </c>
      <c r="U362" s="99" t="str">
        <f>IFERROR(VLOOKUP($S362,References!$B$3:$C$8,2,FALSE),"")</f>
        <v/>
      </c>
      <c r="V362" s="99" t="str">
        <f t="shared" si="35"/>
        <v/>
      </c>
      <c r="W362" s="66"/>
    </row>
    <row r="363" spans="1:23">
      <c r="A363" s="95" t="str">
        <f t="shared" si="36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37"/>
        <v>0</v>
      </c>
      <c r="Q363" s="96"/>
      <c r="R363" s="97">
        <f t="shared" si="38"/>
        <v>0</v>
      </c>
      <c r="T363" s="98">
        <f t="shared" si="34"/>
        <v>0</v>
      </c>
      <c r="U363" s="99" t="str">
        <f>IFERROR(VLOOKUP($S363,References!$B$3:$C$8,2,FALSE),"")</f>
        <v/>
      </c>
      <c r="V363" s="99" t="str">
        <f t="shared" si="35"/>
        <v/>
      </c>
      <c r="W363" s="66"/>
    </row>
    <row r="364" spans="1:23">
      <c r="A364" s="95" t="str">
        <f t="shared" si="36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37"/>
        <v>0</v>
      </c>
      <c r="Q364" s="96"/>
      <c r="R364" s="97">
        <f t="shared" si="38"/>
        <v>0</v>
      </c>
      <c r="T364" s="98">
        <f t="shared" si="34"/>
        <v>0</v>
      </c>
      <c r="U364" s="99" t="str">
        <f>IFERROR(VLOOKUP($S364,References!$B$3:$C$8,2,FALSE),"")</f>
        <v/>
      </c>
      <c r="V364" s="99" t="str">
        <f t="shared" si="35"/>
        <v/>
      </c>
      <c r="W364" s="66"/>
    </row>
    <row r="365" spans="1:23">
      <c r="A365" s="95" t="str">
        <f t="shared" si="36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37"/>
        <v>0</v>
      </c>
      <c r="Q365" s="96"/>
      <c r="R365" s="97">
        <f t="shared" si="38"/>
        <v>0</v>
      </c>
      <c r="T365" s="98">
        <f t="shared" si="34"/>
        <v>0</v>
      </c>
      <c r="U365" s="99" t="str">
        <f>IFERROR(VLOOKUP($S365,References!$B$3:$C$8,2,FALSE),"")</f>
        <v/>
      </c>
      <c r="V365" s="99" t="str">
        <f t="shared" si="35"/>
        <v/>
      </c>
      <c r="W365" s="66"/>
    </row>
    <row r="366" spans="1:23">
      <c r="A366" s="95" t="str">
        <f t="shared" si="36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37"/>
        <v>0</v>
      </c>
      <c r="Q366" s="96"/>
      <c r="R366" s="97">
        <f t="shared" si="38"/>
        <v>0</v>
      </c>
      <c r="T366" s="98">
        <f t="shared" si="34"/>
        <v>0</v>
      </c>
      <c r="U366" s="99" t="str">
        <f>IFERROR(VLOOKUP($S366,References!$B$3:$C$8,2,FALSE),"")</f>
        <v/>
      </c>
      <c r="V366" s="99" t="str">
        <f t="shared" si="35"/>
        <v/>
      </c>
      <c r="W366" s="66"/>
    </row>
    <row r="367" spans="1:23">
      <c r="A367" s="95" t="str">
        <f t="shared" si="36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37"/>
        <v>0</v>
      </c>
      <c r="Q367" s="96"/>
      <c r="R367" s="97">
        <f t="shared" si="38"/>
        <v>0</v>
      </c>
      <c r="T367" s="98">
        <f t="shared" si="34"/>
        <v>0</v>
      </c>
      <c r="U367" s="99" t="str">
        <f>IFERROR(VLOOKUP($S367,References!$B$3:$C$8,2,FALSE),"")</f>
        <v/>
      </c>
      <c r="V367" s="99" t="str">
        <f t="shared" si="35"/>
        <v/>
      </c>
      <c r="W367" s="66"/>
    </row>
    <row r="368" spans="1:23">
      <c r="A368" s="95" t="str">
        <f t="shared" si="36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37"/>
        <v>0</v>
      </c>
      <c r="Q368" s="96"/>
      <c r="R368" s="97">
        <f t="shared" si="38"/>
        <v>0</v>
      </c>
      <c r="T368" s="98">
        <f t="shared" si="34"/>
        <v>0</v>
      </c>
      <c r="U368" s="99" t="str">
        <f>IFERROR(VLOOKUP($S368,References!$B$3:$C$8,2,FALSE),"")</f>
        <v/>
      </c>
      <c r="V368" s="99" t="str">
        <f t="shared" si="35"/>
        <v/>
      </c>
      <c r="W368" s="66"/>
    </row>
    <row r="369" spans="1:23">
      <c r="A369" s="95" t="str">
        <f t="shared" si="36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37"/>
        <v>0</v>
      </c>
      <c r="Q369" s="96"/>
      <c r="R369" s="97">
        <f t="shared" si="38"/>
        <v>0</v>
      </c>
      <c r="T369" s="98">
        <f t="shared" si="34"/>
        <v>0</v>
      </c>
      <c r="U369" s="99" t="str">
        <f>IFERROR(VLOOKUP($S369,References!$B$3:$C$8,2,FALSE),"")</f>
        <v/>
      </c>
      <c r="V369" s="99" t="str">
        <f t="shared" si="35"/>
        <v/>
      </c>
      <c r="W369" s="66"/>
    </row>
    <row r="370" spans="1:23">
      <c r="A370" s="95" t="str">
        <f t="shared" si="36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37"/>
        <v>0</v>
      </c>
      <c r="Q370" s="96"/>
      <c r="R370" s="97">
        <f t="shared" si="38"/>
        <v>0</v>
      </c>
      <c r="T370" s="98">
        <f t="shared" si="34"/>
        <v>0</v>
      </c>
      <c r="U370" s="99" t="str">
        <f>IFERROR(VLOOKUP($S370,References!$B$3:$C$8,2,FALSE),"")</f>
        <v/>
      </c>
      <c r="V370" s="99" t="str">
        <f t="shared" si="35"/>
        <v/>
      </c>
      <c r="W370" s="66"/>
    </row>
    <row r="371" spans="1:23">
      <c r="A371" s="95" t="str">
        <f t="shared" si="36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37"/>
        <v>0</v>
      </c>
      <c r="Q371" s="96"/>
      <c r="R371" s="97">
        <f t="shared" si="38"/>
        <v>0</v>
      </c>
      <c r="T371" s="98">
        <f t="shared" si="34"/>
        <v>0</v>
      </c>
      <c r="U371" s="99" t="str">
        <f>IFERROR(VLOOKUP($S371,References!$B$3:$C$8,2,FALSE),"")</f>
        <v/>
      </c>
      <c r="V371" s="99" t="str">
        <f t="shared" si="35"/>
        <v/>
      </c>
      <c r="W371" s="66"/>
    </row>
    <row r="372" spans="1:23">
      <c r="A372" s="95" t="str">
        <f t="shared" si="36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37"/>
        <v>0</v>
      </c>
      <c r="Q372" s="96"/>
      <c r="R372" s="97">
        <f t="shared" si="38"/>
        <v>0</v>
      </c>
      <c r="T372" s="98">
        <f t="shared" si="34"/>
        <v>0</v>
      </c>
      <c r="U372" s="99" t="str">
        <f>IFERROR(VLOOKUP($S372,References!$B$3:$C$8,2,FALSE),"")</f>
        <v/>
      </c>
      <c r="V372" s="99" t="str">
        <f t="shared" si="35"/>
        <v/>
      </c>
      <c r="W372" s="66"/>
    </row>
    <row r="373" spans="1:23">
      <c r="A373" s="95" t="str">
        <f t="shared" si="36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37"/>
        <v>0</v>
      </c>
      <c r="Q373" s="96"/>
      <c r="R373" s="97">
        <f t="shared" si="38"/>
        <v>0</v>
      </c>
      <c r="T373" s="98">
        <f t="shared" si="34"/>
        <v>0</v>
      </c>
      <c r="U373" s="99" t="str">
        <f>IFERROR(VLOOKUP($S373,References!$B$3:$C$8,2,FALSE),"")</f>
        <v/>
      </c>
      <c r="V373" s="99" t="str">
        <f t="shared" si="35"/>
        <v/>
      </c>
      <c r="W373" s="66"/>
    </row>
    <row r="374" spans="1:23">
      <c r="A374" s="95" t="str">
        <f t="shared" si="36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37"/>
        <v>0</v>
      </c>
      <c r="Q374" s="96"/>
      <c r="R374" s="97">
        <f t="shared" si="38"/>
        <v>0</v>
      </c>
      <c r="T374" s="98">
        <f t="shared" si="34"/>
        <v>0</v>
      </c>
      <c r="U374" s="99" t="str">
        <f>IFERROR(VLOOKUP($S374,References!$B$3:$C$8,2,FALSE),"")</f>
        <v/>
      </c>
      <c r="V374" s="99" t="str">
        <f t="shared" si="35"/>
        <v/>
      </c>
      <c r="W374" s="66"/>
    </row>
    <row r="375" spans="1:23">
      <c r="A375" s="95" t="str">
        <f t="shared" si="36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37"/>
        <v>0</v>
      </c>
      <c r="Q375" s="96"/>
      <c r="R375" s="97">
        <f t="shared" si="38"/>
        <v>0</v>
      </c>
      <c r="T375" s="98">
        <f t="shared" si="34"/>
        <v>0</v>
      </c>
      <c r="U375" s="99" t="str">
        <f>IFERROR(VLOOKUP($S375,References!$B$3:$C$8,2,FALSE),"")</f>
        <v/>
      </c>
      <c r="V375" s="99" t="str">
        <f t="shared" si="35"/>
        <v/>
      </c>
      <c r="W375" s="66"/>
    </row>
    <row r="376" spans="1:23">
      <c r="A376" s="95" t="str">
        <f t="shared" si="36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37"/>
        <v>0</v>
      </c>
      <c r="Q376" s="96"/>
      <c r="R376" s="97">
        <f t="shared" si="38"/>
        <v>0</v>
      </c>
      <c r="T376" s="98">
        <f t="shared" si="34"/>
        <v>0</v>
      </c>
      <c r="U376" s="99" t="str">
        <f>IFERROR(VLOOKUP($S376,References!$B$3:$C$8,2,FALSE),"")</f>
        <v/>
      </c>
      <c r="V376" s="99" t="str">
        <f t="shared" si="35"/>
        <v/>
      </c>
      <c r="W376" s="66"/>
    </row>
    <row r="377" spans="1:23">
      <c r="A377" s="95" t="str">
        <f t="shared" si="36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37"/>
        <v>0</v>
      </c>
      <c r="Q377" s="96"/>
      <c r="R377" s="97">
        <f t="shared" si="38"/>
        <v>0</v>
      </c>
      <c r="T377" s="98">
        <f t="shared" si="34"/>
        <v>0</v>
      </c>
      <c r="U377" s="99" t="str">
        <f>IFERROR(VLOOKUP($S377,References!$B$3:$C$8,2,FALSE),"")</f>
        <v/>
      </c>
      <c r="V377" s="99" t="str">
        <f t="shared" si="35"/>
        <v/>
      </c>
      <c r="W377" s="66"/>
    </row>
    <row r="378" spans="1:23">
      <c r="A378" s="95" t="str">
        <f t="shared" si="36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37"/>
        <v>0</v>
      </c>
      <c r="Q378" s="96"/>
      <c r="R378" s="97">
        <f t="shared" si="38"/>
        <v>0</v>
      </c>
      <c r="T378" s="98">
        <f t="shared" si="34"/>
        <v>0</v>
      </c>
      <c r="U378" s="99" t="str">
        <f>IFERROR(VLOOKUP($S378,References!$B$3:$C$8,2,FALSE),"")</f>
        <v/>
      </c>
      <c r="V378" s="99" t="str">
        <f t="shared" si="35"/>
        <v/>
      </c>
      <c r="W378" s="66"/>
    </row>
    <row r="379" spans="1:23">
      <c r="A379" s="95" t="str">
        <f t="shared" si="36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37"/>
        <v>0</v>
      </c>
      <c r="Q379" s="103"/>
      <c r="R379" s="97">
        <f t="shared" si="38"/>
        <v>0</v>
      </c>
      <c r="T379" s="98">
        <f t="shared" si="34"/>
        <v>0</v>
      </c>
      <c r="U379" s="99" t="str">
        <f>IFERROR(VLOOKUP($S379,References!$B$3:$C$8,2,FALSE),"")</f>
        <v/>
      </c>
      <c r="V379" s="99" t="str">
        <f t="shared" si="35"/>
        <v/>
      </c>
      <c r="W379" s="66"/>
    </row>
    <row r="380" spans="1:23">
      <c r="A380" s="95" t="str">
        <f t="shared" si="36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37"/>
        <v>0</v>
      </c>
      <c r="Q380" s="103"/>
      <c r="R380" s="97">
        <f t="shared" si="38"/>
        <v>0</v>
      </c>
      <c r="T380" s="98">
        <f t="shared" si="34"/>
        <v>0</v>
      </c>
      <c r="U380" s="99" t="str">
        <f>IFERROR(VLOOKUP($S380,References!$B$3:$C$8,2,FALSE),"")</f>
        <v/>
      </c>
      <c r="V380" s="99" t="str">
        <f t="shared" si="35"/>
        <v/>
      </c>
      <c r="W380" s="66"/>
    </row>
    <row r="381" spans="1:23">
      <c r="A381" s="95" t="str">
        <f t="shared" si="36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37"/>
        <v>0</v>
      </c>
      <c r="Q381" s="96"/>
      <c r="R381" s="97">
        <f t="shared" si="38"/>
        <v>0</v>
      </c>
      <c r="T381" s="98">
        <f t="shared" si="34"/>
        <v>0</v>
      </c>
      <c r="U381" s="99" t="str">
        <f>IFERROR(VLOOKUP($S381,References!$B$3:$C$8,2,FALSE),"")</f>
        <v/>
      </c>
      <c r="V381" s="99" t="str">
        <f t="shared" si="35"/>
        <v/>
      </c>
      <c r="W381" s="66"/>
    </row>
    <row r="382" spans="1:23">
      <c r="A382" s="95" t="str">
        <f t="shared" si="36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37"/>
        <v>0</v>
      </c>
      <c r="Q382" s="96"/>
      <c r="R382" s="97">
        <f t="shared" si="38"/>
        <v>0</v>
      </c>
      <c r="T382" s="98">
        <f t="shared" si="34"/>
        <v>0</v>
      </c>
      <c r="U382" s="99" t="str">
        <f>IFERROR(VLOOKUP($S382,References!$B$3:$C$8,2,FALSE),"")</f>
        <v/>
      </c>
      <c r="V382" s="99" t="str">
        <f t="shared" si="35"/>
        <v/>
      </c>
      <c r="W382" s="66"/>
    </row>
    <row r="383" spans="1:23">
      <c r="A383" s="95" t="str">
        <f t="shared" si="36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37"/>
        <v>0</v>
      </c>
      <c r="Q383" s="96"/>
      <c r="R383" s="97">
        <f t="shared" si="38"/>
        <v>0</v>
      </c>
      <c r="T383" s="98">
        <f t="shared" si="34"/>
        <v>0</v>
      </c>
      <c r="U383" s="99" t="str">
        <f>IFERROR(VLOOKUP($S383,References!$B$3:$C$8,2,FALSE),"")</f>
        <v/>
      </c>
      <c r="V383" s="99" t="str">
        <f t="shared" si="35"/>
        <v/>
      </c>
      <c r="W383" s="66"/>
    </row>
    <row r="384" spans="1:23">
      <c r="A384" s="95" t="str">
        <f t="shared" si="36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37"/>
        <v>0</v>
      </c>
      <c r="Q384" s="96"/>
      <c r="R384" s="97">
        <f t="shared" si="38"/>
        <v>0</v>
      </c>
      <c r="T384" s="98">
        <f t="shared" si="34"/>
        <v>0</v>
      </c>
      <c r="U384" s="99" t="str">
        <f>IFERROR(VLOOKUP($S384,References!$B$3:$C$8,2,FALSE),"")</f>
        <v/>
      </c>
      <c r="V384" s="99" t="str">
        <f t="shared" si="35"/>
        <v/>
      </c>
      <c r="W384" s="66"/>
    </row>
    <row r="385" spans="1:23">
      <c r="A385" s="95" t="str">
        <f t="shared" si="36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37"/>
        <v>0</v>
      </c>
      <c r="Q385" s="96"/>
      <c r="R385" s="97">
        <f t="shared" si="38"/>
        <v>0</v>
      </c>
      <c r="T385" s="98">
        <f t="shared" si="34"/>
        <v>0</v>
      </c>
      <c r="U385" s="99" t="str">
        <f>IFERROR(VLOOKUP($S385,References!$B$3:$C$8,2,FALSE),"")</f>
        <v/>
      </c>
      <c r="V385" s="99" t="str">
        <f t="shared" si="35"/>
        <v/>
      </c>
      <c r="W385" s="66"/>
    </row>
    <row r="386" spans="1:23">
      <c r="A386" s="95" t="str">
        <f t="shared" si="36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37"/>
        <v>0</v>
      </c>
      <c r="Q386" s="96"/>
      <c r="R386" s="97">
        <f t="shared" si="38"/>
        <v>0</v>
      </c>
      <c r="T386" s="98">
        <f t="shared" si="34"/>
        <v>0</v>
      </c>
      <c r="U386" s="99" t="str">
        <f>IFERROR(VLOOKUP($S386,References!$B$3:$C$8,2,FALSE),"")</f>
        <v/>
      </c>
      <c r="V386" s="99" t="str">
        <f t="shared" si="35"/>
        <v/>
      </c>
      <c r="W386" s="66"/>
    </row>
    <row r="387" spans="1:23">
      <c r="A387" s="95" t="str">
        <f t="shared" si="36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37"/>
        <v>0</v>
      </c>
      <c r="Q387" s="96"/>
      <c r="R387" s="97">
        <f t="shared" si="38"/>
        <v>0</v>
      </c>
      <c r="T387" s="98">
        <f t="shared" si="34"/>
        <v>0</v>
      </c>
      <c r="U387" s="99" t="str">
        <f>IFERROR(VLOOKUP($S387,References!$B$3:$C$8,2,FALSE),"")</f>
        <v/>
      </c>
      <c r="V387" s="99" t="str">
        <f t="shared" si="35"/>
        <v/>
      </c>
      <c r="W387" s="66"/>
    </row>
    <row r="388" spans="1:23">
      <c r="A388" s="95" t="str">
        <f t="shared" si="36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37"/>
        <v>0</v>
      </c>
      <c r="Q388" s="96"/>
      <c r="R388" s="97">
        <f t="shared" si="38"/>
        <v>0</v>
      </c>
      <c r="T388" s="98">
        <f t="shared" ref="T388:T451" si="39">IF(S388="50 - Cleaning Fee",1,HOUR($R388)+MINUTE(R388)/60)</f>
        <v>0</v>
      </c>
      <c r="U388" s="99" t="str">
        <f>IFERROR(VLOOKUP($S388,References!$B$3:$C$8,2,FALSE),"")</f>
        <v/>
      </c>
      <c r="V388" s="99" t="str">
        <f t="shared" ref="V388:V451" si="40">IF(T388&gt;=8,400,(IFERROR(T388*U388,"")))</f>
        <v/>
      </c>
      <c r="W388" s="66"/>
    </row>
    <row r="389" spans="1:23">
      <c r="A389" s="95" t="str">
        <f t="shared" si="36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37"/>
        <v>0</v>
      </c>
      <c r="Q389" s="96"/>
      <c r="R389" s="97">
        <f t="shared" si="38"/>
        <v>0</v>
      </c>
      <c r="T389" s="98">
        <f t="shared" si="39"/>
        <v>0</v>
      </c>
      <c r="U389" s="99" t="str">
        <f>IFERROR(VLOOKUP($S389,References!$B$3:$C$8,2,FALSE),"")</f>
        <v/>
      </c>
      <c r="V389" s="99" t="str">
        <f t="shared" si="40"/>
        <v/>
      </c>
      <c r="W389" s="66"/>
    </row>
    <row r="390" spans="1:23">
      <c r="A390" s="95" t="str">
        <f t="shared" si="36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37"/>
        <v>0</v>
      </c>
      <c r="Q390" s="96"/>
      <c r="R390" s="97">
        <f t="shared" si="38"/>
        <v>0</v>
      </c>
      <c r="T390" s="98">
        <f t="shared" si="39"/>
        <v>0</v>
      </c>
      <c r="U390" s="99" t="str">
        <f>IFERROR(VLOOKUP($S390,References!$B$3:$C$8,2,FALSE),"")</f>
        <v/>
      </c>
      <c r="V390" s="99" t="str">
        <f t="shared" si="40"/>
        <v/>
      </c>
      <c r="W390" s="66"/>
    </row>
    <row r="391" spans="1:23">
      <c r="A391" s="95" t="str">
        <f t="shared" si="36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37"/>
        <v>0</v>
      </c>
      <c r="Q391" s="96"/>
      <c r="R391" s="97">
        <f t="shared" si="38"/>
        <v>0</v>
      </c>
      <c r="T391" s="98">
        <f t="shared" si="39"/>
        <v>0</v>
      </c>
      <c r="U391" s="99" t="str">
        <f>IFERROR(VLOOKUP($S391,References!$B$3:$C$8,2,FALSE),"")</f>
        <v/>
      </c>
      <c r="V391" s="99" t="str">
        <f t="shared" si="40"/>
        <v/>
      </c>
      <c r="W391" s="66"/>
    </row>
    <row r="392" spans="1:23">
      <c r="A392" s="95" t="str">
        <f t="shared" si="36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37"/>
        <v>0</v>
      </c>
      <c r="Q392" s="96"/>
      <c r="R392" s="97">
        <f t="shared" si="38"/>
        <v>0</v>
      </c>
      <c r="T392" s="98">
        <f t="shared" si="39"/>
        <v>0</v>
      </c>
      <c r="U392" s="99" t="str">
        <f>IFERROR(VLOOKUP($S392,References!$B$3:$C$8,2,FALSE),"")</f>
        <v/>
      </c>
      <c r="V392" s="99" t="str">
        <f t="shared" si="40"/>
        <v/>
      </c>
      <c r="W392" s="66"/>
    </row>
    <row r="393" spans="1:23">
      <c r="A393" s="95" t="str">
        <f t="shared" si="36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37"/>
        <v>0</v>
      </c>
      <c r="Q393" s="96"/>
      <c r="R393" s="97">
        <f t="shared" si="38"/>
        <v>0</v>
      </c>
      <c r="T393" s="98">
        <f t="shared" si="39"/>
        <v>0</v>
      </c>
      <c r="U393" s="99" t="str">
        <f>IFERROR(VLOOKUP($S393,References!$B$3:$C$8,2,FALSE),"")</f>
        <v/>
      </c>
      <c r="V393" s="99" t="str">
        <f t="shared" si="40"/>
        <v/>
      </c>
      <c r="W393" s="66"/>
    </row>
    <row r="394" spans="1:23">
      <c r="A394" s="95" t="str">
        <f t="shared" si="36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37"/>
        <v>0</v>
      </c>
      <c r="Q394" s="103"/>
      <c r="R394" s="97">
        <f t="shared" si="38"/>
        <v>0</v>
      </c>
      <c r="T394" s="98">
        <f t="shared" si="39"/>
        <v>0</v>
      </c>
      <c r="U394" s="99" t="str">
        <f>IFERROR(VLOOKUP($S394,References!$B$3:$C$8,2,FALSE),"")</f>
        <v/>
      </c>
      <c r="V394" s="99" t="str">
        <f t="shared" si="40"/>
        <v/>
      </c>
      <c r="W394" s="66"/>
    </row>
    <row r="395" spans="1:23">
      <c r="A395" s="95" t="str">
        <f t="shared" si="36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37"/>
        <v>0</v>
      </c>
      <c r="Q395" s="96"/>
      <c r="R395" s="97">
        <f t="shared" si="38"/>
        <v>0</v>
      </c>
      <c r="T395" s="98">
        <f t="shared" si="39"/>
        <v>0</v>
      </c>
      <c r="U395" s="99" t="str">
        <f>IFERROR(VLOOKUP($S395,References!$B$3:$C$8,2,FALSE),"")</f>
        <v/>
      </c>
      <c r="V395" s="99" t="str">
        <f t="shared" si="40"/>
        <v/>
      </c>
      <c r="W395" s="66"/>
    </row>
    <row r="396" spans="1:23">
      <c r="A396" s="95" t="str">
        <f t="shared" si="36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37"/>
        <v>0</v>
      </c>
      <c r="Q396" s="96"/>
      <c r="R396" s="97">
        <f t="shared" si="38"/>
        <v>0</v>
      </c>
      <c r="T396" s="98">
        <f t="shared" si="39"/>
        <v>0</v>
      </c>
      <c r="U396" s="99" t="str">
        <f>IFERROR(VLOOKUP($S396,References!$B$3:$C$8,2,FALSE),"")</f>
        <v/>
      </c>
      <c r="V396" s="99" t="str">
        <f t="shared" si="40"/>
        <v/>
      </c>
      <c r="W396" s="66"/>
    </row>
    <row r="397" spans="1:23">
      <c r="A397" s="95" t="str">
        <f t="shared" si="36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37"/>
        <v>0</v>
      </c>
      <c r="Q397" s="96"/>
      <c r="R397" s="97">
        <f t="shared" si="38"/>
        <v>0</v>
      </c>
      <c r="T397" s="98">
        <f t="shared" si="39"/>
        <v>0</v>
      </c>
      <c r="U397" s="99" t="str">
        <f>IFERROR(VLOOKUP($S397,References!$B$3:$C$8,2,FALSE),"")</f>
        <v/>
      </c>
      <c r="V397" s="99" t="str">
        <f t="shared" si="40"/>
        <v/>
      </c>
      <c r="W397" s="66"/>
    </row>
    <row r="398" spans="1:23">
      <c r="A398" s="95" t="str">
        <f t="shared" si="36"/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si="37"/>
        <v>0</v>
      </c>
      <c r="Q398" s="96"/>
      <c r="R398" s="97">
        <f t="shared" si="38"/>
        <v>0</v>
      </c>
      <c r="T398" s="98">
        <f t="shared" si="39"/>
        <v>0</v>
      </c>
      <c r="U398" s="99" t="str">
        <f>IFERROR(VLOOKUP($S398,References!$B$3:$C$8,2,FALSE),"")</f>
        <v/>
      </c>
      <c r="V398" s="99" t="str">
        <f t="shared" si="40"/>
        <v/>
      </c>
      <c r="W398" s="66"/>
    </row>
    <row r="399" spans="1:23">
      <c r="A399" s="95" t="str">
        <f t="shared" ref="A399:A462" si="41">O399&amp;S399</f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ref="P399:P462" si="42">INT(L399)</f>
        <v>0</v>
      </c>
      <c r="Q399" s="96"/>
      <c r="R399" s="97">
        <f t="shared" ref="R399:R462" si="43">L399-K399</f>
        <v>0</v>
      </c>
      <c r="T399" s="98">
        <f t="shared" si="39"/>
        <v>0</v>
      </c>
      <c r="U399" s="99" t="str">
        <f>IFERROR(VLOOKUP($S399,References!$B$3:$C$8,2,FALSE),"")</f>
        <v/>
      </c>
      <c r="V399" s="99" t="str">
        <f t="shared" si="40"/>
        <v/>
      </c>
      <c r="W399" s="66"/>
    </row>
    <row r="400" spans="1:23">
      <c r="A400" s="95" t="str">
        <f t="shared" si="41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2"/>
        <v>0</v>
      </c>
      <c r="Q400" s="96"/>
      <c r="R400" s="97">
        <f t="shared" si="43"/>
        <v>0</v>
      </c>
      <c r="T400" s="98">
        <f t="shared" si="39"/>
        <v>0</v>
      </c>
      <c r="U400" s="99" t="str">
        <f>IFERROR(VLOOKUP($S400,References!$B$3:$C$8,2,FALSE),"")</f>
        <v/>
      </c>
      <c r="V400" s="99" t="str">
        <f t="shared" si="40"/>
        <v/>
      </c>
      <c r="W400" s="66"/>
    </row>
    <row r="401" spans="1:23">
      <c r="A401" s="95" t="str">
        <f t="shared" si="41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2"/>
        <v>0</v>
      </c>
      <c r="Q401" s="96"/>
      <c r="R401" s="97">
        <f t="shared" si="43"/>
        <v>0</v>
      </c>
      <c r="T401" s="98">
        <f t="shared" si="39"/>
        <v>0</v>
      </c>
      <c r="U401" s="99" t="str">
        <f>IFERROR(VLOOKUP($S401,References!$B$3:$C$8,2,FALSE),"")</f>
        <v/>
      </c>
      <c r="V401" s="99" t="str">
        <f t="shared" si="40"/>
        <v/>
      </c>
      <c r="W401" s="66"/>
    </row>
    <row r="402" spans="1:23">
      <c r="A402" s="95" t="str">
        <f t="shared" si="41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2"/>
        <v>0</v>
      </c>
      <c r="Q402" s="96"/>
      <c r="R402" s="97">
        <f t="shared" si="43"/>
        <v>0</v>
      </c>
      <c r="T402" s="98">
        <f t="shared" si="39"/>
        <v>0</v>
      </c>
      <c r="U402" s="99" t="str">
        <f>IFERROR(VLOOKUP($S402,References!$B$3:$C$8,2,FALSE),"")</f>
        <v/>
      </c>
      <c r="V402" s="99" t="str">
        <f t="shared" si="40"/>
        <v/>
      </c>
      <c r="W402" s="66"/>
    </row>
    <row r="403" spans="1:23">
      <c r="A403" s="95" t="str">
        <f t="shared" si="41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2"/>
        <v>0</v>
      </c>
      <c r="Q403" s="96"/>
      <c r="R403" s="97">
        <f t="shared" si="43"/>
        <v>0</v>
      </c>
      <c r="T403" s="98">
        <f t="shared" si="39"/>
        <v>0</v>
      </c>
      <c r="U403" s="99" t="str">
        <f>IFERROR(VLOOKUP($S403,References!$B$3:$C$8,2,FALSE),"")</f>
        <v/>
      </c>
      <c r="V403" s="99" t="str">
        <f t="shared" si="40"/>
        <v/>
      </c>
      <c r="W403" s="66"/>
    </row>
    <row r="404" spans="1:23">
      <c r="A404" s="95" t="str">
        <f t="shared" si="41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2"/>
        <v>0</v>
      </c>
      <c r="Q404" s="96"/>
      <c r="R404" s="97">
        <f t="shared" si="43"/>
        <v>0</v>
      </c>
      <c r="T404" s="98">
        <f t="shared" si="39"/>
        <v>0</v>
      </c>
      <c r="U404" s="99" t="str">
        <f>IFERROR(VLOOKUP($S404,References!$B$3:$C$8,2,FALSE),"")</f>
        <v/>
      </c>
      <c r="V404" s="99" t="str">
        <f t="shared" si="40"/>
        <v/>
      </c>
      <c r="W404" s="66"/>
    </row>
    <row r="405" spans="1:23">
      <c r="A405" s="95" t="str">
        <f t="shared" si="41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2"/>
        <v>0</v>
      </c>
      <c r="Q405" s="96"/>
      <c r="R405" s="97">
        <f t="shared" si="43"/>
        <v>0</v>
      </c>
      <c r="T405" s="98">
        <f t="shared" si="39"/>
        <v>0</v>
      </c>
      <c r="U405" s="99" t="str">
        <f>IFERROR(VLOOKUP($S405,References!$B$3:$C$8,2,FALSE),"")</f>
        <v/>
      </c>
      <c r="V405" s="99" t="str">
        <f t="shared" si="40"/>
        <v/>
      </c>
      <c r="W405" s="66"/>
    </row>
    <row r="406" spans="1:23">
      <c r="A406" s="95" t="str">
        <f t="shared" si="41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2"/>
        <v>0</v>
      </c>
      <c r="Q406" s="96"/>
      <c r="R406" s="97">
        <f t="shared" si="43"/>
        <v>0</v>
      </c>
      <c r="T406" s="98">
        <f t="shared" si="39"/>
        <v>0</v>
      </c>
      <c r="U406" s="99" t="str">
        <f>IFERROR(VLOOKUP($S406,References!$B$3:$C$8,2,FALSE),"")</f>
        <v/>
      </c>
      <c r="V406" s="99" t="str">
        <f t="shared" si="40"/>
        <v/>
      </c>
      <c r="W406" s="66"/>
    </row>
    <row r="407" spans="1:23">
      <c r="A407" s="95" t="str">
        <f t="shared" si="41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2"/>
        <v>0</v>
      </c>
      <c r="Q407" s="96"/>
      <c r="R407" s="97">
        <f t="shared" si="43"/>
        <v>0</v>
      </c>
      <c r="T407" s="98">
        <f t="shared" si="39"/>
        <v>0</v>
      </c>
      <c r="U407" s="99" t="str">
        <f>IFERROR(VLOOKUP($S407,References!$B$3:$C$8,2,FALSE),"")</f>
        <v/>
      </c>
      <c r="V407" s="99" t="str">
        <f t="shared" si="40"/>
        <v/>
      </c>
      <c r="W407" s="66"/>
    </row>
    <row r="408" spans="1:23">
      <c r="A408" s="95" t="str">
        <f t="shared" si="41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2"/>
        <v>0</v>
      </c>
      <c r="Q408" s="96"/>
      <c r="R408" s="97">
        <f t="shared" si="43"/>
        <v>0</v>
      </c>
      <c r="T408" s="98">
        <f t="shared" si="39"/>
        <v>0</v>
      </c>
      <c r="U408" s="99" t="str">
        <f>IFERROR(VLOOKUP($S408,References!$B$3:$C$8,2,FALSE),"")</f>
        <v/>
      </c>
      <c r="V408" s="99" t="str">
        <f t="shared" si="40"/>
        <v/>
      </c>
      <c r="W408" s="66"/>
    </row>
    <row r="409" spans="1:23">
      <c r="A409" s="95" t="str">
        <f t="shared" si="41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2"/>
        <v>0</v>
      </c>
      <c r="Q409" s="96"/>
      <c r="R409" s="97">
        <f t="shared" si="43"/>
        <v>0</v>
      </c>
      <c r="T409" s="98">
        <f t="shared" si="39"/>
        <v>0</v>
      </c>
      <c r="U409" s="99" t="str">
        <f>IFERROR(VLOOKUP($S409,References!$B$3:$C$8,2,FALSE),"")</f>
        <v/>
      </c>
      <c r="V409" s="99" t="str">
        <f t="shared" si="40"/>
        <v/>
      </c>
      <c r="W409" s="66"/>
    </row>
    <row r="410" spans="1:23">
      <c r="A410" s="95" t="str">
        <f t="shared" si="41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1"/>
      <c r="N410" s="150"/>
      <c r="O410" s="150"/>
      <c r="P410" s="96">
        <f t="shared" si="42"/>
        <v>0</v>
      </c>
      <c r="Q410" s="96"/>
      <c r="R410" s="97">
        <f t="shared" si="43"/>
        <v>0</v>
      </c>
      <c r="T410" s="98">
        <f t="shared" si="39"/>
        <v>0</v>
      </c>
      <c r="U410" s="99" t="str">
        <f>IFERROR(VLOOKUP($S410,References!$B$3:$C$8,2,FALSE),"")</f>
        <v/>
      </c>
      <c r="V410" s="99" t="str">
        <f t="shared" si="40"/>
        <v/>
      </c>
      <c r="W410" s="66"/>
    </row>
    <row r="411" spans="1:23">
      <c r="A411" s="95" t="str">
        <f t="shared" si="41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0"/>
      <c r="N411" s="150"/>
      <c r="O411" s="150"/>
      <c r="P411" s="96">
        <f t="shared" si="42"/>
        <v>0</v>
      </c>
      <c r="Q411" s="96"/>
      <c r="R411" s="97">
        <f t="shared" si="43"/>
        <v>0</v>
      </c>
      <c r="T411" s="98">
        <f t="shared" si="39"/>
        <v>0</v>
      </c>
      <c r="U411" s="99" t="str">
        <f>IFERROR(VLOOKUP($S411,References!$B$3:$C$8,2,FALSE),"")</f>
        <v/>
      </c>
      <c r="V411" s="99" t="str">
        <f t="shared" si="40"/>
        <v/>
      </c>
      <c r="W411" s="66"/>
    </row>
    <row r="412" spans="1:23">
      <c r="A412" s="95" t="str">
        <f t="shared" si="41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2"/>
        <v>0</v>
      </c>
      <c r="Q412" s="96"/>
      <c r="R412" s="97">
        <f t="shared" si="43"/>
        <v>0</v>
      </c>
      <c r="T412" s="98">
        <f t="shared" si="39"/>
        <v>0</v>
      </c>
      <c r="U412" s="99" t="str">
        <f>IFERROR(VLOOKUP($S412,References!$B$3:$C$8,2,FALSE),"")</f>
        <v/>
      </c>
      <c r="V412" s="99" t="str">
        <f t="shared" si="40"/>
        <v/>
      </c>
      <c r="W412" s="66"/>
    </row>
    <row r="413" spans="1:23">
      <c r="A413" s="95" t="str">
        <f t="shared" si="41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2"/>
        <v>0</v>
      </c>
      <c r="Q413" s="96"/>
      <c r="R413" s="97">
        <f t="shared" si="43"/>
        <v>0</v>
      </c>
      <c r="T413" s="98">
        <f t="shared" si="39"/>
        <v>0</v>
      </c>
      <c r="U413" s="99" t="str">
        <f>IFERROR(VLOOKUP($S413,References!$B$3:$C$8,2,FALSE),"")</f>
        <v/>
      </c>
      <c r="V413" s="99" t="str">
        <f t="shared" si="40"/>
        <v/>
      </c>
      <c r="W413" s="66"/>
    </row>
    <row r="414" spans="1:23">
      <c r="A414" s="95" t="str">
        <f t="shared" si="41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2"/>
        <v>0</v>
      </c>
      <c r="Q414" s="103"/>
      <c r="R414" s="97">
        <f t="shared" si="43"/>
        <v>0</v>
      </c>
      <c r="T414" s="98">
        <f t="shared" si="39"/>
        <v>0</v>
      </c>
      <c r="U414" s="99" t="str">
        <f>IFERROR(VLOOKUP($S414,References!$B$3:$C$8,2,FALSE),"")</f>
        <v/>
      </c>
      <c r="V414" s="99" t="str">
        <f t="shared" si="40"/>
        <v/>
      </c>
      <c r="W414" s="66"/>
    </row>
    <row r="415" spans="1:23">
      <c r="A415" s="95" t="str">
        <f t="shared" si="41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2"/>
        <v>0</v>
      </c>
      <c r="Q415" s="103"/>
      <c r="R415" s="97">
        <f t="shared" si="43"/>
        <v>0</v>
      </c>
      <c r="T415" s="98">
        <f t="shared" si="39"/>
        <v>0</v>
      </c>
      <c r="U415" s="99" t="str">
        <f>IFERROR(VLOOKUP($S415,References!$B$3:$C$8,2,FALSE),"")</f>
        <v/>
      </c>
      <c r="V415" s="99" t="str">
        <f t="shared" si="40"/>
        <v/>
      </c>
      <c r="W415" s="66"/>
    </row>
    <row r="416" spans="1:23">
      <c r="A416" s="95" t="str">
        <f t="shared" si="41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2"/>
        <v>0</v>
      </c>
      <c r="Q416" s="103"/>
      <c r="R416" s="97">
        <f t="shared" si="43"/>
        <v>0</v>
      </c>
      <c r="T416" s="98">
        <f t="shared" si="39"/>
        <v>0</v>
      </c>
      <c r="U416" s="99" t="str">
        <f>IFERROR(VLOOKUP($S416,References!$B$3:$C$8,2,FALSE),"")</f>
        <v/>
      </c>
      <c r="V416" s="99" t="str">
        <f t="shared" si="40"/>
        <v/>
      </c>
      <c r="W416" s="66"/>
    </row>
    <row r="417" spans="1:23">
      <c r="A417" s="95" t="str">
        <f t="shared" si="41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1"/>
      <c r="N417" s="150"/>
      <c r="O417" s="150"/>
      <c r="P417" s="96">
        <f t="shared" si="42"/>
        <v>0</v>
      </c>
      <c r="Q417" s="96"/>
      <c r="R417" s="97">
        <f t="shared" si="43"/>
        <v>0</v>
      </c>
      <c r="T417" s="98">
        <f t="shared" si="39"/>
        <v>0</v>
      </c>
      <c r="U417" s="99" t="str">
        <f>IFERROR(VLOOKUP($S417,References!$B$3:$C$8,2,FALSE),"")</f>
        <v/>
      </c>
      <c r="V417" s="99" t="str">
        <f t="shared" si="40"/>
        <v/>
      </c>
      <c r="W417" s="66"/>
    </row>
    <row r="418" spans="1:23">
      <c r="A418" s="95" t="str">
        <f t="shared" si="41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0"/>
      <c r="N418" s="150"/>
      <c r="O418" s="150"/>
      <c r="P418" s="96">
        <f t="shared" si="42"/>
        <v>0</v>
      </c>
      <c r="Q418" s="96"/>
      <c r="R418" s="97">
        <f t="shared" si="43"/>
        <v>0</v>
      </c>
      <c r="T418" s="98">
        <f t="shared" si="39"/>
        <v>0</v>
      </c>
      <c r="U418" s="99" t="str">
        <f>IFERROR(VLOOKUP($S418,References!$B$3:$C$8,2,FALSE),"")</f>
        <v/>
      </c>
      <c r="V418" s="99" t="str">
        <f t="shared" si="40"/>
        <v/>
      </c>
      <c r="W418" s="66"/>
    </row>
    <row r="419" spans="1:23">
      <c r="A419" s="95" t="str">
        <f t="shared" si="41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2"/>
        <v>0</v>
      </c>
      <c r="Q419" s="96"/>
      <c r="R419" s="97">
        <f t="shared" si="43"/>
        <v>0</v>
      </c>
      <c r="T419" s="98">
        <f t="shared" si="39"/>
        <v>0</v>
      </c>
      <c r="U419" s="99" t="str">
        <f>IFERROR(VLOOKUP($S419,References!$B$3:$C$8,2,FALSE),"")</f>
        <v/>
      </c>
      <c r="V419" s="99" t="str">
        <f t="shared" si="40"/>
        <v/>
      </c>
      <c r="W419" s="66"/>
    </row>
    <row r="420" spans="1:23">
      <c r="A420" s="95" t="str">
        <f t="shared" si="41"/>
        <v/>
      </c>
      <c r="B420" s="150"/>
      <c r="C420" s="150"/>
      <c r="D420" s="150"/>
      <c r="E420" s="150"/>
      <c r="F420" s="150"/>
      <c r="G420" s="150"/>
      <c r="H420" s="150"/>
      <c r="I420" s="150"/>
      <c r="J420" s="150"/>
      <c r="K420" s="151"/>
      <c r="L420" s="151"/>
      <c r="M420" s="151"/>
      <c r="N420" s="150"/>
      <c r="O420" s="150"/>
      <c r="P420" s="96">
        <f t="shared" si="42"/>
        <v>0</v>
      </c>
      <c r="Q420" s="103"/>
      <c r="R420" s="97">
        <f t="shared" si="43"/>
        <v>0</v>
      </c>
      <c r="T420" s="98">
        <f t="shared" si="39"/>
        <v>0</v>
      </c>
      <c r="U420" s="99" t="str">
        <f>IFERROR(VLOOKUP($S420,References!$B$3:$C$8,2,FALSE),"")</f>
        <v/>
      </c>
      <c r="V420" s="99" t="str">
        <f t="shared" si="40"/>
        <v/>
      </c>
      <c r="W420" s="66"/>
    </row>
    <row r="421" spans="1:23">
      <c r="A421" s="95" t="str">
        <f t="shared" si="41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50"/>
      <c r="O421" s="150"/>
      <c r="P421" s="96">
        <f t="shared" si="42"/>
        <v>0</v>
      </c>
      <c r="Q421" s="103"/>
      <c r="R421" s="97">
        <f t="shared" si="43"/>
        <v>0</v>
      </c>
      <c r="T421" s="98">
        <f t="shared" si="39"/>
        <v>0</v>
      </c>
      <c r="U421" s="99" t="str">
        <f>IFERROR(VLOOKUP($S421,References!$B$3:$C$8,2,FALSE),"")</f>
        <v/>
      </c>
      <c r="V421" s="99" t="str">
        <f t="shared" si="40"/>
        <v/>
      </c>
      <c r="W421" s="66"/>
    </row>
    <row r="422" spans="1:23">
      <c r="A422" s="95" t="str">
        <f t="shared" si="41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2"/>
        <v>0</v>
      </c>
      <c r="Q422" s="103"/>
      <c r="R422" s="97">
        <f t="shared" si="43"/>
        <v>0</v>
      </c>
      <c r="T422" s="98">
        <f t="shared" si="39"/>
        <v>0</v>
      </c>
      <c r="U422" s="99" t="str">
        <f>IFERROR(VLOOKUP($S422,References!$B$3:$C$8,2,FALSE),"")</f>
        <v/>
      </c>
      <c r="V422" s="99" t="str">
        <f t="shared" si="40"/>
        <v/>
      </c>
      <c r="W422" s="66"/>
    </row>
    <row r="423" spans="1:23">
      <c r="A423" s="95" t="str">
        <f t="shared" si="41"/>
        <v/>
      </c>
      <c r="B423" s="141"/>
      <c r="C423" s="141"/>
      <c r="D423" s="141"/>
      <c r="E423" s="141"/>
      <c r="F423" s="141"/>
      <c r="G423" s="141"/>
      <c r="H423" s="141"/>
      <c r="I423" s="141"/>
      <c r="J423" s="141"/>
      <c r="K423" s="142"/>
      <c r="L423" s="142"/>
      <c r="M423" s="142"/>
      <c r="N423" s="141"/>
      <c r="O423" s="150"/>
      <c r="P423" s="96">
        <f t="shared" si="42"/>
        <v>0</v>
      </c>
      <c r="Q423" s="103"/>
      <c r="R423" s="97">
        <f t="shared" si="43"/>
        <v>0</v>
      </c>
      <c r="T423" s="98">
        <f t="shared" si="39"/>
        <v>0</v>
      </c>
      <c r="U423" s="99" t="str">
        <f>IFERROR(VLOOKUP($S423,References!$B$3:$C$8,2,FALSE),"")</f>
        <v/>
      </c>
      <c r="V423" s="99" t="str">
        <f t="shared" si="40"/>
        <v/>
      </c>
      <c r="W423" s="66"/>
    </row>
    <row r="424" spans="1:23">
      <c r="A424" s="95" t="str">
        <f t="shared" si="41"/>
        <v/>
      </c>
      <c r="B424" s="141"/>
      <c r="C424" s="141"/>
      <c r="D424" s="141"/>
      <c r="E424" s="141"/>
      <c r="F424" s="141"/>
      <c r="G424" s="150"/>
      <c r="H424" s="150"/>
      <c r="I424" s="150"/>
      <c r="K424" s="142"/>
      <c r="L424" s="142"/>
      <c r="M424" s="142"/>
      <c r="N424" s="141"/>
      <c r="O424" s="150"/>
      <c r="P424" s="96">
        <f t="shared" si="42"/>
        <v>0</v>
      </c>
      <c r="Q424" s="103"/>
      <c r="R424" s="97">
        <f t="shared" si="43"/>
        <v>0</v>
      </c>
      <c r="T424" s="98">
        <f t="shared" si="39"/>
        <v>0</v>
      </c>
      <c r="U424" s="99" t="str">
        <f>IFERROR(VLOOKUP($S424,References!$B$3:$C$8,2,FALSE),"")</f>
        <v/>
      </c>
      <c r="V424" s="99" t="str">
        <f t="shared" si="40"/>
        <v/>
      </c>
      <c r="W424" s="66"/>
    </row>
    <row r="425" spans="1:23">
      <c r="A425" s="95" t="str">
        <f t="shared" si="41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41"/>
      <c r="O425" s="150"/>
      <c r="P425" s="96">
        <f t="shared" si="42"/>
        <v>0</v>
      </c>
      <c r="Q425" s="152"/>
      <c r="R425" s="97">
        <f t="shared" si="43"/>
        <v>0</v>
      </c>
      <c r="T425" s="98">
        <f t="shared" si="39"/>
        <v>0</v>
      </c>
      <c r="U425" s="99" t="str">
        <f>IFERROR(VLOOKUP($S425,References!$B$3:$C$8,2,FALSE),"")</f>
        <v/>
      </c>
      <c r="V425" s="99" t="str">
        <f t="shared" si="40"/>
        <v/>
      </c>
      <c r="W425" s="66"/>
    </row>
    <row r="426" spans="1:23">
      <c r="A426" s="95" t="str">
        <f t="shared" si="41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2"/>
        <v>0</v>
      </c>
      <c r="Q426" s="152"/>
      <c r="R426" s="97">
        <f t="shared" si="43"/>
        <v>0</v>
      </c>
      <c r="T426" s="98">
        <f t="shared" si="39"/>
        <v>0</v>
      </c>
      <c r="U426" s="99" t="str">
        <f>IFERROR(VLOOKUP($S426,References!$B$3:$C$8,2,FALSE),"")</f>
        <v/>
      </c>
      <c r="V426" s="99" t="str">
        <f t="shared" si="40"/>
        <v/>
      </c>
      <c r="W426" s="66"/>
    </row>
    <row r="427" spans="1:23">
      <c r="A427" s="95" t="str">
        <f t="shared" si="41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2"/>
        <v>0</v>
      </c>
      <c r="Q427" s="152"/>
      <c r="R427" s="97">
        <f t="shared" si="43"/>
        <v>0</v>
      </c>
      <c r="T427" s="98">
        <f t="shared" si="39"/>
        <v>0</v>
      </c>
      <c r="U427" s="99" t="str">
        <f>IFERROR(VLOOKUP($S427,References!$B$3:$C$8,2,FALSE),"")</f>
        <v/>
      </c>
      <c r="V427" s="99" t="str">
        <f t="shared" si="40"/>
        <v/>
      </c>
      <c r="W427" s="66"/>
    </row>
    <row r="428" spans="1:23">
      <c r="A428" s="95" t="str">
        <f t="shared" si="41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2"/>
        <v>0</v>
      </c>
      <c r="Q428" s="152"/>
      <c r="R428" s="97">
        <f t="shared" si="43"/>
        <v>0</v>
      </c>
      <c r="T428" s="98">
        <f t="shared" si="39"/>
        <v>0</v>
      </c>
      <c r="U428" s="99" t="str">
        <f>IFERROR(VLOOKUP($S428,References!$B$3:$C$8,2,FALSE),"")</f>
        <v/>
      </c>
      <c r="V428" s="99" t="str">
        <f t="shared" si="40"/>
        <v/>
      </c>
      <c r="W428" s="66"/>
    </row>
    <row r="429" spans="1:23">
      <c r="A429" s="95" t="str">
        <f t="shared" si="41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2"/>
        <v>0</v>
      </c>
      <c r="Q429" s="152"/>
      <c r="R429" s="97">
        <f t="shared" si="43"/>
        <v>0</v>
      </c>
      <c r="T429" s="98">
        <f t="shared" si="39"/>
        <v>0</v>
      </c>
      <c r="U429" s="99" t="str">
        <f>IFERROR(VLOOKUP($S429,References!$B$3:$C$8,2,FALSE),"")</f>
        <v/>
      </c>
      <c r="V429" s="99" t="str">
        <f t="shared" si="40"/>
        <v/>
      </c>
      <c r="W429" s="66"/>
    </row>
    <row r="430" spans="1:23">
      <c r="A430" s="95" t="str">
        <f t="shared" si="41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2"/>
        <v>0</v>
      </c>
      <c r="Q430" s="152"/>
      <c r="R430" s="97">
        <f t="shared" si="43"/>
        <v>0</v>
      </c>
      <c r="T430" s="98">
        <f t="shared" si="39"/>
        <v>0</v>
      </c>
      <c r="U430" s="99" t="str">
        <f>IFERROR(VLOOKUP($S430,References!$B$3:$C$8,2,FALSE),"")</f>
        <v/>
      </c>
      <c r="V430" s="99" t="str">
        <f t="shared" si="40"/>
        <v/>
      </c>
      <c r="W430" s="66"/>
    </row>
    <row r="431" spans="1:23">
      <c r="A431" s="95" t="str">
        <f t="shared" si="41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2"/>
        <v>0</v>
      </c>
      <c r="Q431" s="152"/>
      <c r="R431" s="97">
        <f t="shared" si="43"/>
        <v>0</v>
      </c>
      <c r="T431" s="98">
        <f t="shared" si="39"/>
        <v>0</v>
      </c>
      <c r="U431" s="99" t="str">
        <f>IFERROR(VLOOKUP($S431,References!$B$3:$C$8,2,FALSE),"")</f>
        <v/>
      </c>
      <c r="V431" s="99" t="str">
        <f t="shared" si="40"/>
        <v/>
      </c>
      <c r="W431" s="66"/>
    </row>
    <row r="432" spans="1:23">
      <c r="A432" s="95" t="str">
        <f t="shared" si="41"/>
        <v/>
      </c>
      <c r="B432" s="141"/>
      <c r="C432" s="150"/>
      <c r="D432" s="150"/>
      <c r="E432" s="150"/>
      <c r="F432" s="141"/>
      <c r="G432" s="150"/>
      <c r="H432" s="150"/>
      <c r="I432" s="150"/>
      <c r="K432" s="142"/>
      <c r="L432" s="142"/>
      <c r="M432" s="142"/>
      <c r="N432" s="150"/>
      <c r="O432" s="150"/>
      <c r="P432" s="96">
        <f t="shared" si="42"/>
        <v>0</v>
      </c>
      <c r="Q432" s="152"/>
      <c r="R432" s="97">
        <f t="shared" si="43"/>
        <v>0</v>
      </c>
      <c r="T432" s="98">
        <f t="shared" si="39"/>
        <v>0</v>
      </c>
      <c r="U432" s="99" t="str">
        <f>IFERROR(VLOOKUP($S432,References!$B$3:$C$8,2,FALSE),"")</f>
        <v/>
      </c>
      <c r="V432" s="99" t="str">
        <f t="shared" si="40"/>
        <v/>
      </c>
      <c r="W432" s="66"/>
    </row>
    <row r="433" spans="1:23">
      <c r="A433" s="95" t="str">
        <f t="shared" si="41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50"/>
      <c r="O433" s="150"/>
      <c r="P433" s="96">
        <f t="shared" si="42"/>
        <v>0</v>
      </c>
      <c r="Q433" s="96"/>
      <c r="R433" s="97">
        <f t="shared" si="43"/>
        <v>0</v>
      </c>
      <c r="T433" s="98">
        <f t="shared" si="39"/>
        <v>0</v>
      </c>
      <c r="U433" s="99" t="str">
        <f>IFERROR(VLOOKUP($S433,References!$B$3:$C$8,2,FALSE),"")</f>
        <v/>
      </c>
      <c r="V433" s="99" t="str">
        <f t="shared" si="40"/>
        <v/>
      </c>
      <c r="W433" s="66"/>
    </row>
    <row r="434" spans="1:23">
      <c r="A434" s="95" t="str">
        <f t="shared" si="41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2"/>
        <v>0</v>
      </c>
      <c r="Q434" s="96"/>
      <c r="R434" s="97">
        <f t="shared" si="43"/>
        <v>0</v>
      </c>
      <c r="T434" s="98">
        <f t="shared" si="39"/>
        <v>0</v>
      </c>
      <c r="U434" s="99" t="str">
        <f>IFERROR(VLOOKUP($S434,References!$B$3:$C$8,2,FALSE),"")</f>
        <v/>
      </c>
      <c r="V434" s="99" t="str">
        <f t="shared" si="40"/>
        <v/>
      </c>
      <c r="W434" s="66"/>
    </row>
    <row r="435" spans="1:23">
      <c r="A435" s="95" t="str">
        <f t="shared" si="41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2"/>
        <v>0</v>
      </c>
      <c r="Q435" s="96"/>
      <c r="R435" s="97">
        <f t="shared" si="43"/>
        <v>0</v>
      </c>
      <c r="T435" s="98">
        <f t="shared" si="39"/>
        <v>0</v>
      </c>
      <c r="U435" s="99" t="str">
        <f>IFERROR(VLOOKUP($S435,References!$B$3:$C$8,2,FALSE),"")</f>
        <v/>
      </c>
      <c r="V435" s="99" t="str">
        <f t="shared" si="40"/>
        <v/>
      </c>
      <c r="W435" s="66" t="str">
        <f>IFERROR(VLOOKUP($O435,'Customer List'!$A$1:$J$488,10,FALSE),"")</f>
        <v/>
      </c>
    </row>
    <row r="436" spans="1:23">
      <c r="A436" s="95" t="str">
        <f t="shared" si="41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2"/>
        <v>0</v>
      </c>
      <c r="Q436" s="96"/>
      <c r="R436" s="97">
        <f t="shared" si="43"/>
        <v>0</v>
      </c>
      <c r="T436" s="98">
        <f t="shared" si="39"/>
        <v>0</v>
      </c>
      <c r="U436" s="99" t="str">
        <f>IFERROR(VLOOKUP($S436,References!$B$3:$C$8,2,FALSE),"")</f>
        <v/>
      </c>
      <c r="V436" s="99" t="str">
        <f t="shared" si="40"/>
        <v/>
      </c>
      <c r="W436" s="66" t="str">
        <f>IFERROR(VLOOKUP($O436,'Customer List'!$A$1:$J$488,10,FALSE),"")</f>
        <v/>
      </c>
    </row>
    <row r="437" spans="1:23">
      <c r="A437" s="95" t="str">
        <f t="shared" si="41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2"/>
        <v>0</v>
      </c>
      <c r="Q437" s="103"/>
      <c r="R437" s="97">
        <f t="shared" si="43"/>
        <v>0</v>
      </c>
      <c r="T437" s="98">
        <f t="shared" si="39"/>
        <v>0</v>
      </c>
      <c r="U437" s="99" t="str">
        <f>IFERROR(VLOOKUP($S437,References!$B$3:$C$8,2,FALSE),"")</f>
        <v/>
      </c>
      <c r="V437" s="99" t="str">
        <f t="shared" si="40"/>
        <v/>
      </c>
      <c r="W437" s="66" t="str">
        <f>IFERROR(VLOOKUP($O437,'Customer List'!$A$1:$J$488,10,FALSE),"")</f>
        <v/>
      </c>
    </row>
    <row r="438" spans="1:23">
      <c r="A438" s="95" t="str">
        <f t="shared" si="41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2"/>
        <v>0</v>
      </c>
      <c r="Q438" s="96"/>
      <c r="R438" s="97">
        <f t="shared" si="43"/>
        <v>0</v>
      </c>
      <c r="T438" s="98">
        <f t="shared" si="39"/>
        <v>0</v>
      </c>
      <c r="U438" s="99" t="str">
        <f>IFERROR(VLOOKUP($S438,References!$B$3:$C$8,2,FALSE),"")</f>
        <v/>
      </c>
      <c r="V438" s="99" t="str">
        <f t="shared" si="40"/>
        <v/>
      </c>
      <c r="W438" s="66" t="str">
        <f>IFERROR(VLOOKUP($O438,'Customer List'!$A$1:$J$488,10,FALSE),"")</f>
        <v/>
      </c>
    </row>
    <row r="439" spans="1:23">
      <c r="A439" s="95" t="str">
        <f t="shared" si="41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2"/>
        <v>0</v>
      </c>
      <c r="Q439" s="96"/>
      <c r="R439" s="97">
        <f t="shared" si="43"/>
        <v>0</v>
      </c>
      <c r="T439" s="98">
        <f t="shared" si="39"/>
        <v>0</v>
      </c>
      <c r="U439" s="99" t="str">
        <f>IFERROR(VLOOKUP($S439,References!$B$3:$C$8,2,FALSE),"")</f>
        <v/>
      </c>
      <c r="V439" s="99" t="str">
        <f t="shared" si="40"/>
        <v/>
      </c>
      <c r="W439" s="66" t="str">
        <f>IFERROR(VLOOKUP($O439,'Customer List'!$A$1:$J$488,10,FALSE),"")</f>
        <v/>
      </c>
    </row>
    <row r="440" spans="1:23">
      <c r="A440" s="95" t="str">
        <f t="shared" si="41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2"/>
        <v>0</v>
      </c>
      <c r="Q440" s="96"/>
      <c r="R440" s="97">
        <f t="shared" si="43"/>
        <v>0</v>
      </c>
      <c r="T440" s="98">
        <f t="shared" si="39"/>
        <v>0</v>
      </c>
      <c r="U440" s="99" t="str">
        <f>IFERROR(VLOOKUP($S440,References!$B$3:$C$8,2,FALSE),"")</f>
        <v/>
      </c>
      <c r="V440" s="99" t="str">
        <f t="shared" si="40"/>
        <v/>
      </c>
      <c r="W440" s="66" t="str">
        <f>IFERROR(VLOOKUP($O440,'Customer List'!$A$1:$J$488,10,FALSE),"")</f>
        <v/>
      </c>
    </row>
    <row r="441" spans="1:23">
      <c r="A441" s="95" t="str">
        <f t="shared" si="41"/>
        <v/>
      </c>
      <c r="B441" s="141"/>
      <c r="C441" s="141"/>
      <c r="D441" s="141"/>
      <c r="E441" s="141"/>
      <c r="F441" s="141"/>
      <c r="G441" s="141"/>
      <c r="H441" s="141"/>
      <c r="I441" s="141"/>
      <c r="J441" s="141"/>
      <c r="K441" s="142"/>
      <c r="L441" s="142"/>
      <c r="M441" s="142"/>
      <c r="N441" s="141"/>
      <c r="O441" s="150"/>
      <c r="P441" s="96">
        <f t="shared" si="42"/>
        <v>0</v>
      </c>
      <c r="Q441" s="103"/>
      <c r="R441" s="97">
        <f t="shared" si="43"/>
        <v>0</v>
      </c>
      <c r="T441" s="98">
        <f t="shared" si="39"/>
        <v>0</v>
      </c>
      <c r="U441" s="99" t="str">
        <f>IFERROR(VLOOKUP($S441,References!$B$3:$C$8,2,FALSE),"")</f>
        <v/>
      </c>
      <c r="V441" s="99" t="str">
        <f t="shared" si="40"/>
        <v/>
      </c>
      <c r="W441" s="66" t="str">
        <f>IFERROR(VLOOKUP($O441,'Customer List'!$A$1:$J$488,10,FALSE),"")</f>
        <v/>
      </c>
    </row>
    <row r="442" spans="1:23">
      <c r="A442" s="95" t="str">
        <f t="shared" si="41"/>
        <v/>
      </c>
      <c r="B442" s="141"/>
      <c r="C442" s="141"/>
      <c r="D442" s="141"/>
      <c r="E442" s="141"/>
      <c r="F442" s="141"/>
      <c r="G442" s="141"/>
      <c r="H442" s="141"/>
      <c r="I442" s="143"/>
      <c r="J442" s="141"/>
      <c r="K442" s="142"/>
      <c r="L442" s="142"/>
      <c r="M442" s="142"/>
      <c r="N442" s="141"/>
      <c r="O442" s="150"/>
      <c r="P442" s="96">
        <f t="shared" si="42"/>
        <v>0</v>
      </c>
      <c r="Q442" s="103"/>
      <c r="R442" s="97">
        <f t="shared" si="43"/>
        <v>0</v>
      </c>
      <c r="T442" s="98">
        <f t="shared" si="39"/>
        <v>0</v>
      </c>
      <c r="U442" s="99" t="str">
        <f>IFERROR(VLOOKUP($S442,References!$B$3:$C$8,2,FALSE),"")</f>
        <v/>
      </c>
      <c r="V442" s="99" t="str">
        <f t="shared" si="40"/>
        <v/>
      </c>
      <c r="W442" s="66" t="str">
        <f>IFERROR(VLOOKUP($O442,'Customer List'!$A$1:$J$488,10,FALSE),"")</f>
        <v/>
      </c>
    </row>
    <row r="443" spans="1:23">
      <c r="A443" s="95" t="str">
        <f t="shared" si="41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2"/>
        <v>0</v>
      </c>
      <c r="Q443" s="96"/>
      <c r="R443" s="97">
        <f t="shared" si="43"/>
        <v>0</v>
      </c>
      <c r="T443" s="98">
        <f t="shared" si="39"/>
        <v>0</v>
      </c>
      <c r="U443" s="99" t="str">
        <f>IFERROR(VLOOKUP($S443,References!$B$3:$C$8,2,FALSE),"")</f>
        <v/>
      </c>
      <c r="V443" s="99" t="str">
        <f t="shared" si="40"/>
        <v/>
      </c>
      <c r="W443" s="66" t="str">
        <f>IFERROR(VLOOKUP($O443,'Customer List'!$A$1:$J$488,10,FALSE),"")</f>
        <v/>
      </c>
    </row>
    <row r="444" spans="1:23">
      <c r="A444" s="95" t="str">
        <f t="shared" si="41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2"/>
        <v>0</v>
      </c>
      <c r="Q444" s="96"/>
      <c r="R444" s="97">
        <f t="shared" si="43"/>
        <v>0</v>
      </c>
      <c r="T444" s="98">
        <f t="shared" si="39"/>
        <v>0</v>
      </c>
      <c r="U444" s="99" t="str">
        <f>IFERROR(VLOOKUP($S444,References!$B$3:$C$8,2,FALSE),"")</f>
        <v/>
      </c>
      <c r="V444" s="99" t="str">
        <f t="shared" si="40"/>
        <v/>
      </c>
      <c r="W444" s="66" t="str">
        <f>IFERROR(VLOOKUP($O444,'Customer List'!$A$1:$J$488,10,FALSE),"")</f>
        <v/>
      </c>
    </row>
    <row r="445" spans="1:23">
      <c r="A445" s="95" t="str">
        <f t="shared" si="41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2"/>
        <v>0</v>
      </c>
      <c r="Q445" s="96"/>
      <c r="R445" s="97">
        <f t="shared" si="43"/>
        <v>0</v>
      </c>
      <c r="T445" s="98">
        <f t="shared" si="39"/>
        <v>0</v>
      </c>
      <c r="U445" s="99" t="str">
        <f>IFERROR(VLOOKUP($S445,References!$B$3:$C$8,2,FALSE),"")</f>
        <v/>
      </c>
      <c r="V445" s="99" t="str">
        <f t="shared" si="40"/>
        <v/>
      </c>
      <c r="W445" s="66" t="str">
        <f>IFERROR(VLOOKUP($O445,'Customer List'!$A$1:$J$488,10,FALSE),"")</f>
        <v/>
      </c>
    </row>
    <row r="446" spans="1:23">
      <c r="A446" s="95" t="str">
        <f t="shared" si="41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2"/>
        <v>0</v>
      </c>
      <c r="Q446" s="96"/>
      <c r="R446" s="97">
        <f t="shared" si="43"/>
        <v>0</v>
      </c>
      <c r="T446" s="98">
        <f t="shared" si="39"/>
        <v>0</v>
      </c>
      <c r="U446" s="99" t="str">
        <f>IFERROR(VLOOKUP($S446,References!$B$3:$C$8,2,FALSE),"")</f>
        <v/>
      </c>
      <c r="V446" s="99" t="str">
        <f t="shared" si="40"/>
        <v/>
      </c>
      <c r="W446" s="66" t="str">
        <f>IFERROR(VLOOKUP($O446,'Customer List'!$A$1:$J$488,10,FALSE),"")</f>
        <v/>
      </c>
    </row>
    <row r="447" spans="1:23">
      <c r="A447" s="95" t="str">
        <f t="shared" si="41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2"/>
        <v>0</v>
      </c>
      <c r="Q447" s="96"/>
      <c r="R447" s="97">
        <f t="shared" si="43"/>
        <v>0</v>
      </c>
      <c r="T447" s="98">
        <f t="shared" si="39"/>
        <v>0</v>
      </c>
      <c r="U447" s="99" t="str">
        <f>IFERROR(VLOOKUP($S447,References!$B$3:$C$8,2,FALSE),"")</f>
        <v/>
      </c>
      <c r="V447" s="99" t="str">
        <f t="shared" si="40"/>
        <v/>
      </c>
      <c r="W447" s="66" t="str">
        <f>IFERROR(VLOOKUP($O447,'Customer List'!$A$1:$J$488,10,FALSE),"")</f>
        <v/>
      </c>
    </row>
    <row r="448" spans="1:23">
      <c r="A448" s="95" t="str">
        <f t="shared" si="41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2"/>
        <v>0</v>
      </c>
      <c r="Q448" s="96"/>
      <c r="R448" s="97">
        <f t="shared" si="43"/>
        <v>0</v>
      </c>
      <c r="T448" s="98">
        <f t="shared" si="39"/>
        <v>0</v>
      </c>
      <c r="U448" s="99" t="str">
        <f>IFERROR(VLOOKUP($S448,References!$B$3:$C$8,2,FALSE),"")</f>
        <v/>
      </c>
      <c r="V448" s="99" t="str">
        <f t="shared" si="40"/>
        <v/>
      </c>
      <c r="W448" s="66" t="str">
        <f>IFERROR(VLOOKUP($O448,'Customer List'!$A$1:$J$488,10,FALSE),"")</f>
        <v/>
      </c>
    </row>
    <row r="449" spans="1:23">
      <c r="A449" s="95" t="str">
        <f t="shared" si="41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2"/>
        <v>0</v>
      </c>
      <c r="Q449" s="103"/>
      <c r="R449" s="97">
        <f t="shared" si="43"/>
        <v>0</v>
      </c>
      <c r="T449" s="98">
        <f t="shared" si="39"/>
        <v>0</v>
      </c>
      <c r="U449" s="99" t="str">
        <f>IFERROR(VLOOKUP($S449,References!$B$3:$C$8,2,FALSE),"")</f>
        <v/>
      </c>
      <c r="V449" s="99" t="str">
        <f t="shared" si="40"/>
        <v/>
      </c>
      <c r="W449" s="66" t="str">
        <f>IFERROR(VLOOKUP($O449,'Customer List'!$A$1:$J$488,10,FALSE),"")</f>
        <v/>
      </c>
    </row>
    <row r="450" spans="1:23">
      <c r="A450" s="95" t="str">
        <f t="shared" si="41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2"/>
        <v>0</v>
      </c>
      <c r="Q450" s="96"/>
      <c r="R450" s="97">
        <f t="shared" si="43"/>
        <v>0</v>
      </c>
      <c r="T450" s="98">
        <f t="shared" si="39"/>
        <v>0</v>
      </c>
      <c r="U450" s="99" t="str">
        <f>IFERROR(VLOOKUP($S450,References!$B$3:$C$8,2,FALSE),"")</f>
        <v/>
      </c>
      <c r="V450" s="99" t="str">
        <f t="shared" si="40"/>
        <v/>
      </c>
      <c r="W450" s="66" t="str">
        <f>IFERROR(VLOOKUP($O450,'Customer List'!$A$1:$J$488,10,FALSE),"")</f>
        <v/>
      </c>
    </row>
    <row r="451" spans="1:23">
      <c r="A451" s="95" t="str">
        <f t="shared" si="41"/>
        <v/>
      </c>
      <c r="B451" s="141"/>
      <c r="C451" s="141"/>
      <c r="D451" s="141"/>
      <c r="E451" s="141"/>
      <c r="F451" s="141"/>
      <c r="G451" s="141"/>
      <c r="H451" s="141"/>
      <c r="I451" s="141"/>
      <c r="J451" s="141"/>
      <c r="K451" s="142"/>
      <c r="L451" s="142"/>
      <c r="M451" s="142"/>
      <c r="N451" s="141"/>
      <c r="O451" s="150"/>
      <c r="P451" s="96">
        <f t="shared" si="42"/>
        <v>0</v>
      </c>
      <c r="Q451" s="96"/>
      <c r="R451" s="97">
        <f t="shared" si="43"/>
        <v>0</v>
      </c>
      <c r="T451" s="98">
        <f t="shared" si="39"/>
        <v>0</v>
      </c>
      <c r="U451" s="99" t="str">
        <f>IFERROR(VLOOKUP($S451,References!$B$3:$C$8,2,FALSE),"")</f>
        <v/>
      </c>
      <c r="V451" s="99" t="str">
        <f t="shared" si="40"/>
        <v/>
      </c>
      <c r="W451" s="66" t="str">
        <f>IFERROR(VLOOKUP($O451,'Customer List'!$A$1:$J$488,10,FALSE),"")</f>
        <v/>
      </c>
    </row>
    <row r="452" spans="1:23">
      <c r="A452" s="95" t="str">
        <f t="shared" si="41"/>
        <v/>
      </c>
      <c r="B452" s="108"/>
      <c r="C452" s="108"/>
      <c r="D452" s="108"/>
      <c r="E452" s="108"/>
      <c r="F452" s="108"/>
      <c r="G452" s="108"/>
      <c r="H452" s="108"/>
      <c r="I452" s="108"/>
      <c r="J452" s="108"/>
      <c r="K452" s="109"/>
      <c r="L452" s="109"/>
      <c r="M452" s="109"/>
      <c r="N452" s="141"/>
      <c r="O452" s="150"/>
      <c r="P452" s="96">
        <f t="shared" si="42"/>
        <v>0</v>
      </c>
      <c r="Q452" s="96"/>
      <c r="R452" s="97">
        <f t="shared" si="43"/>
        <v>0</v>
      </c>
      <c r="T452" s="98">
        <f t="shared" ref="T452:T488" si="44">IF(S452="50 - Cleaning Fee",1,HOUR($R452)+MINUTE(R452)/60)</f>
        <v>0</v>
      </c>
      <c r="U452" s="99" t="str">
        <f>IFERROR(VLOOKUP($S452,References!$B$3:$C$8,2,FALSE),"")</f>
        <v/>
      </c>
      <c r="V452" s="99" t="str">
        <f t="shared" ref="V452:V515" si="45">IF(T452&gt;=8,400,(IFERROR(T452*U452,"")))</f>
        <v/>
      </c>
      <c r="W452" s="66" t="str">
        <f>IFERROR(VLOOKUP($O452,'Customer List'!$A$1:$J$488,10,FALSE),"")</f>
        <v/>
      </c>
    </row>
    <row r="453" spans="1:23">
      <c r="A453" s="95" t="str">
        <f t="shared" si="41"/>
        <v/>
      </c>
      <c r="B453" s="108"/>
      <c r="C453" s="108"/>
      <c r="D453" s="108"/>
      <c r="E453" s="108"/>
      <c r="F453" s="108"/>
      <c r="G453" s="141"/>
      <c r="H453" s="141"/>
      <c r="I453" s="141"/>
      <c r="J453" s="108"/>
      <c r="K453" s="109"/>
      <c r="L453" s="109"/>
      <c r="M453" s="109"/>
      <c r="N453" s="108"/>
      <c r="O453" s="150"/>
      <c r="P453" s="96">
        <f t="shared" si="42"/>
        <v>0</v>
      </c>
      <c r="Q453" s="96"/>
      <c r="R453" s="97">
        <f t="shared" si="43"/>
        <v>0</v>
      </c>
      <c r="T453" s="98">
        <f t="shared" si="44"/>
        <v>0</v>
      </c>
      <c r="U453" s="99" t="str">
        <f>IFERROR(VLOOKUP($S453,References!$B$3:$C$8,2,FALSE),"")</f>
        <v/>
      </c>
      <c r="V453" s="99" t="str">
        <f t="shared" si="45"/>
        <v/>
      </c>
      <c r="W453" s="66" t="str">
        <f>IFERROR(VLOOKUP($O453,'Customer List'!$A$1:$J$488,10,FALSE),"")</f>
        <v/>
      </c>
    </row>
    <row r="454" spans="1:23">
      <c r="A454" s="95" t="str">
        <f t="shared" si="41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08"/>
      <c r="O454" s="150"/>
      <c r="P454" s="96">
        <f t="shared" si="42"/>
        <v>0</v>
      </c>
      <c r="Q454" s="96"/>
      <c r="R454" s="97">
        <f t="shared" si="43"/>
        <v>0</v>
      </c>
      <c r="T454" s="98">
        <f t="shared" si="44"/>
        <v>0</v>
      </c>
      <c r="U454" s="99" t="str">
        <f>IFERROR(VLOOKUP($S454,References!$B$3:$C$8,2,FALSE),"")</f>
        <v/>
      </c>
      <c r="V454" s="99" t="str">
        <f t="shared" si="45"/>
        <v/>
      </c>
      <c r="W454" s="66" t="str">
        <f>IFERROR(VLOOKUP($O454,'Customer List'!$A$1:$J$488,10,FALSE),"")</f>
        <v/>
      </c>
    </row>
    <row r="455" spans="1:23">
      <c r="A455" s="95" t="str">
        <f t="shared" si="41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2"/>
        <v>0</v>
      </c>
      <c r="Q455" s="96"/>
      <c r="R455" s="97">
        <f t="shared" si="43"/>
        <v>0</v>
      </c>
      <c r="T455" s="98">
        <f t="shared" si="44"/>
        <v>0</v>
      </c>
      <c r="U455" s="99" t="str">
        <f>IFERROR(VLOOKUP($S455,References!$B$3:$C$8,2,FALSE),"")</f>
        <v/>
      </c>
      <c r="V455" s="99" t="str">
        <f t="shared" si="45"/>
        <v/>
      </c>
      <c r="W455" s="66" t="str">
        <f>IFERROR(VLOOKUP($O455,'Customer List'!$A$1:$J$488,10,FALSE),"")</f>
        <v/>
      </c>
    </row>
    <row r="456" spans="1:23">
      <c r="A456" s="95" t="str">
        <f t="shared" si="41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2"/>
        <v>0</v>
      </c>
      <c r="Q456" s="96"/>
      <c r="R456" s="97">
        <f t="shared" si="43"/>
        <v>0</v>
      </c>
      <c r="T456" s="98">
        <f t="shared" si="44"/>
        <v>0</v>
      </c>
      <c r="U456" s="99" t="str">
        <f>IFERROR(VLOOKUP($S456,References!$B$3:$C$8,2,FALSE),"")</f>
        <v/>
      </c>
      <c r="V456" s="99" t="str">
        <f t="shared" si="45"/>
        <v/>
      </c>
      <c r="W456" s="66" t="str">
        <f>IFERROR(VLOOKUP($O456,'Customer List'!$A$1:$J$488,10,FALSE),"")</f>
        <v/>
      </c>
    </row>
    <row r="457" spans="1:23">
      <c r="A457" s="95" t="str">
        <f t="shared" si="41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2"/>
        <v>0</v>
      </c>
      <c r="Q457" s="96"/>
      <c r="R457" s="97">
        <f t="shared" si="43"/>
        <v>0</v>
      </c>
      <c r="T457" s="98">
        <f t="shared" si="44"/>
        <v>0</v>
      </c>
      <c r="U457" s="99" t="str">
        <f>IFERROR(VLOOKUP($S457,References!$B$3:$C$8,2,FALSE),"")</f>
        <v/>
      </c>
      <c r="V457" s="99" t="str">
        <f t="shared" si="45"/>
        <v/>
      </c>
      <c r="W457" s="66" t="str">
        <f>IFERROR(VLOOKUP($O457,'Customer List'!$A$1:$J$488,10,FALSE),"")</f>
        <v/>
      </c>
    </row>
    <row r="458" spans="1:23">
      <c r="A458" s="95" t="str">
        <f t="shared" si="41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2"/>
        <v>0</v>
      </c>
      <c r="Q458" s="96"/>
      <c r="R458" s="97">
        <f t="shared" si="43"/>
        <v>0</v>
      </c>
      <c r="T458" s="98">
        <f t="shared" si="44"/>
        <v>0</v>
      </c>
      <c r="U458" s="99" t="str">
        <f>IFERROR(VLOOKUP($S458,References!$B$3:$C$8,2,FALSE),"")</f>
        <v/>
      </c>
      <c r="V458" s="99" t="str">
        <f t="shared" si="45"/>
        <v/>
      </c>
      <c r="W458" s="66" t="str">
        <f>IFERROR(VLOOKUP($O458,'Customer List'!$A$1:$J$488,10,FALSE),"")</f>
        <v/>
      </c>
    </row>
    <row r="459" spans="1:23">
      <c r="A459" s="95" t="str">
        <f t="shared" si="41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2"/>
        <v>0</v>
      </c>
      <c r="Q459" s="96"/>
      <c r="R459" s="97">
        <f t="shared" si="43"/>
        <v>0</v>
      </c>
      <c r="T459" s="98">
        <f t="shared" si="44"/>
        <v>0</v>
      </c>
      <c r="U459" s="99" t="str">
        <f>IFERROR(VLOOKUP($S459,References!$B$3:$C$8,2,FALSE),"")</f>
        <v/>
      </c>
      <c r="V459" s="99" t="str">
        <f t="shared" si="45"/>
        <v/>
      </c>
      <c r="W459" s="66" t="str">
        <f>IFERROR(VLOOKUP($O459,'Customer List'!$A$1:$J$488,10,FALSE),"")</f>
        <v/>
      </c>
    </row>
    <row r="460" spans="1:23">
      <c r="A460" s="95" t="str">
        <f t="shared" si="41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2"/>
        <v>0</v>
      </c>
      <c r="Q460" s="96"/>
      <c r="R460" s="97">
        <f t="shared" si="43"/>
        <v>0</v>
      </c>
      <c r="T460" s="98">
        <f t="shared" si="44"/>
        <v>0</v>
      </c>
      <c r="U460" s="99" t="str">
        <f>IFERROR(VLOOKUP($S460,References!$B$3:$C$8,2,FALSE),"")</f>
        <v/>
      </c>
      <c r="V460" s="99" t="str">
        <f t="shared" si="45"/>
        <v/>
      </c>
      <c r="W460" s="66" t="str">
        <f>IFERROR(VLOOKUP($O460,'Customer List'!$A$1:$J$488,10,FALSE),"")</f>
        <v/>
      </c>
    </row>
    <row r="461" spans="1:23">
      <c r="A461" s="95" t="str">
        <f t="shared" si="41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2"/>
        <v>0</v>
      </c>
      <c r="Q461" s="96"/>
      <c r="R461" s="97">
        <f t="shared" si="43"/>
        <v>0</v>
      </c>
      <c r="T461" s="98">
        <f t="shared" si="44"/>
        <v>0</v>
      </c>
      <c r="U461" s="99" t="str">
        <f>IFERROR(VLOOKUP($S461,References!$B$3:$C$8,2,FALSE),"")</f>
        <v/>
      </c>
      <c r="V461" s="99" t="str">
        <f t="shared" si="45"/>
        <v/>
      </c>
      <c r="W461" s="66" t="str">
        <f>IFERROR(VLOOKUP($O461,'Customer List'!$A$1:$J$488,10,FALSE),"")</f>
        <v/>
      </c>
    </row>
    <row r="462" spans="1:23">
      <c r="A462" s="95" t="str">
        <f t="shared" si="41"/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si="42"/>
        <v>0</v>
      </c>
      <c r="Q462" s="96"/>
      <c r="R462" s="97">
        <f t="shared" si="43"/>
        <v>0</v>
      </c>
      <c r="T462" s="98">
        <f t="shared" si="44"/>
        <v>0</v>
      </c>
      <c r="U462" s="99" t="str">
        <f>IFERROR(VLOOKUP($S462,References!$B$3:$C$8,2,FALSE),"")</f>
        <v/>
      </c>
      <c r="V462" s="99" t="str">
        <f t="shared" si="45"/>
        <v/>
      </c>
      <c r="W462" s="66" t="str">
        <f>IFERROR(VLOOKUP($O462,'Customer List'!$A$1:$J$488,10,FALSE),"")</f>
        <v/>
      </c>
    </row>
    <row r="463" spans="1:23">
      <c r="A463" s="95" t="str">
        <f t="shared" ref="A463:A526" si="46">O463&amp;S463</f>
        <v/>
      </c>
      <c r="B463" s="108"/>
      <c r="C463" s="141"/>
      <c r="D463" s="141"/>
      <c r="E463" s="141"/>
      <c r="F463" s="108"/>
      <c r="G463" s="141"/>
      <c r="H463" s="141"/>
      <c r="I463" s="141"/>
      <c r="J463" s="108"/>
      <c r="K463" s="109"/>
      <c r="L463" s="109"/>
      <c r="M463" s="109"/>
      <c r="N463" s="141"/>
      <c r="O463" s="150"/>
      <c r="P463" s="96">
        <f t="shared" ref="P463:P526" si="47">INT(L463)</f>
        <v>0</v>
      </c>
      <c r="Q463" s="96"/>
      <c r="R463" s="97">
        <f t="shared" ref="R463:R526" si="48">L463-K463</f>
        <v>0</v>
      </c>
      <c r="T463" s="98">
        <f t="shared" si="44"/>
        <v>0</v>
      </c>
      <c r="U463" s="99" t="str">
        <f>IFERROR(VLOOKUP($S463,References!$B$3:$C$8,2,FALSE),"")</f>
        <v/>
      </c>
      <c r="V463" s="99" t="str">
        <f t="shared" si="45"/>
        <v/>
      </c>
      <c r="W463" s="66" t="str">
        <f>IFERROR(VLOOKUP($O463,'Customer List'!$A$1:$J$488,10,FALSE),"")</f>
        <v/>
      </c>
    </row>
    <row r="464" spans="1:23">
      <c r="A464" s="95" t="str">
        <f t="shared" si="46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41"/>
      <c r="O464" s="150"/>
      <c r="P464" s="96">
        <f t="shared" si="47"/>
        <v>0</v>
      </c>
      <c r="Q464" s="96"/>
      <c r="R464" s="97">
        <f t="shared" si="48"/>
        <v>0</v>
      </c>
      <c r="T464" s="98">
        <f t="shared" si="44"/>
        <v>0</v>
      </c>
      <c r="U464" s="99" t="str">
        <f>IFERROR(VLOOKUP($S464,References!$B$3:$C$8,2,FALSE),"")</f>
        <v/>
      </c>
      <c r="V464" s="99" t="str">
        <f t="shared" si="45"/>
        <v/>
      </c>
      <c r="W464" s="66" t="str">
        <f>IFERROR(VLOOKUP($O464,'Customer List'!$A$1:$J$488,10,FALSE),"")</f>
        <v/>
      </c>
    </row>
    <row r="465" spans="1:23">
      <c r="A465" s="95" t="str">
        <f t="shared" si="46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47"/>
        <v>0</v>
      </c>
      <c r="Q465" s="96"/>
      <c r="R465" s="97">
        <f t="shared" si="48"/>
        <v>0</v>
      </c>
      <c r="T465" s="98">
        <f t="shared" si="44"/>
        <v>0</v>
      </c>
      <c r="U465" s="99" t="str">
        <f>IFERROR(VLOOKUP($S465,References!$B$3:$C$8,2,FALSE),"")</f>
        <v/>
      </c>
      <c r="V465" s="99" t="str">
        <f t="shared" si="45"/>
        <v/>
      </c>
      <c r="W465" s="66" t="str">
        <f>IFERROR(VLOOKUP($O465,'Customer List'!$A$1:$J$488,10,FALSE),"")</f>
        <v/>
      </c>
    </row>
    <row r="466" spans="1:23">
      <c r="A466" s="95" t="str">
        <f t="shared" si="46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47"/>
        <v>0</v>
      </c>
      <c r="Q466" s="96"/>
      <c r="R466" s="97">
        <f t="shared" si="48"/>
        <v>0</v>
      </c>
      <c r="T466" s="98">
        <f t="shared" si="44"/>
        <v>0</v>
      </c>
      <c r="U466" s="99" t="str">
        <f>IFERROR(VLOOKUP($S466,References!$B$3:$C$8,2,FALSE),"")</f>
        <v/>
      </c>
      <c r="V466" s="99" t="str">
        <f t="shared" si="45"/>
        <v/>
      </c>
      <c r="W466" s="66" t="str">
        <f>IFERROR(VLOOKUP($O466,'Customer List'!$A$1:$J$488,10,FALSE),"")</f>
        <v/>
      </c>
    </row>
    <row r="467" spans="1:23">
      <c r="A467" s="95" t="str">
        <f t="shared" si="46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47"/>
        <v>0</v>
      </c>
      <c r="Q467" s="96"/>
      <c r="R467" s="97">
        <f t="shared" si="48"/>
        <v>0</v>
      </c>
      <c r="T467" s="98">
        <f t="shared" si="44"/>
        <v>0</v>
      </c>
      <c r="U467" s="99" t="str">
        <f>IFERROR(VLOOKUP($S467,References!$B$3:$C$8,2,FALSE),"")</f>
        <v/>
      </c>
      <c r="V467" s="99" t="str">
        <f t="shared" si="45"/>
        <v/>
      </c>
      <c r="W467" s="66" t="str">
        <f>IFERROR(VLOOKUP($O467,'Customer List'!$A$1:$J$488,10,FALSE),"")</f>
        <v/>
      </c>
    </row>
    <row r="468" spans="1:23">
      <c r="A468" s="95" t="str">
        <f t="shared" si="46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47"/>
        <v>0</v>
      </c>
      <c r="Q468" s="96"/>
      <c r="R468" s="97">
        <f t="shared" si="48"/>
        <v>0</v>
      </c>
      <c r="T468" s="98">
        <f t="shared" si="44"/>
        <v>0</v>
      </c>
      <c r="U468" s="99" t="str">
        <f>IFERROR(VLOOKUP($S468,References!$B$3:$C$8,2,FALSE),"")</f>
        <v/>
      </c>
      <c r="V468" s="99" t="str">
        <f t="shared" si="45"/>
        <v/>
      </c>
      <c r="W468" s="66" t="str">
        <f>IFERROR(VLOOKUP($O468,'Customer List'!$A$1:$J$488,10,FALSE),"")</f>
        <v/>
      </c>
    </row>
    <row r="469" spans="1:23">
      <c r="A469" s="95" t="str">
        <f t="shared" si="46"/>
        <v/>
      </c>
      <c r="B469" s="108"/>
      <c r="C469" s="108"/>
      <c r="D469" s="108"/>
      <c r="E469" s="108"/>
      <c r="F469" s="108"/>
      <c r="G469" s="108"/>
      <c r="H469" s="108"/>
      <c r="I469" s="108"/>
      <c r="J469" s="108"/>
      <c r="K469" s="109"/>
      <c r="L469" s="109"/>
      <c r="M469" s="109"/>
      <c r="N469" s="108"/>
      <c r="O469" s="150"/>
      <c r="P469" s="96">
        <f t="shared" si="47"/>
        <v>0</v>
      </c>
      <c r="Q469" s="96"/>
      <c r="R469" s="97">
        <f t="shared" si="48"/>
        <v>0</v>
      </c>
      <c r="T469" s="98">
        <f t="shared" si="44"/>
        <v>0</v>
      </c>
      <c r="U469" s="99" t="str">
        <f>IFERROR(VLOOKUP($S469,References!$B$3:$C$8,2,FALSE),"")</f>
        <v/>
      </c>
      <c r="V469" s="99" t="str">
        <f t="shared" si="45"/>
        <v/>
      </c>
      <c r="W469" s="66" t="str">
        <f>IFERROR(VLOOKUP($O469,'Customer List'!$A$1:$J$488,10,FALSE),"")</f>
        <v/>
      </c>
    </row>
    <row r="470" spans="1:23">
      <c r="A470" s="95" t="str">
        <f t="shared" si="46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08"/>
      <c r="O470" s="150"/>
      <c r="P470" s="96">
        <f t="shared" si="47"/>
        <v>0</v>
      </c>
      <c r="Q470" s="96"/>
      <c r="R470" s="97">
        <f t="shared" si="48"/>
        <v>0</v>
      </c>
      <c r="T470" s="98">
        <f t="shared" si="44"/>
        <v>0</v>
      </c>
      <c r="U470" s="99" t="str">
        <f>IFERROR(VLOOKUP($S470,References!$B$3:$C$8,2,FALSE),"")</f>
        <v/>
      </c>
      <c r="V470" s="99" t="str">
        <f t="shared" si="45"/>
        <v/>
      </c>
      <c r="W470" s="66" t="str">
        <f>IFERROR(VLOOKUP($O470,'Customer List'!$A$1:$J$488,10,FALSE),"")</f>
        <v/>
      </c>
    </row>
    <row r="471" spans="1:23">
      <c r="A471" s="95" t="str">
        <f t="shared" si="46"/>
        <v/>
      </c>
      <c r="B471" s="110"/>
      <c r="C471" s="110"/>
      <c r="D471" s="110"/>
      <c r="E471" s="110"/>
      <c r="F471" s="110"/>
      <c r="G471" s="110"/>
      <c r="H471" s="110"/>
      <c r="I471" s="110"/>
      <c r="J471" s="110"/>
      <c r="K471" s="111"/>
      <c r="L471" s="111"/>
      <c r="M471" s="111"/>
      <c r="N471" s="110"/>
      <c r="O471" s="150"/>
      <c r="P471" s="96">
        <f t="shared" si="47"/>
        <v>0</v>
      </c>
      <c r="Q471" s="96"/>
      <c r="R471" s="97">
        <f t="shared" si="48"/>
        <v>0</v>
      </c>
      <c r="T471" s="98">
        <f t="shared" si="44"/>
        <v>0</v>
      </c>
      <c r="U471" s="99" t="str">
        <f>IFERROR(VLOOKUP($S471,References!$B$3:$C$8,2,FALSE),"")</f>
        <v/>
      </c>
      <c r="V471" s="99" t="str">
        <f t="shared" si="45"/>
        <v/>
      </c>
      <c r="W471" s="66" t="str">
        <f>IFERROR(VLOOKUP($O471,'Customer List'!$A$1:$J$488,10,FALSE),"")</f>
        <v/>
      </c>
    </row>
    <row r="472" spans="1:23">
      <c r="A472" s="95" t="str">
        <f t="shared" si="46"/>
        <v/>
      </c>
      <c r="B472" s="110"/>
      <c r="C472" s="110"/>
      <c r="D472" s="110"/>
      <c r="E472" s="110"/>
      <c r="F472" s="110"/>
      <c r="G472" s="108"/>
      <c r="H472" s="108"/>
      <c r="I472" s="108"/>
      <c r="J472" s="110"/>
      <c r="K472" s="111"/>
      <c r="L472" s="111"/>
      <c r="M472" s="111"/>
      <c r="N472" s="110"/>
      <c r="O472" s="150"/>
      <c r="P472" s="96">
        <f t="shared" si="47"/>
        <v>0</v>
      </c>
      <c r="Q472" s="96"/>
      <c r="R472" s="97">
        <f t="shared" si="48"/>
        <v>0</v>
      </c>
      <c r="T472" s="98">
        <f t="shared" si="44"/>
        <v>0</v>
      </c>
      <c r="U472" s="99" t="str">
        <f>IFERROR(VLOOKUP($S472,References!$B$3:$C$8,2,FALSE),"")</f>
        <v/>
      </c>
      <c r="V472" s="99" t="str">
        <f t="shared" si="45"/>
        <v/>
      </c>
      <c r="W472" s="66" t="str">
        <f>IFERROR(VLOOKUP($O472,'Customer List'!$A$1:$J$488,10,FALSE),"")</f>
        <v/>
      </c>
    </row>
    <row r="473" spans="1:23">
      <c r="A473" s="95" t="str">
        <f t="shared" si="46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10"/>
      <c r="O473" s="150"/>
      <c r="P473" s="96">
        <f t="shared" si="47"/>
        <v>0</v>
      </c>
      <c r="Q473" s="96"/>
      <c r="R473" s="97">
        <f t="shared" si="48"/>
        <v>0</v>
      </c>
      <c r="T473" s="98">
        <f t="shared" si="44"/>
        <v>0</v>
      </c>
      <c r="U473" s="99" t="str">
        <f>IFERROR(VLOOKUP($S473,References!$B$3:$C$8,2,FALSE),"")</f>
        <v/>
      </c>
      <c r="V473" s="99" t="str">
        <f t="shared" si="45"/>
        <v/>
      </c>
      <c r="W473" s="66" t="str">
        <f>IFERROR(VLOOKUP($O473,'Customer List'!$A$1:$J$488,10,FALSE),"")</f>
        <v/>
      </c>
    </row>
    <row r="474" spans="1:23">
      <c r="A474" s="95" t="str">
        <f t="shared" si="46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47"/>
        <v>0</v>
      </c>
      <c r="Q474" s="96"/>
      <c r="R474" s="97">
        <f t="shared" si="48"/>
        <v>0</v>
      </c>
      <c r="T474" s="98">
        <f t="shared" si="44"/>
        <v>0</v>
      </c>
      <c r="U474" s="99" t="str">
        <f>IFERROR(VLOOKUP($S474,References!$B$3:$C$8,2,FALSE),"")</f>
        <v/>
      </c>
      <c r="V474" s="99" t="str">
        <f t="shared" si="45"/>
        <v/>
      </c>
      <c r="W474" s="66" t="str">
        <f>IFERROR(VLOOKUP($O474,'Customer List'!$A$1:$J$488,10,FALSE),"")</f>
        <v/>
      </c>
    </row>
    <row r="475" spans="1:23">
      <c r="A475" s="95" t="str">
        <f t="shared" si="46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47"/>
        <v>0</v>
      </c>
      <c r="Q475" s="96"/>
      <c r="R475" s="97">
        <f t="shared" si="48"/>
        <v>0</v>
      </c>
      <c r="T475" s="98">
        <f t="shared" si="44"/>
        <v>0</v>
      </c>
      <c r="U475" s="99" t="str">
        <f>IFERROR(VLOOKUP($S475,References!$B$3:$C$8,2,FALSE),"")</f>
        <v/>
      </c>
      <c r="V475" s="99" t="str">
        <f t="shared" si="45"/>
        <v/>
      </c>
      <c r="W475" s="66" t="str">
        <f>IFERROR(VLOOKUP($O475,'Customer List'!$A$1:$J$488,10,FALSE),"")</f>
        <v/>
      </c>
    </row>
    <row r="476" spans="1:23">
      <c r="A476" s="95" t="str">
        <f t="shared" si="46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47"/>
        <v>0</v>
      </c>
      <c r="Q476" s="96"/>
      <c r="R476" s="97">
        <f t="shared" si="48"/>
        <v>0</v>
      </c>
      <c r="T476" s="98">
        <f t="shared" si="44"/>
        <v>0</v>
      </c>
      <c r="U476" s="99" t="str">
        <f>IFERROR(VLOOKUP($S476,References!$B$3:$C$8,2,FALSE),"")</f>
        <v/>
      </c>
      <c r="V476" s="99" t="str">
        <f t="shared" si="45"/>
        <v/>
      </c>
      <c r="W476" s="66" t="str">
        <f>IFERROR(VLOOKUP($O476,'Customer List'!$A$1:$J$488,10,FALSE),"")</f>
        <v/>
      </c>
    </row>
    <row r="477" spans="1:23">
      <c r="A477" s="95" t="str">
        <f t="shared" si="46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47"/>
        <v>0</v>
      </c>
      <c r="Q477" s="96"/>
      <c r="R477" s="97">
        <f t="shared" si="48"/>
        <v>0</v>
      </c>
      <c r="T477" s="98">
        <f t="shared" si="44"/>
        <v>0</v>
      </c>
      <c r="U477" s="99" t="str">
        <f>IFERROR(VLOOKUP($S477,References!$B$3:$C$8,2,FALSE),"")</f>
        <v/>
      </c>
      <c r="V477" s="99" t="str">
        <f t="shared" si="45"/>
        <v/>
      </c>
      <c r="W477" s="66" t="str">
        <f>IFERROR(VLOOKUP($O477,'Customer List'!$A$1:$J$488,10,FALSE),"")</f>
        <v/>
      </c>
    </row>
    <row r="478" spans="1:23">
      <c r="A478" s="95" t="str">
        <f t="shared" si="46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47"/>
        <v>0</v>
      </c>
      <c r="Q478" s="96"/>
      <c r="R478" s="97">
        <f t="shared" si="48"/>
        <v>0</v>
      </c>
      <c r="T478" s="98">
        <f t="shared" si="44"/>
        <v>0</v>
      </c>
      <c r="U478" s="99" t="str">
        <f>IFERROR(VLOOKUP($S478,References!$B$3:$C$8,2,FALSE),"")</f>
        <v/>
      </c>
      <c r="V478" s="99" t="str">
        <f t="shared" si="45"/>
        <v/>
      </c>
      <c r="W478" s="66" t="str">
        <f>IFERROR(VLOOKUP($O478,'Customer List'!$A$1:$J$488,10,FALSE),"")</f>
        <v/>
      </c>
    </row>
    <row r="479" spans="1:23">
      <c r="A479" s="95" t="str">
        <f t="shared" si="46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47"/>
        <v>0</v>
      </c>
      <c r="Q479" s="96"/>
      <c r="R479" s="97">
        <f t="shared" si="48"/>
        <v>0</v>
      </c>
      <c r="T479" s="98">
        <f t="shared" si="44"/>
        <v>0</v>
      </c>
      <c r="U479" s="99" t="str">
        <f>IFERROR(VLOOKUP($S479,References!$B$3:$C$8,2,FALSE),"")</f>
        <v/>
      </c>
      <c r="V479" s="99" t="str">
        <f t="shared" si="45"/>
        <v/>
      </c>
      <c r="W479" s="66" t="str">
        <f>IFERROR(VLOOKUP($O479,'Customer List'!$A$1:$J$488,10,FALSE),"")</f>
        <v/>
      </c>
    </row>
    <row r="480" spans="1:23">
      <c r="A480" s="95" t="str">
        <f t="shared" si="46"/>
        <v/>
      </c>
      <c r="C480" s="108"/>
      <c r="D480" s="108"/>
      <c r="E480" s="108"/>
      <c r="F480" s="110"/>
      <c r="G480" s="108"/>
      <c r="H480" s="108"/>
      <c r="I480" s="108"/>
      <c r="J480" s="110"/>
      <c r="K480" s="111"/>
      <c r="L480" s="111"/>
      <c r="M480" s="111"/>
      <c r="N480" s="108"/>
      <c r="O480" s="150"/>
      <c r="P480" s="96">
        <f t="shared" si="47"/>
        <v>0</v>
      </c>
      <c r="Q480" s="96"/>
      <c r="R480" s="97">
        <f t="shared" si="48"/>
        <v>0</v>
      </c>
      <c r="T480" s="98">
        <f t="shared" si="44"/>
        <v>0</v>
      </c>
      <c r="U480" s="99" t="str">
        <f>IFERROR(VLOOKUP($S480,References!$B$3:$C$8,2,FALSE),"")</f>
        <v/>
      </c>
      <c r="V480" s="99" t="str">
        <f t="shared" si="45"/>
        <v/>
      </c>
      <c r="W480" s="66" t="str">
        <f>IFERROR(VLOOKUP($O480,'Customer List'!$A$1:$J$488,10,FALSE),"")</f>
        <v/>
      </c>
    </row>
    <row r="481" spans="1:23">
      <c r="A481" s="95" t="str">
        <f t="shared" si="46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08"/>
      <c r="O481" s="150"/>
      <c r="P481" s="96">
        <f t="shared" si="47"/>
        <v>0</v>
      </c>
      <c r="Q481" s="96"/>
      <c r="R481" s="97">
        <f t="shared" si="48"/>
        <v>0</v>
      </c>
      <c r="T481" s="98">
        <f t="shared" si="44"/>
        <v>0</v>
      </c>
      <c r="U481" s="99" t="str">
        <f>IFERROR(VLOOKUP($S481,References!$B$3:$C$8,2,FALSE),"")</f>
        <v/>
      </c>
      <c r="V481" s="99" t="str">
        <f t="shared" si="45"/>
        <v/>
      </c>
      <c r="W481" s="66" t="str">
        <f>IFERROR(VLOOKUP($O481,'Customer List'!$A$1:$J$488,10,FALSE),"")</f>
        <v/>
      </c>
    </row>
    <row r="482" spans="1:23">
      <c r="A482" s="95" t="str">
        <f t="shared" si="46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47"/>
        <v>0</v>
      </c>
      <c r="Q482" s="96"/>
      <c r="R482" s="97">
        <f t="shared" si="48"/>
        <v>0</v>
      </c>
      <c r="T482" s="98">
        <f t="shared" si="44"/>
        <v>0</v>
      </c>
      <c r="U482" s="99" t="str">
        <f>IFERROR(VLOOKUP($S482,References!$B$3:$C$8,2,FALSE),"")</f>
        <v/>
      </c>
      <c r="V482" s="99" t="str">
        <f t="shared" si="45"/>
        <v/>
      </c>
      <c r="W482" s="66" t="str">
        <f>IFERROR(VLOOKUP($O482,'Customer List'!$A$1:$J$488,10,FALSE),"")</f>
        <v/>
      </c>
    </row>
    <row r="483" spans="1:23">
      <c r="A483" s="95" t="str">
        <f t="shared" si="46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47"/>
        <v>0</v>
      </c>
      <c r="Q483" s="96"/>
      <c r="R483" s="97">
        <f t="shared" si="48"/>
        <v>0</v>
      </c>
      <c r="T483" s="98">
        <f t="shared" si="44"/>
        <v>0</v>
      </c>
      <c r="U483" s="99" t="str">
        <f>IFERROR(VLOOKUP($S483,References!$B$3:$C$8,2,FALSE),"")</f>
        <v/>
      </c>
      <c r="V483" s="99" t="str">
        <f t="shared" si="45"/>
        <v/>
      </c>
      <c r="W483" s="66" t="str">
        <f>IFERROR(VLOOKUP($O483,'Customer List'!$A$1:$J$488,10,FALSE),"")</f>
        <v/>
      </c>
    </row>
    <row r="484" spans="1:23">
      <c r="A484" s="95" t="str">
        <f t="shared" si="46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47"/>
        <v>0</v>
      </c>
      <c r="Q484" s="96"/>
      <c r="R484" s="97">
        <f t="shared" si="48"/>
        <v>0</v>
      </c>
      <c r="T484" s="98">
        <f t="shared" si="44"/>
        <v>0</v>
      </c>
      <c r="U484" s="99" t="str">
        <f>IFERROR(VLOOKUP($S484,References!$B$3:$C$8,2,FALSE),"")</f>
        <v/>
      </c>
      <c r="V484" s="99" t="str">
        <f t="shared" si="45"/>
        <v/>
      </c>
      <c r="W484" s="66" t="str">
        <f>IFERROR(VLOOKUP($O484,'Customer List'!$A$1:$J$488,10,FALSE),"")</f>
        <v/>
      </c>
    </row>
    <row r="485" spans="1:23">
      <c r="A485" s="95" t="str">
        <f t="shared" si="46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47"/>
        <v>0</v>
      </c>
      <c r="Q485" s="103"/>
      <c r="R485" s="97">
        <f t="shared" si="48"/>
        <v>0</v>
      </c>
      <c r="T485" s="98">
        <f t="shared" si="44"/>
        <v>0</v>
      </c>
      <c r="U485" s="99" t="str">
        <f>IFERROR(VLOOKUP($S485,References!$B$3:$C$8,2,FALSE),"")</f>
        <v/>
      </c>
      <c r="V485" s="99" t="str">
        <f t="shared" si="45"/>
        <v/>
      </c>
      <c r="W485" s="66" t="str">
        <f>IFERROR(VLOOKUP($O485,'Customer List'!$A$1:$J$488,10,FALSE),"")</f>
        <v/>
      </c>
    </row>
    <row r="486" spans="1:23">
      <c r="A486" s="95" t="str">
        <f t="shared" si="46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47"/>
        <v>0</v>
      </c>
      <c r="Q486" s="96"/>
      <c r="R486" s="97">
        <f t="shared" si="48"/>
        <v>0</v>
      </c>
      <c r="T486" s="98">
        <f t="shared" si="44"/>
        <v>0</v>
      </c>
      <c r="U486" s="99" t="str">
        <f>IFERROR(VLOOKUP($S486,References!$B$3:$C$8,2,FALSE),"")</f>
        <v/>
      </c>
      <c r="V486" s="99" t="str">
        <f t="shared" si="45"/>
        <v/>
      </c>
      <c r="W486" s="66" t="str">
        <f>IFERROR(VLOOKUP($O486,'Customer List'!$A$1:$J$488,10,FALSE),"")</f>
        <v/>
      </c>
    </row>
    <row r="487" spans="1:23">
      <c r="A487" s="95" t="str">
        <f t="shared" si="46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47"/>
        <v>0</v>
      </c>
      <c r="Q487" s="96"/>
      <c r="R487" s="97">
        <f t="shared" si="48"/>
        <v>0</v>
      </c>
      <c r="T487" s="98">
        <f t="shared" si="44"/>
        <v>0</v>
      </c>
      <c r="U487" s="99" t="str">
        <f>IFERROR(VLOOKUP($S487,References!$B$3:$C$8,2,FALSE),"")</f>
        <v/>
      </c>
      <c r="V487" s="99" t="str">
        <f t="shared" si="45"/>
        <v/>
      </c>
      <c r="W487" s="66" t="str">
        <f>IFERROR(VLOOKUP($O487,'Customer List'!$A$1:$J$488,10,FALSE),"")</f>
        <v/>
      </c>
    </row>
    <row r="488" spans="1:23">
      <c r="A488" s="95" t="str">
        <f t="shared" si="46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47"/>
        <v>0</v>
      </c>
      <c r="Q488" s="96"/>
      <c r="R488" s="97">
        <f t="shared" si="48"/>
        <v>0</v>
      </c>
      <c r="T488" s="98">
        <f t="shared" si="44"/>
        <v>0</v>
      </c>
      <c r="U488" s="99" t="str">
        <f>IFERROR(VLOOKUP($S488,References!$B$3:$C$8,2,FALSE),"")</f>
        <v/>
      </c>
      <c r="V488" s="99" t="str">
        <f t="shared" si="45"/>
        <v/>
      </c>
      <c r="W488" s="66" t="str">
        <f>IFERROR(VLOOKUP($O488,'Customer List'!$A$1:$J$488,10,FALSE),"")</f>
        <v/>
      </c>
    </row>
    <row r="489" spans="1:23">
      <c r="A489" s="95" t="str">
        <f t="shared" si="46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47"/>
        <v>0</v>
      </c>
      <c r="Q489" s="96"/>
      <c r="R489" s="97">
        <f t="shared" si="48"/>
        <v>0</v>
      </c>
      <c r="T489" s="98">
        <f t="shared" ref="T489:T527" si="49">IF(S489="50 - Cleaning Fee",1,HOUR($R489)+MINUTE(R489)/60)</f>
        <v>0</v>
      </c>
      <c r="U489" s="99" t="str">
        <f>IFERROR(VLOOKUP($S489,References!$B$3:$C$8,2,FALSE),"")</f>
        <v/>
      </c>
      <c r="V489" s="99" t="str">
        <f t="shared" si="45"/>
        <v/>
      </c>
      <c r="W489" s="66" t="str">
        <f>IFERROR(VLOOKUP($O489,'Customer List'!$A$1:$J$488,10,FALSE),"")</f>
        <v/>
      </c>
    </row>
    <row r="490" spans="1:23">
      <c r="A490" s="95" t="str">
        <f t="shared" si="46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47"/>
        <v>0</v>
      </c>
      <c r="Q490" s="96"/>
      <c r="R490" s="97">
        <f t="shared" si="48"/>
        <v>0</v>
      </c>
      <c r="T490" s="98">
        <f t="shared" si="49"/>
        <v>0</v>
      </c>
      <c r="U490" s="99" t="str">
        <f>IFERROR(VLOOKUP($S490,References!$B$3:$C$8,2,FALSE),"")</f>
        <v/>
      </c>
      <c r="V490" s="99" t="str">
        <f t="shared" si="45"/>
        <v/>
      </c>
      <c r="W490" s="66" t="str">
        <f>IFERROR(VLOOKUP($O490,'Customer List'!$A$1:$J$488,10,FALSE),"")</f>
        <v/>
      </c>
    </row>
    <row r="491" spans="1:23">
      <c r="A491" s="95" t="str">
        <f t="shared" si="46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47"/>
        <v>0</v>
      </c>
      <c r="Q491" s="96"/>
      <c r="R491" s="97">
        <f t="shared" si="48"/>
        <v>0</v>
      </c>
      <c r="T491" s="98">
        <f t="shared" si="49"/>
        <v>0</v>
      </c>
      <c r="U491" s="99" t="str">
        <f>IFERROR(VLOOKUP($S491,References!$B$3:$C$8,2,FALSE),"")</f>
        <v/>
      </c>
      <c r="V491" s="99" t="str">
        <f t="shared" si="45"/>
        <v/>
      </c>
      <c r="W491" s="66" t="str">
        <f>IFERROR(VLOOKUP($O491,'Customer List'!$A$1:$J$488,10,FALSE),"")</f>
        <v/>
      </c>
    </row>
    <row r="492" spans="1:23">
      <c r="A492" s="95" t="str">
        <f t="shared" si="46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47"/>
        <v>0</v>
      </c>
      <c r="Q492" s="96"/>
      <c r="R492" s="97">
        <f t="shared" si="48"/>
        <v>0</v>
      </c>
      <c r="T492" s="98">
        <f t="shared" si="49"/>
        <v>0</v>
      </c>
      <c r="U492" s="99" t="str">
        <f>IFERROR(VLOOKUP($S492,References!$B$3:$C$8,2,FALSE),"")</f>
        <v/>
      </c>
      <c r="V492" s="99" t="str">
        <f t="shared" si="45"/>
        <v/>
      </c>
      <c r="W492" s="66" t="str">
        <f>IFERROR(VLOOKUP($O492,'Customer List'!$A$1:$J$488,10,FALSE),"")</f>
        <v/>
      </c>
    </row>
    <row r="493" spans="1:23">
      <c r="A493" s="95" t="str">
        <f t="shared" si="46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47"/>
        <v>0</v>
      </c>
      <c r="Q493" s="96"/>
      <c r="R493" s="97">
        <f t="shared" si="48"/>
        <v>0</v>
      </c>
      <c r="T493" s="98">
        <f t="shared" si="49"/>
        <v>0</v>
      </c>
      <c r="U493" s="99" t="str">
        <f>IFERROR(VLOOKUP($S493,References!$B$3:$C$8,2,FALSE),"")</f>
        <v/>
      </c>
      <c r="V493" s="99" t="str">
        <f t="shared" si="45"/>
        <v/>
      </c>
      <c r="W493" s="66" t="str">
        <f>IFERROR(VLOOKUP($O493,'Customer List'!$A$1:$J$488,10,FALSE),"")</f>
        <v/>
      </c>
    </row>
    <row r="494" spans="1:23">
      <c r="A494" s="95" t="str">
        <f t="shared" si="46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47"/>
        <v>0</v>
      </c>
      <c r="Q494" s="103"/>
      <c r="R494" s="97">
        <f t="shared" si="48"/>
        <v>0</v>
      </c>
      <c r="T494" s="98">
        <f t="shared" si="49"/>
        <v>0</v>
      </c>
      <c r="U494" s="99" t="str">
        <f>IFERROR(VLOOKUP($S494,References!$B$3:$C$8,2,FALSE),"")</f>
        <v/>
      </c>
      <c r="V494" s="99" t="str">
        <f t="shared" si="45"/>
        <v/>
      </c>
      <c r="W494" s="66" t="str">
        <f>IFERROR(VLOOKUP($O494,'Customer List'!$A$1:$J$488,10,FALSE),"")</f>
        <v/>
      </c>
    </row>
    <row r="495" spans="1:23">
      <c r="A495" s="95" t="str">
        <f t="shared" si="46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47"/>
        <v>0</v>
      </c>
      <c r="Q495" s="96"/>
      <c r="R495" s="97">
        <f t="shared" si="48"/>
        <v>0</v>
      </c>
      <c r="T495" s="98">
        <f t="shared" si="49"/>
        <v>0</v>
      </c>
      <c r="U495" s="99" t="str">
        <f>IFERROR(VLOOKUP($S495,References!$B$3:$C$8,2,FALSE),"")</f>
        <v/>
      </c>
      <c r="V495" s="99" t="str">
        <f t="shared" si="45"/>
        <v/>
      </c>
      <c r="W495" s="66" t="str">
        <f>IFERROR(VLOOKUP($O495,'Customer List'!$A$1:$J$488,10,FALSE),"")</f>
        <v/>
      </c>
    </row>
    <row r="496" spans="1:23">
      <c r="A496" s="95" t="str">
        <f t="shared" si="46"/>
        <v/>
      </c>
      <c r="B496" s="110"/>
      <c r="C496" s="110"/>
      <c r="D496" s="110"/>
      <c r="E496" s="110"/>
      <c r="F496" s="110"/>
      <c r="G496" s="110"/>
      <c r="H496" s="110"/>
      <c r="I496" s="110"/>
      <c r="J496" s="110"/>
      <c r="K496" s="111"/>
      <c r="L496" s="111"/>
      <c r="M496" s="111"/>
      <c r="N496" s="110"/>
      <c r="O496" s="150"/>
      <c r="P496" s="96">
        <f t="shared" si="47"/>
        <v>0</v>
      </c>
      <c r="Q496" s="96"/>
      <c r="R496" s="97">
        <f t="shared" si="48"/>
        <v>0</v>
      </c>
      <c r="T496" s="98">
        <f t="shared" si="49"/>
        <v>0</v>
      </c>
      <c r="U496" s="99" t="str">
        <f>IFERROR(VLOOKUP($S496,References!$B$3:$C$8,2,FALSE),"")</f>
        <v/>
      </c>
      <c r="V496" s="99" t="str">
        <f t="shared" si="45"/>
        <v/>
      </c>
      <c r="W496" s="66" t="str">
        <f>IFERROR(VLOOKUP($O496,'Customer List'!$A$1:$J$488,10,FALSE),"")</f>
        <v/>
      </c>
    </row>
    <row r="497" spans="1:23">
      <c r="A497" s="95" t="str">
        <f t="shared" si="46"/>
        <v/>
      </c>
      <c r="B497" s="112"/>
      <c r="C497" s="112"/>
      <c r="D497" s="112"/>
      <c r="E497" s="112"/>
      <c r="F497" s="112"/>
      <c r="G497" s="112"/>
      <c r="H497" s="112"/>
      <c r="I497" s="112"/>
      <c r="J497" s="112"/>
      <c r="K497" s="113"/>
      <c r="L497" s="113"/>
      <c r="M497" s="113"/>
      <c r="N497" s="110"/>
      <c r="O497" s="150"/>
      <c r="P497" s="96">
        <f t="shared" si="47"/>
        <v>0</v>
      </c>
      <c r="Q497" s="96"/>
      <c r="R497" s="97">
        <f t="shared" si="48"/>
        <v>0</v>
      </c>
      <c r="T497" s="98">
        <f t="shared" si="49"/>
        <v>0</v>
      </c>
      <c r="U497" s="99" t="str">
        <f>IFERROR(VLOOKUP($S497,References!$B$3:$C$8,2,FALSE),"")</f>
        <v/>
      </c>
      <c r="V497" s="99" t="str">
        <f t="shared" si="45"/>
        <v/>
      </c>
      <c r="W497" s="66" t="str">
        <f>IFERROR(VLOOKUP($O497,'Customer List'!$A$1:$J$488,10,FALSE),"")</f>
        <v/>
      </c>
    </row>
    <row r="498" spans="1:23">
      <c r="A498" s="95" t="str">
        <f t="shared" si="46"/>
        <v/>
      </c>
      <c r="B498" s="112"/>
      <c r="C498" s="112"/>
      <c r="D498" s="112"/>
      <c r="E498" s="112"/>
      <c r="F498" s="112"/>
      <c r="G498" s="110"/>
      <c r="H498" s="110"/>
      <c r="I498" s="110"/>
      <c r="J498" s="112"/>
      <c r="K498" s="113"/>
      <c r="L498" s="113"/>
      <c r="M498" s="113"/>
      <c r="N498" s="112"/>
      <c r="O498" s="150"/>
      <c r="P498" s="96">
        <f t="shared" si="47"/>
        <v>0</v>
      </c>
      <c r="Q498" s="96"/>
      <c r="R498" s="97">
        <f t="shared" si="48"/>
        <v>0</v>
      </c>
      <c r="T498" s="98">
        <f t="shared" si="49"/>
        <v>0</v>
      </c>
      <c r="U498" s="99" t="str">
        <f>IFERROR(VLOOKUP($S498,References!$B$3:$C$8,2,FALSE),"")</f>
        <v/>
      </c>
      <c r="V498" s="99" t="str">
        <f t="shared" si="45"/>
        <v/>
      </c>
      <c r="W498" s="66" t="str">
        <f>IFERROR(VLOOKUP($O498,'Customer List'!$A$1:$J$488,10,FALSE),"")</f>
        <v/>
      </c>
    </row>
    <row r="499" spans="1:23">
      <c r="A499" s="95" t="str">
        <f t="shared" si="46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2"/>
      <c r="O499" s="150"/>
      <c r="P499" s="96">
        <f t="shared" si="47"/>
        <v>0</v>
      </c>
      <c r="Q499" s="96"/>
      <c r="R499" s="97">
        <f t="shared" si="48"/>
        <v>0</v>
      </c>
      <c r="T499" s="98">
        <f t="shared" si="49"/>
        <v>0</v>
      </c>
      <c r="U499" s="99" t="str">
        <f>IFERROR(VLOOKUP($S499,References!$B$3:$C$8,2,FALSE),"")</f>
        <v/>
      </c>
      <c r="V499" s="99" t="str">
        <f t="shared" si="45"/>
        <v/>
      </c>
      <c r="W499" s="66" t="str">
        <f>IFERROR(VLOOKUP($O499,'Customer List'!$A$1:$J$488,10,FALSE),"")</f>
        <v/>
      </c>
    </row>
    <row r="500" spans="1:23">
      <c r="A500" s="95" t="str">
        <f t="shared" si="46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47"/>
        <v>0</v>
      </c>
      <c r="Q500" s="96"/>
      <c r="R500" s="97">
        <f t="shared" si="48"/>
        <v>0</v>
      </c>
      <c r="T500" s="98">
        <f t="shared" si="49"/>
        <v>0</v>
      </c>
      <c r="U500" s="99" t="str">
        <f>IFERROR(VLOOKUP($S500,References!$B$3:$C$8,2,FALSE),"")</f>
        <v/>
      </c>
      <c r="V500" s="99" t="str">
        <f t="shared" si="45"/>
        <v/>
      </c>
      <c r="W500" s="66" t="str">
        <f>IFERROR(VLOOKUP($O500,'Customer List'!$A$1:$J$488,10,FALSE),"")</f>
        <v/>
      </c>
    </row>
    <row r="501" spans="1:23">
      <c r="A501" s="95" t="str">
        <f t="shared" si="46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47"/>
        <v>0</v>
      </c>
      <c r="Q501" s="96"/>
      <c r="R501" s="97">
        <f t="shared" si="48"/>
        <v>0</v>
      </c>
      <c r="T501" s="98">
        <f t="shared" si="49"/>
        <v>0</v>
      </c>
      <c r="U501" s="99" t="str">
        <f>IFERROR(VLOOKUP($S501,References!$B$3:$C$8,2,FALSE),"")</f>
        <v/>
      </c>
      <c r="V501" s="99" t="str">
        <f t="shared" si="45"/>
        <v/>
      </c>
      <c r="W501" s="66" t="str">
        <f>IFERROR(VLOOKUP($O501,'Customer List'!$A$1:$J$488,10,FALSE),"")</f>
        <v/>
      </c>
    </row>
    <row r="502" spans="1:23">
      <c r="A502" s="95" t="str">
        <f t="shared" si="46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47"/>
        <v>0</v>
      </c>
      <c r="Q502" s="96"/>
      <c r="R502" s="97">
        <f t="shared" si="48"/>
        <v>0</v>
      </c>
      <c r="T502" s="98">
        <f t="shared" si="49"/>
        <v>0</v>
      </c>
      <c r="U502" s="99" t="str">
        <f>IFERROR(VLOOKUP($S502,References!$B$3:$C$8,2,FALSE),"")</f>
        <v/>
      </c>
      <c r="V502" s="99" t="str">
        <f t="shared" si="45"/>
        <v/>
      </c>
      <c r="W502" s="66" t="str">
        <f>IFERROR(VLOOKUP($O502,'Customer List'!$A$1:$J$488,10,FALSE),"")</f>
        <v/>
      </c>
    </row>
    <row r="503" spans="1:23">
      <c r="A503" s="95" t="str">
        <f t="shared" si="46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47"/>
        <v>0</v>
      </c>
      <c r="Q503" s="96"/>
      <c r="R503" s="97">
        <f t="shared" si="48"/>
        <v>0</v>
      </c>
      <c r="T503" s="98">
        <f t="shared" si="49"/>
        <v>0</v>
      </c>
      <c r="U503" s="99" t="str">
        <f>IFERROR(VLOOKUP($S503,References!$B$3:$C$8,2,FALSE),"")</f>
        <v/>
      </c>
      <c r="V503" s="99" t="str">
        <f t="shared" si="45"/>
        <v/>
      </c>
      <c r="W503" s="66" t="str">
        <f>IFERROR(VLOOKUP($O503,'Customer List'!$A$1:$J$488,10,FALSE),"")</f>
        <v/>
      </c>
    </row>
    <row r="504" spans="1:23">
      <c r="A504" s="95" t="str">
        <f t="shared" si="46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47"/>
        <v>0</v>
      </c>
      <c r="Q504" s="96"/>
      <c r="R504" s="97">
        <f t="shared" si="48"/>
        <v>0</v>
      </c>
      <c r="T504" s="98">
        <f t="shared" si="49"/>
        <v>0</v>
      </c>
      <c r="U504" s="99" t="str">
        <f>IFERROR(VLOOKUP($S504,References!$B$3:$C$8,2,FALSE),"")</f>
        <v/>
      </c>
      <c r="V504" s="99" t="str">
        <f t="shared" si="45"/>
        <v/>
      </c>
      <c r="W504" s="66" t="str">
        <f>IFERROR(VLOOKUP($O504,'Customer List'!$A$1:$J$488,10,FALSE),"")</f>
        <v/>
      </c>
    </row>
    <row r="505" spans="1:23">
      <c r="A505" s="95" t="str">
        <f t="shared" si="46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47"/>
        <v>0</v>
      </c>
      <c r="Q505" s="96"/>
      <c r="R505" s="97">
        <f t="shared" si="48"/>
        <v>0</v>
      </c>
      <c r="T505" s="98">
        <f t="shared" si="49"/>
        <v>0</v>
      </c>
      <c r="U505" s="99" t="str">
        <f>IFERROR(VLOOKUP($S505,References!$B$3:$C$8,2,FALSE),"")</f>
        <v/>
      </c>
      <c r="V505" s="99" t="str">
        <f t="shared" si="45"/>
        <v/>
      </c>
      <c r="W505" s="66" t="str">
        <f>IFERROR(VLOOKUP($O505,'Customer List'!$A$1:$J$488,10,FALSE),"")</f>
        <v/>
      </c>
    </row>
    <row r="506" spans="1:23">
      <c r="A506" s="95" t="str">
        <f t="shared" si="46"/>
        <v/>
      </c>
      <c r="B506" s="112"/>
      <c r="C506" s="110"/>
      <c r="D506" s="110"/>
      <c r="E506" s="110"/>
      <c r="F506" s="112"/>
      <c r="G506" s="110"/>
      <c r="H506" s="110"/>
      <c r="I506" s="110"/>
      <c r="J506" s="112"/>
      <c r="K506" s="113"/>
      <c r="L506" s="113"/>
      <c r="M506" s="113"/>
      <c r="N506" s="110"/>
      <c r="O506" s="150"/>
      <c r="P506" s="96">
        <f t="shared" si="47"/>
        <v>0</v>
      </c>
      <c r="Q506" s="96"/>
      <c r="R506" s="97">
        <f t="shared" si="48"/>
        <v>0</v>
      </c>
      <c r="T506" s="98">
        <f t="shared" si="49"/>
        <v>0</v>
      </c>
      <c r="U506" s="99" t="str">
        <f>IFERROR(VLOOKUP($S506,References!$B$3:$C$8,2,FALSE),"")</f>
        <v/>
      </c>
      <c r="V506" s="99" t="str">
        <f t="shared" si="45"/>
        <v/>
      </c>
      <c r="W506" s="66" t="str">
        <f>IFERROR(VLOOKUP($O506,'Customer List'!$A$1:$J$488,10,FALSE),"")</f>
        <v/>
      </c>
    </row>
    <row r="507" spans="1:23">
      <c r="A507" s="95" t="str">
        <f t="shared" si="46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0"/>
      <c r="O507" s="150"/>
      <c r="P507" s="96">
        <f t="shared" si="47"/>
        <v>0</v>
      </c>
      <c r="Q507" s="96"/>
      <c r="R507" s="97">
        <f t="shared" si="48"/>
        <v>0</v>
      </c>
      <c r="T507" s="98">
        <f t="shared" si="49"/>
        <v>0</v>
      </c>
      <c r="U507" s="99" t="str">
        <f>IFERROR(VLOOKUP($S507,References!$B$3:$C$8,2,FALSE),"")</f>
        <v/>
      </c>
      <c r="V507" s="99" t="str">
        <f t="shared" si="45"/>
        <v/>
      </c>
      <c r="W507" s="66" t="str">
        <f>IFERROR(VLOOKUP($O507,'Customer List'!$A$1:$J$488,10,FALSE),"")</f>
        <v/>
      </c>
    </row>
    <row r="508" spans="1:23">
      <c r="A508" s="95" t="str">
        <f t="shared" si="46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47"/>
        <v>0</v>
      </c>
      <c r="Q508" s="96"/>
      <c r="R508" s="97">
        <f t="shared" si="48"/>
        <v>0</v>
      </c>
      <c r="T508" s="98">
        <f t="shared" si="49"/>
        <v>0</v>
      </c>
      <c r="U508" s="99" t="str">
        <f>IFERROR(VLOOKUP($S508,References!$B$3:$C$8,2,FALSE),"")</f>
        <v/>
      </c>
      <c r="V508" s="99" t="str">
        <f t="shared" si="45"/>
        <v/>
      </c>
      <c r="W508" s="66" t="str">
        <f>IFERROR(VLOOKUP($O508,'Customer List'!$A$1:$J$488,10,FALSE),"")</f>
        <v/>
      </c>
    </row>
    <row r="509" spans="1:23">
      <c r="A509" s="95" t="str">
        <f t="shared" si="46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47"/>
        <v>0</v>
      </c>
      <c r="Q509" s="96"/>
      <c r="R509" s="97">
        <f t="shared" si="48"/>
        <v>0</v>
      </c>
      <c r="T509" s="98">
        <f t="shared" si="49"/>
        <v>0</v>
      </c>
      <c r="U509" s="99" t="str">
        <f>IFERROR(VLOOKUP($S509,References!$B$3:$C$8,2,FALSE),"")</f>
        <v/>
      </c>
      <c r="V509" s="99" t="str">
        <f t="shared" si="45"/>
        <v/>
      </c>
      <c r="W509" s="66" t="str">
        <f>IFERROR(VLOOKUP($O509,'Customer List'!$A$1:$J$488,10,FALSE),"")</f>
        <v/>
      </c>
    </row>
    <row r="510" spans="1:23">
      <c r="A510" s="95" t="str">
        <f t="shared" si="46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47"/>
        <v>0</v>
      </c>
      <c r="Q510" s="96"/>
      <c r="R510" s="97">
        <f t="shared" si="48"/>
        <v>0</v>
      </c>
      <c r="T510" s="98">
        <f t="shared" si="49"/>
        <v>0</v>
      </c>
      <c r="U510" s="99" t="str">
        <f>IFERROR(VLOOKUP($S510,References!$B$3:$C$8,2,FALSE),"")</f>
        <v/>
      </c>
      <c r="V510" s="99" t="str">
        <f t="shared" si="45"/>
        <v/>
      </c>
      <c r="W510" s="66" t="str">
        <f>IFERROR(VLOOKUP($O510,'Customer List'!$A$1:$J$488,10,FALSE),"")</f>
        <v/>
      </c>
    </row>
    <row r="511" spans="1:23">
      <c r="A511" s="95" t="str">
        <f t="shared" si="46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47"/>
        <v>0</v>
      </c>
      <c r="Q511" s="96"/>
      <c r="R511" s="97">
        <f t="shared" si="48"/>
        <v>0</v>
      </c>
      <c r="T511" s="98">
        <f t="shared" si="49"/>
        <v>0</v>
      </c>
      <c r="U511" s="99" t="str">
        <f>IFERROR(VLOOKUP($S511,References!$B$3:$C$8,2,FALSE),"")</f>
        <v/>
      </c>
      <c r="V511" s="99" t="str">
        <f t="shared" si="45"/>
        <v/>
      </c>
      <c r="W511" s="66" t="str">
        <f>IFERROR(VLOOKUP($O511,'Customer List'!$A$1:$J$488,10,FALSE),"")</f>
        <v/>
      </c>
    </row>
    <row r="512" spans="1:23">
      <c r="A512" s="95" t="str">
        <f t="shared" si="46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47"/>
        <v>0</v>
      </c>
      <c r="Q512" s="96"/>
      <c r="R512" s="97">
        <f t="shared" si="48"/>
        <v>0</v>
      </c>
      <c r="T512" s="98">
        <f t="shared" si="49"/>
        <v>0</v>
      </c>
      <c r="U512" s="99" t="str">
        <f>IFERROR(VLOOKUP($S512,References!$B$3:$C$8,2,FALSE),"")</f>
        <v/>
      </c>
      <c r="V512" s="99" t="str">
        <f t="shared" si="45"/>
        <v/>
      </c>
      <c r="W512" s="66" t="str">
        <f>IFERROR(VLOOKUP($O512,'Customer List'!$A$1:$J$488,10,FALSE),"")</f>
        <v/>
      </c>
    </row>
    <row r="513" spans="1:23">
      <c r="A513" s="95" t="str">
        <f t="shared" si="46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47"/>
        <v>0</v>
      </c>
      <c r="Q513" s="96"/>
      <c r="R513" s="97">
        <f t="shared" si="48"/>
        <v>0</v>
      </c>
      <c r="T513" s="98">
        <f t="shared" si="49"/>
        <v>0</v>
      </c>
      <c r="U513" s="99" t="str">
        <f>IFERROR(VLOOKUP($S513,References!$B$3:$C$8,2,FALSE),"")</f>
        <v/>
      </c>
      <c r="V513" s="99" t="str">
        <f t="shared" si="45"/>
        <v/>
      </c>
      <c r="W513" s="66" t="str">
        <f>IFERROR(VLOOKUP($O513,'Customer List'!$A$1:$J$488,10,FALSE),"")</f>
        <v/>
      </c>
    </row>
    <row r="514" spans="1:23">
      <c r="A514" s="95" t="str">
        <f t="shared" si="46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47"/>
        <v>0</v>
      </c>
      <c r="Q514" s="96"/>
      <c r="R514" s="97">
        <f t="shared" si="48"/>
        <v>0</v>
      </c>
      <c r="T514" s="98">
        <f t="shared" si="49"/>
        <v>0</v>
      </c>
      <c r="U514" s="99" t="str">
        <f>IFERROR(VLOOKUP($S514,References!$B$3:$C$8,2,FALSE),"")</f>
        <v/>
      </c>
      <c r="V514" s="99" t="str">
        <f t="shared" si="45"/>
        <v/>
      </c>
      <c r="W514" s="66" t="str">
        <f>IFERROR(VLOOKUP($O514,'Customer List'!$A$1:$J$488,10,FALSE),"")</f>
        <v/>
      </c>
    </row>
    <row r="515" spans="1:23">
      <c r="A515" s="95" t="str">
        <f t="shared" si="46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47"/>
        <v>0</v>
      </c>
      <c r="Q515" s="96"/>
      <c r="R515" s="97">
        <f t="shared" si="48"/>
        <v>0</v>
      </c>
      <c r="T515" s="98">
        <f t="shared" si="49"/>
        <v>0</v>
      </c>
      <c r="U515" s="99" t="str">
        <f>IFERROR(VLOOKUP($S515,References!$B$3:$C$8,2,FALSE),"")</f>
        <v/>
      </c>
      <c r="V515" s="99" t="str">
        <f t="shared" si="45"/>
        <v/>
      </c>
      <c r="W515" s="66" t="str">
        <f>IFERROR(VLOOKUP($O515,'Customer List'!$A$1:$J$488,10,FALSE),"")</f>
        <v/>
      </c>
    </row>
    <row r="516" spans="1:23">
      <c r="A516" s="95" t="str">
        <f t="shared" si="46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47"/>
        <v>0</v>
      </c>
      <c r="Q516" s="96"/>
      <c r="R516" s="97">
        <f t="shared" si="48"/>
        <v>0</v>
      </c>
      <c r="T516" s="98">
        <f t="shared" si="49"/>
        <v>0</v>
      </c>
      <c r="U516" s="99" t="str">
        <f>IFERROR(VLOOKUP($S516,References!$B$3:$C$8,2,FALSE),"")</f>
        <v/>
      </c>
      <c r="V516" s="99" t="str">
        <f t="shared" ref="V516:V579" si="50">IF(T516&gt;=8,400,(IFERROR(T516*U516,"")))</f>
        <v/>
      </c>
      <c r="W516" s="66" t="str">
        <f>IFERROR(VLOOKUP($O516,'Customer List'!$A$1:$J$488,10,FALSE),"")</f>
        <v/>
      </c>
    </row>
    <row r="517" spans="1:23">
      <c r="A517" s="95" t="str">
        <f t="shared" si="46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47"/>
        <v>0</v>
      </c>
      <c r="Q517" s="96"/>
      <c r="R517" s="97">
        <f t="shared" si="48"/>
        <v>0</v>
      </c>
      <c r="T517" s="98">
        <f t="shared" si="49"/>
        <v>0</v>
      </c>
      <c r="U517" s="99" t="str">
        <f>IFERROR(VLOOKUP($S517,References!$B$3:$C$8,2,FALSE),"")</f>
        <v/>
      </c>
      <c r="V517" s="99" t="str">
        <f t="shared" si="50"/>
        <v/>
      </c>
      <c r="W517" s="66" t="str">
        <f>IFERROR(VLOOKUP($O517,'Customer List'!$A$1:$J$488,10,FALSE),"")</f>
        <v/>
      </c>
    </row>
    <row r="518" spans="1:23">
      <c r="A518" s="95" t="str">
        <f t="shared" si="46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47"/>
        <v>0</v>
      </c>
      <c r="Q518" s="96"/>
      <c r="R518" s="97">
        <f t="shared" si="48"/>
        <v>0</v>
      </c>
      <c r="T518" s="98">
        <f t="shared" si="49"/>
        <v>0</v>
      </c>
      <c r="U518" s="99" t="str">
        <f>IFERROR(VLOOKUP($S518,References!$B$3:$C$8,2,FALSE),"")</f>
        <v/>
      </c>
      <c r="V518" s="99" t="str">
        <f t="shared" si="50"/>
        <v/>
      </c>
      <c r="W518" s="66" t="str">
        <f>IFERROR(VLOOKUP($O518,'Customer List'!$A$1:$J$488,10,FALSE),"")</f>
        <v/>
      </c>
    </row>
    <row r="519" spans="1:23">
      <c r="A519" s="95" t="str">
        <f t="shared" si="46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47"/>
        <v>0</v>
      </c>
      <c r="Q519" s="96"/>
      <c r="R519" s="97">
        <f t="shared" si="48"/>
        <v>0</v>
      </c>
      <c r="T519" s="98">
        <f t="shared" si="49"/>
        <v>0</v>
      </c>
      <c r="U519" s="99" t="str">
        <f>IFERROR(VLOOKUP($S519,References!$B$3:$C$8,2,FALSE),"")</f>
        <v/>
      </c>
      <c r="V519" s="99" t="str">
        <f t="shared" si="50"/>
        <v/>
      </c>
      <c r="W519" s="66" t="str">
        <f>IFERROR(VLOOKUP($O519,'Customer List'!$A$1:$J$488,10,FALSE),"")</f>
        <v/>
      </c>
    </row>
    <row r="520" spans="1:23">
      <c r="A520" s="95" t="str">
        <f t="shared" si="46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47"/>
        <v>0</v>
      </c>
      <c r="Q520" s="96"/>
      <c r="R520" s="97">
        <f t="shared" si="48"/>
        <v>0</v>
      </c>
      <c r="T520" s="98">
        <f t="shared" si="49"/>
        <v>0</v>
      </c>
      <c r="U520" s="99" t="str">
        <f>IFERROR(VLOOKUP($S520,References!$B$3:$C$8,2,FALSE),"")</f>
        <v/>
      </c>
      <c r="V520" s="99" t="str">
        <f t="shared" si="50"/>
        <v/>
      </c>
      <c r="W520" s="66" t="str">
        <f>IFERROR(VLOOKUP($O520,'Customer List'!$A$1:$J$488,10,FALSE),"")</f>
        <v/>
      </c>
    </row>
    <row r="521" spans="1:23">
      <c r="A521" s="95" t="str">
        <f t="shared" si="46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47"/>
        <v>0</v>
      </c>
      <c r="Q521" s="96"/>
      <c r="R521" s="97">
        <f t="shared" si="48"/>
        <v>0</v>
      </c>
      <c r="T521" s="98">
        <f t="shared" si="49"/>
        <v>0</v>
      </c>
      <c r="U521" s="99" t="str">
        <f>IFERROR(VLOOKUP($S521,References!$B$3:$C$8,2,FALSE),"")</f>
        <v/>
      </c>
      <c r="V521" s="99" t="str">
        <f t="shared" si="50"/>
        <v/>
      </c>
      <c r="W521" s="66" t="str">
        <f>IFERROR(VLOOKUP($O521,'Customer List'!$A$1:$J$488,10,FALSE),"")</f>
        <v/>
      </c>
    </row>
    <row r="522" spans="1:23">
      <c r="A522" s="95" t="str">
        <f t="shared" si="46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47"/>
        <v>0</v>
      </c>
      <c r="Q522" s="96"/>
      <c r="R522" s="97">
        <f t="shared" si="48"/>
        <v>0</v>
      </c>
      <c r="T522" s="98">
        <f t="shared" si="49"/>
        <v>0</v>
      </c>
      <c r="U522" s="99" t="str">
        <f>IFERROR(VLOOKUP($S522,References!$B$3:$C$8,2,FALSE),"")</f>
        <v/>
      </c>
      <c r="V522" s="99" t="str">
        <f t="shared" si="50"/>
        <v/>
      </c>
      <c r="W522" s="66" t="str">
        <f>IFERROR(VLOOKUP($O522,'Customer List'!$A$1:$J$488,10,FALSE),"")</f>
        <v/>
      </c>
    </row>
    <row r="523" spans="1:23">
      <c r="A523" s="95" t="str">
        <f t="shared" si="46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47"/>
        <v>0</v>
      </c>
      <c r="Q523" s="96"/>
      <c r="R523" s="97">
        <f t="shared" si="48"/>
        <v>0</v>
      </c>
      <c r="T523" s="98">
        <f t="shared" si="49"/>
        <v>0</v>
      </c>
      <c r="U523" s="99" t="str">
        <f>IFERROR(VLOOKUP($S523,References!$B$3:$C$8,2,FALSE),"")</f>
        <v/>
      </c>
      <c r="V523" s="99" t="str">
        <f t="shared" si="50"/>
        <v/>
      </c>
      <c r="W523" s="66" t="str">
        <f>IFERROR(VLOOKUP($O523,'Customer List'!$A$1:$J$488,10,FALSE),"")</f>
        <v/>
      </c>
    </row>
    <row r="524" spans="1:23">
      <c r="A524" s="95" t="str">
        <f t="shared" si="46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47"/>
        <v>0</v>
      </c>
      <c r="Q524" s="96"/>
      <c r="R524" s="97">
        <f t="shared" si="48"/>
        <v>0</v>
      </c>
      <c r="T524" s="98">
        <f t="shared" si="49"/>
        <v>0</v>
      </c>
      <c r="U524" s="99" t="str">
        <f>IFERROR(VLOOKUP($S524,References!$B$3:$C$8,2,FALSE),"")</f>
        <v/>
      </c>
      <c r="V524" s="99" t="str">
        <f t="shared" si="50"/>
        <v/>
      </c>
      <c r="W524" s="66" t="str">
        <f>IFERROR(VLOOKUP($O524,'Customer List'!$A$1:$J$488,10,FALSE),"")</f>
        <v/>
      </c>
    </row>
    <row r="525" spans="1:23">
      <c r="A525" s="95" t="str">
        <f t="shared" si="46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47"/>
        <v>0</v>
      </c>
      <c r="Q525" s="96"/>
      <c r="R525" s="97">
        <f t="shared" si="48"/>
        <v>0</v>
      </c>
      <c r="T525" s="98">
        <f t="shared" si="49"/>
        <v>0</v>
      </c>
      <c r="U525" s="99" t="str">
        <f>IFERROR(VLOOKUP($S525,References!$B$3:$C$8,2,FALSE),"")</f>
        <v/>
      </c>
      <c r="V525" s="99" t="str">
        <f t="shared" si="50"/>
        <v/>
      </c>
      <c r="W525" s="66" t="str">
        <f>IFERROR(VLOOKUP($O525,'Customer List'!$A$1:$J$488,10,FALSE),"")</f>
        <v/>
      </c>
    </row>
    <row r="526" spans="1:23">
      <c r="A526" s="95" t="str">
        <f t="shared" si="46"/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si="47"/>
        <v>0</v>
      </c>
      <c r="R526" s="97">
        <f t="shared" si="48"/>
        <v>0</v>
      </c>
      <c r="T526" s="98">
        <f t="shared" si="49"/>
        <v>0</v>
      </c>
      <c r="U526" s="99" t="str">
        <f>IFERROR(VLOOKUP($S526,References!$B$3:$C$8,2,FALSE),"")</f>
        <v/>
      </c>
      <c r="V526" s="99" t="str">
        <f t="shared" si="50"/>
        <v/>
      </c>
      <c r="W526" s="66" t="str">
        <f>IFERROR(VLOOKUP($O526,'Customer List'!$A$1:$J$488,10,FALSE),"")</f>
        <v/>
      </c>
    </row>
    <row r="527" spans="1:23">
      <c r="A527" s="95" t="str">
        <f t="shared" ref="A527:A565" si="51">O527&amp;S527</f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ref="P527:P590" si="52">INT(L527)</f>
        <v>0</v>
      </c>
      <c r="R527" s="97">
        <f t="shared" ref="R527:R590" si="53">L527-K527</f>
        <v>0</v>
      </c>
      <c r="T527" s="98">
        <f t="shared" si="49"/>
        <v>0</v>
      </c>
      <c r="U527" s="99" t="str">
        <f>IFERROR(VLOOKUP($S527,References!$B$3:$C$8,2,FALSE),"")</f>
        <v/>
      </c>
      <c r="V527" s="99" t="str">
        <f t="shared" si="50"/>
        <v/>
      </c>
      <c r="W527" s="66" t="str">
        <f>IFERROR(VLOOKUP($O527,'Customer List'!$A$1:$J$488,10,FALSE),"")</f>
        <v/>
      </c>
    </row>
    <row r="528" spans="1:23">
      <c r="A528" s="95" t="str">
        <f t="shared" si="51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2"/>
        <v>0</v>
      </c>
      <c r="R528" s="97">
        <f t="shared" si="53"/>
        <v>0</v>
      </c>
      <c r="T528" s="98">
        <f t="shared" ref="T528:T591" si="54">IF(S528="50 - Cleaning Fee",1,HOUR($R528)+MINUTE(R528)/60)</f>
        <v>0</v>
      </c>
      <c r="U528" s="99" t="str">
        <f>IFERROR(VLOOKUP($S528,References!$B$3:$C$8,2,FALSE),"")</f>
        <v/>
      </c>
      <c r="V528" s="99" t="str">
        <f t="shared" si="50"/>
        <v/>
      </c>
      <c r="W528" s="66" t="str">
        <f>IFERROR(VLOOKUP($O528,'Customer List'!$A$1:$J$488,10,FALSE),"")</f>
        <v/>
      </c>
    </row>
    <row r="529" spans="1:23">
      <c r="A529" s="95" t="str">
        <f t="shared" si="51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2"/>
        <v>0</v>
      </c>
      <c r="R529" s="97">
        <f t="shared" si="53"/>
        <v>0</v>
      </c>
      <c r="T529" s="98">
        <f t="shared" si="54"/>
        <v>0</v>
      </c>
      <c r="U529" s="99" t="str">
        <f>IFERROR(VLOOKUP($S529,References!$B$3:$C$8,2,FALSE),"")</f>
        <v/>
      </c>
      <c r="V529" s="99" t="str">
        <f t="shared" si="50"/>
        <v/>
      </c>
      <c r="W529" s="66" t="str">
        <f>IFERROR(VLOOKUP($O529,'Customer List'!$A$1:$J$488,10,FALSE),"")</f>
        <v/>
      </c>
    </row>
    <row r="530" spans="1:23">
      <c r="A530" s="95" t="str">
        <f t="shared" si="51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2"/>
        <v>0</v>
      </c>
      <c r="R530" s="97">
        <f t="shared" si="53"/>
        <v>0</v>
      </c>
      <c r="T530" s="98">
        <f t="shared" si="54"/>
        <v>0</v>
      </c>
      <c r="U530" s="99" t="str">
        <f>IFERROR(VLOOKUP($S530,References!$B$3:$C$8,2,FALSE),"")</f>
        <v/>
      </c>
      <c r="V530" s="99" t="str">
        <f t="shared" si="50"/>
        <v/>
      </c>
      <c r="W530" s="66" t="str">
        <f>IFERROR(VLOOKUP($O530,'Customer List'!$A$1:$J$488,10,FALSE),"")</f>
        <v/>
      </c>
    </row>
    <row r="531" spans="1:23">
      <c r="A531" s="95" t="str">
        <f t="shared" si="51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50"/>
      <c r="P531" s="96">
        <f t="shared" si="52"/>
        <v>0</v>
      </c>
      <c r="R531" s="97">
        <f t="shared" si="53"/>
        <v>0</v>
      </c>
      <c r="T531" s="98">
        <f t="shared" si="54"/>
        <v>0</v>
      </c>
      <c r="U531" s="99" t="str">
        <f>IFERROR(VLOOKUP($S531,References!$B$3:$C$8,2,FALSE),"")</f>
        <v/>
      </c>
      <c r="V531" s="99" t="str">
        <f t="shared" si="50"/>
        <v/>
      </c>
      <c r="W531" s="66" t="str">
        <f>IFERROR(VLOOKUP($O531,'Customer List'!$A$1:$J$488,10,FALSE),"")</f>
        <v/>
      </c>
    </row>
    <row r="532" spans="1:23">
      <c r="A532" s="95" t="str">
        <f t="shared" si="51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2"/>
        <v>0</v>
      </c>
      <c r="R532" s="97">
        <f t="shared" si="53"/>
        <v>0</v>
      </c>
      <c r="T532" s="98">
        <f t="shared" si="54"/>
        <v>0</v>
      </c>
      <c r="U532" s="99" t="str">
        <f>IFERROR(VLOOKUP($S532,References!$B$3:$C$8,2,FALSE),"")</f>
        <v/>
      </c>
      <c r="V532" s="99" t="str">
        <f t="shared" si="50"/>
        <v/>
      </c>
      <c r="W532" s="66" t="str">
        <f>IFERROR(VLOOKUP($O532,'Customer List'!$A$1:$J$488,10,FALSE),"")</f>
        <v/>
      </c>
    </row>
    <row r="533" spans="1:23">
      <c r="A533" s="95" t="str">
        <f t="shared" si="51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2"/>
        <v>0</v>
      </c>
      <c r="R533" s="97">
        <f t="shared" si="53"/>
        <v>0</v>
      </c>
      <c r="T533" s="98">
        <f t="shared" si="54"/>
        <v>0</v>
      </c>
      <c r="U533" s="99" t="str">
        <f>IFERROR(VLOOKUP($S533,References!$B$3:$C$8,2,FALSE),"")</f>
        <v/>
      </c>
      <c r="V533" s="99" t="str">
        <f t="shared" si="50"/>
        <v/>
      </c>
      <c r="W533" s="66" t="str">
        <f>IFERROR(VLOOKUP($O533,'Customer List'!$A$1:$J$488,10,FALSE),"")</f>
        <v/>
      </c>
    </row>
    <row r="534" spans="1:23">
      <c r="A534" s="95" t="str">
        <f t="shared" si="51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2"/>
        <v>0</v>
      </c>
      <c r="R534" s="97">
        <f t="shared" si="53"/>
        <v>0</v>
      </c>
      <c r="T534" s="98">
        <f t="shared" si="54"/>
        <v>0</v>
      </c>
      <c r="U534" s="99" t="str">
        <f>IFERROR(VLOOKUP($S534,References!$B$3:$C$8,2,FALSE),"")</f>
        <v/>
      </c>
      <c r="V534" s="99" t="str">
        <f t="shared" si="50"/>
        <v/>
      </c>
      <c r="W534" s="66" t="str">
        <f>IFERROR(VLOOKUP($O534,'Customer List'!$A$1:$J$488,10,FALSE),"")</f>
        <v/>
      </c>
    </row>
    <row r="535" spans="1:23">
      <c r="A535" s="95" t="str">
        <f t="shared" si="51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2"/>
        <v>0</v>
      </c>
      <c r="R535" s="97">
        <f t="shared" si="53"/>
        <v>0</v>
      </c>
      <c r="T535" s="98">
        <f t="shared" si="54"/>
        <v>0</v>
      </c>
      <c r="U535" s="99" t="str">
        <f>IFERROR(VLOOKUP($S535,References!$B$3:$C$8,2,FALSE),"")</f>
        <v/>
      </c>
      <c r="V535" s="99" t="str">
        <f t="shared" si="50"/>
        <v/>
      </c>
      <c r="W535" s="66" t="str">
        <f>IFERROR(VLOOKUP($O535,'Customer List'!$A$1:$J$488,10,FALSE),"")</f>
        <v/>
      </c>
    </row>
    <row r="536" spans="1:23">
      <c r="A536" s="95" t="str">
        <f t="shared" si="51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2"/>
        <v>0</v>
      </c>
      <c r="R536" s="97">
        <f t="shared" si="53"/>
        <v>0</v>
      </c>
      <c r="T536" s="98">
        <f t="shared" si="54"/>
        <v>0</v>
      </c>
      <c r="U536" s="99" t="str">
        <f>IFERROR(VLOOKUP($S536,References!$B$3:$C$8,2,FALSE),"")</f>
        <v/>
      </c>
      <c r="V536" s="99" t="str">
        <f t="shared" si="50"/>
        <v/>
      </c>
      <c r="W536" s="66" t="str">
        <f>IFERROR(VLOOKUP($O536,'Customer List'!$A$1:$J$488,10,FALSE),"")</f>
        <v/>
      </c>
    </row>
    <row r="537" spans="1:23">
      <c r="A537" s="95" t="str">
        <f t="shared" si="51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2"/>
        <v>0</v>
      </c>
      <c r="R537" s="97">
        <f t="shared" si="53"/>
        <v>0</v>
      </c>
      <c r="T537" s="98">
        <f t="shared" si="54"/>
        <v>0</v>
      </c>
      <c r="U537" s="99" t="str">
        <f>IFERROR(VLOOKUP($S537,References!$B$3:$C$8,2,FALSE),"")</f>
        <v/>
      </c>
      <c r="V537" s="99" t="str">
        <f t="shared" si="50"/>
        <v/>
      </c>
      <c r="W537" s="66" t="str">
        <f>IFERROR(VLOOKUP($O537,'Customer List'!$A$1:$J$488,10,FALSE),"")</f>
        <v/>
      </c>
    </row>
    <row r="538" spans="1:23">
      <c r="A538" s="95" t="str">
        <f t="shared" si="51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2"/>
        <v>0</v>
      </c>
      <c r="R538" s="97">
        <f t="shared" si="53"/>
        <v>0</v>
      </c>
      <c r="T538" s="98">
        <f t="shared" si="54"/>
        <v>0</v>
      </c>
      <c r="U538" s="99" t="str">
        <f>IFERROR(VLOOKUP($S538,References!$B$3:$C$8,2,FALSE),"")</f>
        <v/>
      </c>
      <c r="V538" s="99" t="str">
        <f t="shared" si="50"/>
        <v/>
      </c>
      <c r="W538" s="66" t="str">
        <f>IFERROR(VLOOKUP($O538,'Customer List'!$A$1:$J$488,10,FALSE),"")</f>
        <v/>
      </c>
    </row>
    <row r="539" spans="1:23">
      <c r="A539" s="95" t="str">
        <f t="shared" si="51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2"/>
        <v>0</v>
      </c>
      <c r="R539" s="97">
        <f t="shared" si="53"/>
        <v>0</v>
      </c>
      <c r="T539" s="98">
        <f t="shared" si="54"/>
        <v>0</v>
      </c>
      <c r="U539" s="99" t="str">
        <f>IFERROR(VLOOKUP($S539,References!$B$3:$C$8,2,FALSE),"")</f>
        <v/>
      </c>
      <c r="V539" s="99" t="str">
        <f t="shared" si="50"/>
        <v/>
      </c>
      <c r="W539" s="66" t="str">
        <f>IFERROR(VLOOKUP($O539,'Customer List'!$A$1:$J$488,10,FALSE),"")</f>
        <v/>
      </c>
    </row>
    <row r="540" spans="1:23">
      <c r="A540" s="95" t="str">
        <f t="shared" si="51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2"/>
        <v>0</v>
      </c>
      <c r="R540" s="97">
        <f t="shared" si="53"/>
        <v>0</v>
      </c>
      <c r="T540" s="98">
        <f t="shared" si="54"/>
        <v>0</v>
      </c>
      <c r="U540" s="99" t="str">
        <f>IFERROR(VLOOKUP($S540,References!$B$3:$C$8,2,FALSE),"")</f>
        <v/>
      </c>
      <c r="V540" s="99" t="str">
        <f t="shared" si="50"/>
        <v/>
      </c>
      <c r="W540" s="66" t="str">
        <f>IFERROR(VLOOKUP($O540,'Customer List'!$A$1:$J$488,10,FALSE),"")</f>
        <v/>
      </c>
    </row>
    <row r="541" spans="1:23">
      <c r="A541" s="95" t="str">
        <f t="shared" si="51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2"/>
        <v>0</v>
      </c>
      <c r="R541" s="97">
        <f t="shared" si="53"/>
        <v>0</v>
      </c>
      <c r="T541" s="98">
        <f t="shared" si="54"/>
        <v>0</v>
      </c>
      <c r="U541" s="99" t="str">
        <f>IFERROR(VLOOKUP($S541,References!$B$3:$C$8,2,FALSE),"")</f>
        <v/>
      </c>
      <c r="V541" s="99" t="str">
        <f t="shared" si="50"/>
        <v/>
      </c>
      <c r="W541" s="66" t="str">
        <f>IFERROR(VLOOKUP($O541,'Customer List'!$A$1:$J$488,10,FALSE),"")</f>
        <v/>
      </c>
    </row>
    <row r="542" spans="1:23">
      <c r="A542" s="95" t="str">
        <f t="shared" si="51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2"/>
        <v>0</v>
      </c>
      <c r="R542" s="97">
        <f t="shared" si="53"/>
        <v>0</v>
      </c>
      <c r="T542" s="98">
        <f t="shared" si="54"/>
        <v>0</v>
      </c>
      <c r="U542" s="99" t="str">
        <f>IFERROR(VLOOKUP($S542,References!$B$3:$C$8,2,FALSE),"")</f>
        <v/>
      </c>
      <c r="V542" s="99" t="str">
        <f t="shared" si="50"/>
        <v/>
      </c>
      <c r="W542" s="66" t="str">
        <f>IFERROR(VLOOKUP($O542,'Customer List'!$A$1:$J$488,10,FALSE),"")</f>
        <v/>
      </c>
    </row>
    <row r="543" spans="1:23">
      <c r="A543" s="95" t="str">
        <f t="shared" si="51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2"/>
        <v>0</v>
      </c>
      <c r="R543" s="97">
        <f t="shared" si="53"/>
        <v>0</v>
      </c>
      <c r="T543" s="98">
        <f t="shared" si="54"/>
        <v>0</v>
      </c>
      <c r="U543" s="99" t="str">
        <f>IFERROR(VLOOKUP($S543,References!$B$3:$C$8,2,FALSE),"")</f>
        <v/>
      </c>
      <c r="V543" s="99" t="str">
        <f t="shared" si="50"/>
        <v/>
      </c>
      <c r="W543" s="66" t="str">
        <f>IFERROR(VLOOKUP($O543,'Customer List'!$A$1:$J$488,10,FALSE),"")</f>
        <v/>
      </c>
    </row>
    <row r="544" spans="1:23">
      <c r="A544" s="95" t="str">
        <f t="shared" si="51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2"/>
        <v>0</v>
      </c>
      <c r="R544" s="97">
        <f t="shared" si="53"/>
        <v>0</v>
      </c>
      <c r="T544" s="98">
        <f t="shared" si="54"/>
        <v>0</v>
      </c>
      <c r="U544" s="99" t="str">
        <f>IFERROR(VLOOKUP($S544,References!$B$3:$C$8,2,FALSE),"")</f>
        <v/>
      </c>
      <c r="V544" s="99" t="str">
        <f t="shared" si="50"/>
        <v/>
      </c>
      <c r="W544" s="66" t="str">
        <f>IFERROR(VLOOKUP($O544,'Customer List'!$A$1:$J$488,10,FALSE),"")</f>
        <v/>
      </c>
    </row>
    <row r="545" spans="1:23">
      <c r="A545" s="95" t="str">
        <f t="shared" si="51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2"/>
        <v>0</v>
      </c>
      <c r="R545" s="97">
        <f t="shared" si="53"/>
        <v>0</v>
      </c>
      <c r="T545" s="98">
        <f t="shared" si="54"/>
        <v>0</v>
      </c>
      <c r="U545" s="99" t="str">
        <f>IFERROR(VLOOKUP($S545,References!$B$3:$C$8,2,FALSE),"")</f>
        <v/>
      </c>
      <c r="V545" s="99" t="str">
        <f t="shared" si="50"/>
        <v/>
      </c>
      <c r="W545" s="66" t="str">
        <f>IFERROR(VLOOKUP($O545,'Customer List'!$A$1:$J$488,10,FALSE),"")</f>
        <v/>
      </c>
    </row>
    <row r="546" spans="1:23">
      <c r="A546" s="95" t="str">
        <f t="shared" si="51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2"/>
        <v>0</v>
      </c>
      <c r="R546" s="97">
        <f t="shared" si="53"/>
        <v>0</v>
      </c>
      <c r="T546" s="98">
        <f t="shared" si="54"/>
        <v>0</v>
      </c>
      <c r="U546" s="99" t="str">
        <f>IFERROR(VLOOKUP($S546,References!$B$3:$C$8,2,FALSE),"")</f>
        <v/>
      </c>
      <c r="V546" s="99" t="str">
        <f t="shared" si="50"/>
        <v/>
      </c>
      <c r="W546" s="66" t="str">
        <f>IFERROR(VLOOKUP($O546,'Customer List'!$A$1:$J$488,10,FALSE),"")</f>
        <v/>
      </c>
    </row>
    <row r="547" spans="1:23">
      <c r="A547" s="95" t="str">
        <f t="shared" si="51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2"/>
        <v>0</v>
      </c>
      <c r="R547" s="97">
        <f t="shared" si="53"/>
        <v>0</v>
      </c>
      <c r="T547" s="98">
        <f t="shared" si="54"/>
        <v>0</v>
      </c>
      <c r="U547" s="99" t="str">
        <f>IFERROR(VLOOKUP($S547,References!$B$3:$C$8,2,FALSE),"")</f>
        <v/>
      </c>
      <c r="V547" s="99" t="str">
        <f t="shared" si="50"/>
        <v/>
      </c>
      <c r="W547" s="66" t="str">
        <f>IFERROR(VLOOKUP($O547,'Customer List'!$A$1:$J$488,10,FALSE),"")</f>
        <v/>
      </c>
    </row>
    <row r="548" spans="1:23">
      <c r="A548" s="95" t="str">
        <f t="shared" si="51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2"/>
        <v>0</v>
      </c>
      <c r="R548" s="97">
        <f t="shared" si="53"/>
        <v>0</v>
      </c>
      <c r="T548" s="98">
        <f t="shared" si="54"/>
        <v>0</v>
      </c>
      <c r="U548" s="99" t="str">
        <f>IFERROR(VLOOKUP($S548,References!$B$3:$C$8,2,FALSE),"")</f>
        <v/>
      </c>
      <c r="V548" s="99" t="str">
        <f t="shared" si="50"/>
        <v/>
      </c>
      <c r="W548" s="66" t="str">
        <f>IFERROR(VLOOKUP($O548,'Customer List'!$A$1:$J$488,10,FALSE),"")</f>
        <v/>
      </c>
    </row>
    <row r="549" spans="1:23">
      <c r="A549" s="95" t="str">
        <f t="shared" si="51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2"/>
        <v>0</v>
      </c>
      <c r="R549" s="97">
        <f t="shared" si="53"/>
        <v>0</v>
      </c>
      <c r="T549" s="98">
        <f t="shared" si="54"/>
        <v>0</v>
      </c>
      <c r="U549" s="99" t="str">
        <f>IFERROR(VLOOKUP($S549,References!$B$3:$C$8,2,FALSE),"")</f>
        <v/>
      </c>
      <c r="V549" s="99" t="str">
        <f t="shared" si="50"/>
        <v/>
      </c>
      <c r="W549" s="66" t="str">
        <f>IFERROR(VLOOKUP($O549,'Customer List'!$A$1:$J$488,10,FALSE),"")</f>
        <v/>
      </c>
    </row>
    <row r="550" spans="1:23">
      <c r="A550" s="95" t="str">
        <f t="shared" si="51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2"/>
        <v>0</v>
      </c>
      <c r="R550" s="97">
        <f t="shared" si="53"/>
        <v>0</v>
      </c>
      <c r="T550" s="98">
        <f t="shared" si="54"/>
        <v>0</v>
      </c>
      <c r="U550" s="99" t="str">
        <f>IFERROR(VLOOKUP($S550,References!$B$3:$C$8,2,FALSE),"")</f>
        <v/>
      </c>
      <c r="V550" s="99" t="str">
        <f t="shared" si="50"/>
        <v/>
      </c>
      <c r="W550" s="66" t="str">
        <f>IFERROR(VLOOKUP($O550,'Customer List'!$A$1:$J$488,10,FALSE),"")</f>
        <v/>
      </c>
    </row>
    <row r="551" spans="1:23">
      <c r="A551" s="95" t="str">
        <f t="shared" si="51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2"/>
        <v>0</v>
      </c>
      <c r="R551" s="97">
        <f t="shared" si="53"/>
        <v>0</v>
      </c>
      <c r="T551" s="98">
        <f t="shared" si="54"/>
        <v>0</v>
      </c>
      <c r="U551" s="99" t="str">
        <f>IFERROR(VLOOKUP($S551,References!$B$3:$C$8,2,FALSE),"")</f>
        <v/>
      </c>
      <c r="V551" s="99" t="str">
        <f t="shared" si="50"/>
        <v/>
      </c>
      <c r="W551" s="66" t="str">
        <f>IFERROR(VLOOKUP($O551,'Customer List'!$A$1:$J$488,10,FALSE),"")</f>
        <v/>
      </c>
    </row>
    <row r="552" spans="1:23">
      <c r="A552" s="95" t="str">
        <f t="shared" si="51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2"/>
        <v>0</v>
      </c>
      <c r="R552" s="97">
        <f t="shared" si="53"/>
        <v>0</v>
      </c>
      <c r="T552" s="98">
        <f t="shared" si="54"/>
        <v>0</v>
      </c>
      <c r="U552" s="99" t="str">
        <f>IFERROR(VLOOKUP($S552,References!$B$3:$C$8,2,FALSE),"")</f>
        <v/>
      </c>
      <c r="V552" s="99" t="str">
        <f t="shared" si="50"/>
        <v/>
      </c>
      <c r="W552" s="66" t="str">
        <f>IFERROR(VLOOKUP($O552,'Customer List'!$A$1:$J$488,10,FALSE),"")</f>
        <v/>
      </c>
    </row>
    <row r="553" spans="1:23">
      <c r="A553" s="95" t="str">
        <f t="shared" si="51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2"/>
        <v>0</v>
      </c>
      <c r="R553" s="97">
        <f t="shared" si="53"/>
        <v>0</v>
      </c>
      <c r="T553" s="98">
        <f t="shared" si="54"/>
        <v>0</v>
      </c>
      <c r="U553" s="99" t="str">
        <f>IFERROR(VLOOKUP($S553,References!$B$3:$C$8,2,FALSE),"")</f>
        <v/>
      </c>
      <c r="V553" s="99" t="str">
        <f t="shared" si="50"/>
        <v/>
      </c>
      <c r="W553" s="66" t="str">
        <f>IFERROR(VLOOKUP($O553,'Customer List'!$A$1:$J$488,10,FALSE),"")</f>
        <v/>
      </c>
    </row>
    <row r="554" spans="1:23">
      <c r="A554" s="95" t="str">
        <f t="shared" si="51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2"/>
        <v>0</v>
      </c>
      <c r="R554" s="97">
        <f t="shared" si="53"/>
        <v>0</v>
      </c>
      <c r="T554" s="98">
        <f t="shared" si="54"/>
        <v>0</v>
      </c>
      <c r="U554" s="99" t="str">
        <f>IFERROR(VLOOKUP($S554,References!$B$3:$C$8,2,FALSE),"")</f>
        <v/>
      </c>
      <c r="V554" s="99" t="str">
        <f t="shared" si="50"/>
        <v/>
      </c>
      <c r="W554" s="66" t="str">
        <f>IFERROR(VLOOKUP($O554,'Customer List'!$A$1:$J$488,10,FALSE),"")</f>
        <v/>
      </c>
    </row>
    <row r="555" spans="1:23">
      <c r="A555" s="95" t="str">
        <f t="shared" si="51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2"/>
        <v>0</v>
      </c>
      <c r="R555" s="97">
        <f t="shared" si="53"/>
        <v>0</v>
      </c>
      <c r="T555" s="98">
        <f t="shared" si="54"/>
        <v>0</v>
      </c>
      <c r="U555" s="99" t="str">
        <f>IFERROR(VLOOKUP($S555,References!$B$3:$C$8,2,FALSE),"")</f>
        <v/>
      </c>
      <c r="V555" s="99" t="str">
        <f t="shared" si="50"/>
        <v/>
      </c>
      <c r="W555" s="66" t="str">
        <f>IFERROR(VLOOKUP($O555,'Customer List'!$A$1:$J$488,10,FALSE),"")</f>
        <v/>
      </c>
    </row>
    <row r="556" spans="1:23">
      <c r="A556" s="95" t="str">
        <f t="shared" si="51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2"/>
        <v>0</v>
      </c>
      <c r="R556" s="97">
        <f t="shared" si="53"/>
        <v>0</v>
      </c>
      <c r="T556" s="98">
        <f t="shared" si="54"/>
        <v>0</v>
      </c>
      <c r="U556" s="99" t="str">
        <f>IFERROR(VLOOKUP($S556,References!$B$3:$C$8,2,FALSE),"")</f>
        <v/>
      </c>
      <c r="V556" s="99" t="str">
        <f t="shared" si="50"/>
        <v/>
      </c>
      <c r="W556" s="66" t="str">
        <f>IFERROR(VLOOKUP($O556,'Customer List'!$A$1:$J$488,10,FALSE),"")</f>
        <v/>
      </c>
    </row>
    <row r="557" spans="1:23">
      <c r="A557" s="95" t="str">
        <f t="shared" si="51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2"/>
        <v>0</v>
      </c>
      <c r="R557" s="97">
        <f t="shared" si="53"/>
        <v>0</v>
      </c>
      <c r="T557" s="98">
        <f t="shared" si="54"/>
        <v>0</v>
      </c>
      <c r="U557" s="99" t="str">
        <f>IFERROR(VLOOKUP($S557,References!$B$3:$C$8,2,FALSE),"")</f>
        <v/>
      </c>
      <c r="V557" s="99" t="str">
        <f t="shared" si="50"/>
        <v/>
      </c>
      <c r="W557" s="66" t="str">
        <f>IFERROR(VLOOKUP($O557,'Customer List'!$A$1:$J$488,10,FALSE),"")</f>
        <v/>
      </c>
    </row>
    <row r="558" spans="1:23">
      <c r="A558" s="95" t="str">
        <f t="shared" si="51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2"/>
        <v>0</v>
      </c>
      <c r="R558" s="97">
        <f t="shared" si="53"/>
        <v>0</v>
      </c>
      <c r="T558" s="98">
        <f t="shared" si="54"/>
        <v>0</v>
      </c>
      <c r="U558" s="99" t="str">
        <f>IFERROR(VLOOKUP($S558,References!$B$3:$C$8,2,FALSE),"")</f>
        <v/>
      </c>
      <c r="V558" s="99" t="str">
        <f t="shared" si="50"/>
        <v/>
      </c>
      <c r="W558" s="66" t="str">
        <f>IFERROR(VLOOKUP($O558,'Customer List'!$A$1:$J$488,10,FALSE),"")</f>
        <v/>
      </c>
    </row>
    <row r="559" spans="1:23">
      <c r="A559" s="95" t="str">
        <f t="shared" si="51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2"/>
        <v>0</v>
      </c>
      <c r="R559" s="97">
        <f t="shared" si="53"/>
        <v>0</v>
      </c>
      <c r="T559" s="98">
        <f t="shared" si="54"/>
        <v>0</v>
      </c>
      <c r="U559" s="99" t="str">
        <f>IFERROR(VLOOKUP($S559,References!$B$3:$C$8,2,FALSE),"")</f>
        <v/>
      </c>
      <c r="V559" s="99" t="str">
        <f t="shared" si="50"/>
        <v/>
      </c>
      <c r="W559" s="66" t="str">
        <f>IFERROR(VLOOKUP($O559,'Customer List'!$A$1:$J$488,10,FALSE),"")</f>
        <v/>
      </c>
    </row>
    <row r="560" spans="1:23">
      <c r="A560" s="95" t="str">
        <f t="shared" si="51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2"/>
        <v>0</v>
      </c>
      <c r="R560" s="97">
        <f t="shared" si="53"/>
        <v>0</v>
      </c>
      <c r="T560" s="98">
        <f t="shared" si="54"/>
        <v>0</v>
      </c>
      <c r="U560" s="99" t="str">
        <f>IFERROR(VLOOKUP($S560,References!$B$3:$C$8,2,FALSE),"")</f>
        <v/>
      </c>
      <c r="V560" s="99" t="str">
        <f t="shared" si="50"/>
        <v/>
      </c>
      <c r="W560" s="66" t="str">
        <f>IFERROR(VLOOKUP($O560,'Customer List'!$A$1:$J$488,10,FALSE),"")</f>
        <v/>
      </c>
    </row>
    <row r="561" spans="1:23">
      <c r="A561" s="95" t="str">
        <f t="shared" si="51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2"/>
        <v>0</v>
      </c>
      <c r="R561" s="97">
        <f t="shared" si="53"/>
        <v>0</v>
      </c>
      <c r="T561" s="98">
        <f t="shared" si="54"/>
        <v>0</v>
      </c>
      <c r="U561" s="99" t="str">
        <f>IFERROR(VLOOKUP($S561,References!$B$3:$C$8,2,FALSE),"")</f>
        <v/>
      </c>
      <c r="V561" s="99" t="str">
        <f t="shared" si="50"/>
        <v/>
      </c>
      <c r="W561" s="66" t="str">
        <f>IFERROR(VLOOKUP($O561,'Customer List'!$A$1:$J$488,10,FALSE),"")</f>
        <v/>
      </c>
    </row>
    <row r="562" spans="1:23">
      <c r="A562" s="95" t="str">
        <f t="shared" si="51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2"/>
        <v>0</v>
      </c>
      <c r="R562" s="97">
        <f t="shared" si="53"/>
        <v>0</v>
      </c>
      <c r="T562" s="98">
        <f t="shared" si="54"/>
        <v>0</v>
      </c>
      <c r="U562" s="99" t="str">
        <f>IFERROR(VLOOKUP($S562,References!$B$3:$C$8,2,FALSE),"")</f>
        <v/>
      </c>
      <c r="V562" s="99" t="str">
        <f t="shared" si="50"/>
        <v/>
      </c>
      <c r="W562" s="66" t="str">
        <f>IFERROR(VLOOKUP($O562,'Customer List'!$A$1:$J$488,10,FALSE),"")</f>
        <v/>
      </c>
    </row>
    <row r="563" spans="1:23">
      <c r="A563" s="95" t="str">
        <f t="shared" si="51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2"/>
        <v>0</v>
      </c>
      <c r="R563" s="97">
        <f t="shared" si="53"/>
        <v>0</v>
      </c>
      <c r="T563" s="98">
        <f t="shared" si="54"/>
        <v>0</v>
      </c>
      <c r="U563" s="99" t="str">
        <f>IFERROR(VLOOKUP($S563,References!$B$3:$C$8,2,FALSE),"")</f>
        <v/>
      </c>
      <c r="V563" s="99" t="str">
        <f t="shared" si="50"/>
        <v/>
      </c>
      <c r="W563" s="66" t="str">
        <f>IFERROR(VLOOKUP($O563,'Customer List'!$A$1:$J$488,10,FALSE),"")</f>
        <v/>
      </c>
    </row>
    <row r="564" spans="1:23">
      <c r="A564" s="95" t="str">
        <f t="shared" si="51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2"/>
        <v>0</v>
      </c>
      <c r="R564" s="97">
        <f t="shared" si="53"/>
        <v>0</v>
      </c>
      <c r="T564" s="98">
        <f t="shared" si="54"/>
        <v>0</v>
      </c>
      <c r="U564" s="99" t="str">
        <f>IFERROR(VLOOKUP($S564,References!$B$3:$C$8,2,FALSE),"")</f>
        <v/>
      </c>
      <c r="V564" s="99" t="str">
        <f t="shared" si="50"/>
        <v/>
      </c>
      <c r="W564" s="66" t="str">
        <f>IFERROR(VLOOKUP($O564,'Customer List'!$A$1:$J$488,10,FALSE),"")</f>
        <v/>
      </c>
    </row>
    <row r="565" spans="1:23">
      <c r="A565" s="95" t="str">
        <f t="shared" si="51"/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2"/>
        <v>0</v>
      </c>
      <c r="R565" s="97">
        <f t="shared" si="53"/>
        <v>0</v>
      </c>
      <c r="T565" s="98">
        <f t="shared" si="54"/>
        <v>0</v>
      </c>
      <c r="U565" s="99" t="str">
        <f>IFERROR(VLOOKUP($S565,References!$B$3:$C$8,2,FALSE),"")</f>
        <v/>
      </c>
      <c r="V565" s="99" t="str">
        <f t="shared" si="50"/>
        <v/>
      </c>
      <c r="W565" s="66" t="str">
        <f>IFERROR(VLOOKUP($O565,'Customer List'!$A$1:$J$488,10,FALSE),"")</f>
        <v/>
      </c>
    </row>
    <row r="566" spans="1:23">
      <c r="A566" s="95" t="str">
        <f t="shared" ref="A566:A590" si="55">O566&amp;S566</f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2"/>
        <v>0</v>
      </c>
      <c r="R566" s="97">
        <f t="shared" si="53"/>
        <v>0</v>
      </c>
      <c r="T566" s="98">
        <f t="shared" si="54"/>
        <v>0</v>
      </c>
      <c r="U566" s="99" t="str">
        <f>IFERROR(VLOOKUP($S566,References!$B$3:$C$8,2,FALSE),"")</f>
        <v/>
      </c>
      <c r="V566" s="99" t="str">
        <f t="shared" si="50"/>
        <v/>
      </c>
      <c r="W566" s="66" t="str">
        <f>IFERROR(VLOOKUP($O566,'Customer List'!$A$1:$J$488,10,FALSE),"")</f>
        <v/>
      </c>
    </row>
    <row r="567" spans="1:23">
      <c r="A567" s="95" t="str">
        <f t="shared" si="55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2"/>
        <v>0</v>
      </c>
      <c r="R567" s="97">
        <f t="shared" si="53"/>
        <v>0</v>
      </c>
      <c r="T567" s="98">
        <f t="shared" si="54"/>
        <v>0</v>
      </c>
      <c r="U567" s="99" t="str">
        <f>IFERROR(VLOOKUP($S567,References!$B$3:$C$8,2,FALSE),"")</f>
        <v/>
      </c>
      <c r="V567" s="99" t="str">
        <f t="shared" si="50"/>
        <v/>
      </c>
      <c r="W567" s="66" t="str">
        <f>IFERROR(VLOOKUP($O567,'Customer List'!$A$1:$J$488,10,FALSE),"")</f>
        <v/>
      </c>
    </row>
    <row r="568" spans="1:23">
      <c r="A568" s="95" t="str">
        <f t="shared" si="55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2"/>
        <v>0</v>
      </c>
      <c r="R568" s="97">
        <f t="shared" si="53"/>
        <v>0</v>
      </c>
      <c r="T568" s="98">
        <f t="shared" si="54"/>
        <v>0</v>
      </c>
      <c r="U568" s="99" t="str">
        <f>IFERROR(VLOOKUP($S568,References!$B$3:$C$8,2,FALSE),"")</f>
        <v/>
      </c>
      <c r="V568" s="99" t="str">
        <f t="shared" si="50"/>
        <v/>
      </c>
      <c r="W568" s="66" t="str">
        <f>IFERROR(VLOOKUP($O568,'Customer List'!$A$1:$J$488,10,FALSE),"")</f>
        <v/>
      </c>
    </row>
    <row r="569" spans="1:23">
      <c r="A569" s="95" t="str">
        <f t="shared" si="55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2"/>
        <v>0</v>
      </c>
      <c r="R569" s="97">
        <f t="shared" si="53"/>
        <v>0</v>
      </c>
      <c r="T569" s="98">
        <f t="shared" si="54"/>
        <v>0</v>
      </c>
      <c r="U569" s="99" t="str">
        <f>IFERROR(VLOOKUP($S569,References!$B$3:$C$8,2,FALSE),"")</f>
        <v/>
      </c>
      <c r="V569" s="99" t="str">
        <f t="shared" si="50"/>
        <v/>
      </c>
      <c r="W569" s="66" t="str">
        <f>IFERROR(VLOOKUP($O569,'Customer List'!$A$1:$J$488,10,FALSE),"")</f>
        <v/>
      </c>
    </row>
    <row r="570" spans="1:23">
      <c r="A570" s="95" t="str">
        <f t="shared" si="55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2"/>
        <v>0</v>
      </c>
      <c r="R570" s="97">
        <f t="shared" si="53"/>
        <v>0</v>
      </c>
      <c r="T570" s="98">
        <f t="shared" si="54"/>
        <v>0</v>
      </c>
      <c r="U570" s="99" t="str">
        <f>IFERROR(VLOOKUP($S570,References!$B$3:$C$8,2,FALSE),"")</f>
        <v/>
      </c>
      <c r="V570" s="99" t="str">
        <f t="shared" si="50"/>
        <v/>
      </c>
      <c r="W570" s="66" t="str">
        <f>IFERROR(VLOOKUP($O570,'Customer List'!$A$1:$J$488,10,FALSE),"")</f>
        <v/>
      </c>
    </row>
    <row r="571" spans="1:23">
      <c r="A571" s="95" t="str">
        <f t="shared" si="55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2"/>
        <v>0</v>
      </c>
      <c r="R571" s="97">
        <f t="shared" si="53"/>
        <v>0</v>
      </c>
      <c r="T571" s="98">
        <f t="shared" si="54"/>
        <v>0</v>
      </c>
      <c r="U571" s="99" t="str">
        <f>IFERROR(VLOOKUP($S571,References!$B$3:$C$8,2,FALSE),"")</f>
        <v/>
      </c>
      <c r="V571" s="99" t="str">
        <f t="shared" si="50"/>
        <v/>
      </c>
      <c r="W571" s="66" t="str">
        <f>IFERROR(VLOOKUP($O571,'Customer List'!$A$1:$J$488,10,FALSE),"")</f>
        <v/>
      </c>
    </row>
    <row r="572" spans="1:23">
      <c r="A572" s="95" t="str">
        <f t="shared" si="55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2"/>
        <v>0</v>
      </c>
      <c r="R572" s="97">
        <f t="shared" si="53"/>
        <v>0</v>
      </c>
      <c r="T572" s="98">
        <f t="shared" si="54"/>
        <v>0</v>
      </c>
      <c r="U572" s="99" t="str">
        <f>IFERROR(VLOOKUP($S572,References!$B$3:$C$8,2,FALSE),"")</f>
        <v/>
      </c>
      <c r="V572" s="99" t="str">
        <f t="shared" si="50"/>
        <v/>
      </c>
      <c r="W572" s="66" t="str">
        <f>IFERROR(VLOOKUP($O572,'Customer List'!$A$1:$J$488,10,FALSE),"")</f>
        <v/>
      </c>
    </row>
    <row r="573" spans="1:23">
      <c r="A573" s="95" t="str">
        <f t="shared" si="55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2"/>
        <v>0</v>
      </c>
      <c r="R573" s="97">
        <f t="shared" si="53"/>
        <v>0</v>
      </c>
      <c r="T573" s="98">
        <f t="shared" si="54"/>
        <v>0</v>
      </c>
      <c r="U573" s="99" t="str">
        <f>IFERROR(VLOOKUP($S573,References!$B$3:$C$8,2,FALSE),"")</f>
        <v/>
      </c>
      <c r="V573" s="99" t="str">
        <f t="shared" si="50"/>
        <v/>
      </c>
      <c r="W573" s="66" t="str">
        <f>IFERROR(VLOOKUP($O573,'Customer List'!$A$1:$J$488,10,FALSE),"")</f>
        <v/>
      </c>
    </row>
    <row r="574" spans="1:23">
      <c r="A574" s="95" t="str">
        <f t="shared" si="55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2"/>
        <v>0</v>
      </c>
      <c r="R574" s="97">
        <f t="shared" si="53"/>
        <v>0</v>
      </c>
      <c r="T574" s="98">
        <f t="shared" si="54"/>
        <v>0</v>
      </c>
      <c r="U574" s="99" t="str">
        <f>IFERROR(VLOOKUP($S574,References!$B$3:$C$8,2,FALSE),"")</f>
        <v/>
      </c>
      <c r="V574" s="99" t="str">
        <f t="shared" si="50"/>
        <v/>
      </c>
      <c r="W574" s="66" t="str">
        <f>IFERROR(VLOOKUP($O574,'Customer List'!$A$1:$J$488,10,FALSE),"")</f>
        <v/>
      </c>
    </row>
    <row r="575" spans="1:23">
      <c r="A575" s="95" t="str">
        <f t="shared" si="55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2"/>
        <v>0</v>
      </c>
      <c r="R575" s="97">
        <f t="shared" si="53"/>
        <v>0</v>
      </c>
      <c r="T575" s="98">
        <f t="shared" si="54"/>
        <v>0</v>
      </c>
      <c r="U575" s="99" t="str">
        <f>IFERROR(VLOOKUP($S575,References!$B$3:$C$8,2,FALSE),"")</f>
        <v/>
      </c>
      <c r="V575" s="99" t="str">
        <f t="shared" si="50"/>
        <v/>
      </c>
      <c r="W575" s="66" t="str">
        <f>IFERROR(VLOOKUP($O575,'Customer List'!$A$1:$J$488,10,FALSE),"")</f>
        <v/>
      </c>
    </row>
    <row r="576" spans="1:23">
      <c r="A576" s="95" t="str">
        <f t="shared" si="55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2"/>
        <v>0</v>
      </c>
      <c r="R576" s="97">
        <f t="shared" si="53"/>
        <v>0</v>
      </c>
      <c r="T576" s="98">
        <f t="shared" si="54"/>
        <v>0</v>
      </c>
      <c r="U576" s="99" t="str">
        <f>IFERROR(VLOOKUP($S576,References!$B$3:$C$8,2,FALSE),"")</f>
        <v/>
      </c>
      <c r="V576" s="99" t="str">
        <f t="shared" si="50"/>
        <v/>
      </c>
      <c r="W576" s="66" t="str">
        <f>IFERROR(VLOOKUP($O576,'Customer List'!$A$1:$J$488,10,FALSE),"")</f>
        <v/>
      </c>
    </row>
    <row r="577" spans="1:23">
      <c r="A577" s="95" t="str">
        <f t="shared" si="55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2"/>
        <v>0</v>
      </c>
      <c r="R577" s="97">
        <f t="shared" si="53"/>
        <v>0</v>
      </c>
      <c r="T577" s="98">
        <f t="shared" si="54"/>
        <v>0</v>
      </c>
      <c r="U577" s="99" t="str">
        <f>IFERROR(VLOOKUP($S577,References!$B$3:$C$8,2,FALSE),"")</f>
        <v/>
      </c>
      <c r="V577" s="99" t="str">
        <f t="shared" si="50"/>
        <v/>
      </c>
      <c r="W577" s="66" t="str">
        <f>IFERROR(VLOOKUP($O577,'Customer List'!$A$1:$J$488,10,FALSE),"")</f>
        <v/>
      </c>
    </row>
    <row r="578" spans="1:23">
      <c r="A578" s="95" t="str">
        <f t="shared" si="55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2"/>
        <v>0</v>
      </c>
      <c r="R578" s="97">
        <f t="shared" si="53"/>
        <v>0</v>
      </c>
      <c r="T578" s="98">
        <f t="shared" si="54"/>
        <v>0</v>
      </c>
      <c r="U578" s="99" t="str">
        <f>IFERROR(VLOOKUP($S578,References!$B$3:$C$8,2,FALSE),"")</f>
        <v/>
      </c>
      <c r="V578" s="99" t="str">
        <f t="shared" si="50"/>
        <v/>
      </c>
      <c r="W578" s="66" t="str">
        <f>IFERROR(VLOOKUP($O578,'Customer List'!$A$1:$J$488,10,FALSE),"")</f>
        <v/>
      </c>
    </row>
    <row r="579" spans="1:23">
      <c r="A579" s="95" t="str">
        <f t="shared" si="55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2"/>
        <v>0</v>
      </c>
      <c r="R579" s="97">
        <f t="shared" si="53"/>
        <v>0</v>
      </c>
      <c r="T579" s="98">
        <f t="shared" si="54"/>
        <v>0</v>
      </c>
      <c r="U579" s="99" t="str">
        <f>IFERROR(VLOOKUP($S579,References!$B$3:$C$8,2,FALSE),"")</f>
        <v/>
      </c>
      <c r="V579" s="99" t="str">
        <f t="shared" si="50"/>
        <v/>
      </c>
      <c r="W579" s="66" t="str">
        <f>IFERROR(VLOOKUP($O579,'Customer List'!$A$1:$J$488,10,FALSE),"")</f>
        <v/>
      </c>
    </row>
    <row r="580" spans="1:23">
      <c r="A580" s="95" t="str">
        <f t="shared" si="55"/>
        <v/>
      </c>
      <c r="B580" s="112"/>
      <c r="C580" s="112"/>
      <c r="D580" s="112"/>
      <c r="E580" s="112"/>
      <c r="F580" s="112"/>
      <c r="G580" s="112"/>
      <c r="H580" s="112"/>
      <c r="I580" s="112"/>
      <c r="J580" s="112"/>
      <c r="K580" s="113"/>
      <c r="L580" s="113"/>
      <c r="M580" s="113"/>
      <c r="N580" s="112"/>
      <c r="O580" s="146"/>
      <c r="P580" s="96">
        <f t="shared" si="52"/>
        <v>0</v>
      </c>
      <c r="R580" s="97">
        <f t="shared" si="53"/>
        <v>0</v>
      </c>
      <c r="T580" s="98">
        <f t="shared" si="54"/>
        <v>0</v>
      </c>
      <c r="U580" s="99" t="str">
        <f>IFERROR(VLOOKUP($S580,References!$B$3:$C$8,2,FALSE),"")</f>
        <v/>
      </c>
      <c r="V580" s="99" t="str">
        <f t="shared" ref="V580:V583" si="56">IF(T580&gt;=8,400,(IFERROR(T580*U580,"")))</f>
        <v/>
      </c>
      <c r="W580" s="66" t="str">
        <f>IFERROR(VLOOKUP($O580,'Customer List'!$A$1:$J$488,10,FALSE),"")</f>
        <v/>
      </c>
    </row>
    <row r="581" spans="1:23">
      <c r="A581" s="95" t="str">
        <f t="shared" si="55"/>
        <v/>
      </c>
      <c r="N581" s="112"/>
      <c r="O581" s="146"/>
      <c r="P581" s="96">
        <f t="shared" si="52"/>
        <v>0</v>
      </c>
      <c r="R581" s="97">
        <f t="shared" si="53"/>
        <v>0</v>
      </c>
      <c r="T581" s="98">
        <f t="shared" si="54"/>
        <v>0</v>
      </c>
      <c r="U581" s="99" t="str">
        <f>IFERROR(VLOOKUP($S581,References!$B$3:$C$8,2,FALSE),"")</f>
        <v/>
      </c>
      <c r="V581" s="99" t="str">
        <f t="shared" si="56"/>
        <v/>
      </c>
      <c r="W581" s="66" t="str">
        <f>IFERROR(VLOOKUP($O581,'Customer List'!$A$1:$J$488,10,FALSE),"")</f>
        <v/>
      </c>
    </row>
    <row r="582" spans="1:23">
      <c r="A582" s="95" t="str">
        <f t="shared" si="55"/>
        <v/>
      </c>
      <c r="O582" s="146"/>
      <c r="P582" s="96">
        <f t="shared" si="52"/>
        <v>0</v>
      </c>
      <c r="R582" s="97">
        <f t="shared" si="53"/>
        <v>0</v>
      </c>
      <c r="T582" s="98">
        <f t="shared" si="54"/>
        <v>0</v>
      </c>
      <c r="U582" s="99" t="str">
        <f>IFERROR(VLOOKUP($S582,References!$B$3:$C$8,2,FALSE),"")</f>
        <v/>
      </c>
      <c r="V582" s="99" t="str">
        <f t="shared" si="56"/>
        <v/>
      </c>
      <c r="W582" s="66" t="str">
        <f>IFERROR(VLOOKUP($O582,'Customer List'!$A$1:$J$488,10,FALSE),"")</f>
        <v/>
      </c>
    </row>
    <row r="583" spans="1:23">
      <c r="A583" s="95" t="str">
        <f t="shared" si="55"/>
        <v/>
      </c>
      <c r="G583" s="112"/>
      <c r="H583" s="112"/>
      <c r="I583" s="112"/>
      <c r="O583" s="146"/>
      <c r="P583" s="96">
        <f t="shared" si="52"/>
        <v>0</v>
      </c>
      <c r="R583" s="97">
        <f t="shared" si="53"/>
        <v>0</v>
      </c>
      <c r="T583" s="98">
        <f t="shared" si="54"/>
        <v>0</v>
      </c>
      <c r="U583" s="99" t="str">
        <f>IFERROR(VLOOKUP($S583,References!$B$3:$C$8,2,FALSE),"")</f>
        <v/>
      </c>
      <c r="V583" s="99" t="str">
        <f t="shared" si="56"/>
        <v/>
      </c>
      <c r="W583" s="66" t="str">
        <f>IFERROR(VLOOKUP($O583,'Customer List'!$A$1:$J$488,10,FALSE),"")</f>
        <v/>
      </c>
    </row>
    <row r="584" spans="1:23">
      <c r="A584" s="95" t="str">
        <f t="shared" si="55"/>
        <v/>
      </c>
      <c r="C584" s="112"/>
      <c r="D584" s="112"/>
      <c r="E584" s="112"/>
      <c r="G584" s="112"/>
      <c r="H584" s="112"/>
      <c r="I584" s="112"/>
      <c r="O584" s="146"/>
      <c r="P584" s="96">
        <f t="shared" si="52"/>
        <v>0</v>
      </c>
      <c r="R584" s="97">
        <f t="shared" si="53"/>
        <v>0</v>
      </c>
      <c r="T584" s="98">
        <f t="shared" si="54"/>
        <v>0</v>
      </c>
      <c r="U584" s="99" t="str">
        <f>IFERROR(VLOOKUP($S584,References!$B$3:$C$8,2,FALSE),"")</f>
        <v/>
      </c>
      <c r="V584" s="99" t="str">
        <f t="shared" ref="V584:V643" si="57">IF(T584&gt;=8,400,(IFERROR(T584*U584,"")))</f>
        <v/>
      </c>
      <c r="W584" s="66" t="str">
        <f>IFERROR(VLOOKUP($O584,'Customer List'!$A$1:$J$488,10,FALSE),"")</f>
        <v/>
      </c>
    </row>
    <row r="585" spans="1:23">
      <c r="A585" s="95" t="str">
        <f t="shared" si="55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2"/>
        <v>0</v>
      </c>
      <c r="R585" s="97">
        <f t="shared" si="53"/>
        <v>0</v>
      </c>
      <c r="T585" s="98">
        <f t="shared" si="54"/>
        <v>0</v>
      </c>
      <c r="U585" s="99" t="str">
        <f>IFERROR(VLOOKUP($S585,References!$B$3:$C$8,2,FALSE),"")</f>
        <v/>
      </c>
      <c r="V585" s="99" t="str">
        <f t="shared" si="57"/>
        <v/>
      </c>
      <c r="W585" s="66" t="str">
        <f>IFERROR(VLOOKUP($O585,'Customer List'!$A$1:$J$488,10,FALSE),"")</f>
        <v/>
      </c>
    </row>
    <row r="586" spans="1:23">
      <c r="A586" s="95" t="str">
        <f t="shared" si="55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2"/>
        <v>0</v>
      </c>
      <c r="R586" s="97">
        <f t="shared" si="53"/>
        <v>0</v>
      </c>
      <c r="T586" s="98">
        <f t="shared" si="54"/>
        <v>0</v>
      </c>
      <c r="U586" s="99" t="str">
        <f>IFERROR(VLOOKUP($S586,References!$B$3:$C$8,2,FALSE),"")</f>
        <v/>
      </c>
      <c r="V586" s="99" t="str">
        <f t="shared" si="57"/>
        <v/>
      </c>
      <c r="W586" s="66" t="str">
        <f>IFERROR(VLOOKUP($O586,'Customer List'!$A$1:$J$488,10,FALSE),"")</f>
        <v/>
      </c>
    </row>
    <row r="587" spans="1:23">
      <c r="A587" s="95" t="str">
        <f t="shared" si="55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2"/>
        <v>0</v>
      </c>
      <c r="R587" s="97">
        <f t="shared" si="53"/>
        <v>0</v>
      </c>
      <c r="T587" s="98">
        <f t="shared" si="54"/>
        <v>0</v>
      </c>
      <c r="U587" s="99" t="str">
        <f>IFERROR(VLOOKUP($S587,References!$B$3:$C$8,2,FALSE),"")</f>
        <v/>
      </c>
      <c r="V587" s="99" t="str">
        <f t="shared" si="57"/>
        <v/>
      </c>
      <c r="W587" s="66" t="str">
        <f>IFERROR(VLOOKUP($O587,'Customer List'!$A$1:$J$488,10,FALSE),"")</f>
        <v/>
      </c>
    </row>
    <row r="588" spans="1:23">
      <c r="A588" s="95" t="str">
        <f t="shared" si="55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2"/>
        <v>0</v>
      </c>
      <c r="R588" s="97">
        <f t="shared" si="53"/>
        <v>0</v>
      </c>
      <c r="T588" s="98">
        <f t="shared" si="54"/>
        <v>0</v>
      </c>
      <c r="U588" s="99" t="str">
        <f>IFERROR(VLOOKUP($S588,References!$B$3:$C$8,2,FALSE),"")</f>
        <v/>
      </c>
      <c r="V588" s="99" t="str">
        <f t="shared" si="57"/>
        <v/>
      </c>
      <c r="W588" s="66" t="str">
        <f>IFERROR(VLOOKUP($O588,'Customer List'!$A$1:$J$488,10,FALSE),"")</f>
        <v/>
      </c>
    </row>
    <row r="589" spans="1:23">
      <c r="A589" s="95" t="str">
        <f t="shared" si="55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2"/>
        <v>0</v>
      </c>
      <c r="R589" s="97">
        <f t="shared" si="53"/>
        <v>0</v>
      </c>
      <c r="T589" s="98">
        <f t="shared" si="54"/>
        <v>0</v>
      </c>
      <c r="U589" s="99" t="str">
        <f>IFERROR(VLOOKUP($S589,References!$B$3:$C$8,2,FALSE),"")</f>
        <v/>
      </c>
      <c r="V589" s="99" t="str">
        <f t="shared" si="57"/>
        <v/>
      </c>
      <c r="W589" s="66" t="str">
        <f>IFERROR(VLOOKUP($O589,'Customer List'!$A$1:$J$488,10,FALSE),"")</f>
        <v/>
      </c>
    </row>
    <row r="590" spans="1:23">
      <c r="A590" s="95" t="str">
        <f t="shared" si="55"/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si="52"/>
        <v>0</v>
      </c>
      <c r="R590" s="97">
        <f t="shared" si="53"/>
        <v>0</v>
      </c>
      <c r="T590" s="98">
        <f t="shared" si="54"/>
        <v>0</v>
      </c>
      <c r="U590" s="99" t="str">
        <f>IFERROR(VLOOKUP($S590,References!$B$3:$C$8,2,FALSE),"")</f>
        <v/>
      </c>
      <c r="V590" s="99" t="str">
        <f t="shared" si="57"/>
        <v/>
      </c>
      <c r="W590" s="66" t="str">
        <f>IFERROR(VLOOKUP($O590,'Customer List'!$A$1:$J$488,10,FALSE),"")</f>
        <v/>
      </c>
    </row>
    <row r="591" spans="1:23">
      <c r="A591" s="95" t="str">
        <f t="shared" ref="A591:A654" si="58">O591&amp;S591</f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ref="P591:P654" si="59">INT(L591)</f>
        <v>0</v>
      </c>
      <c r="R591" s="97">
        <f t="shared" ref="R591:R593" si="60">L591-K591</f>
        <v>0</v>
      </c>
      <c r="T591" s="98">
        <f t="shared" si="54"/>
        <v>0</v>
      </c>
      <c r="U591" s="99" t="str">
        <f>IFERROR(VLOOKUP($S591,References!$B$3:$C$8,2,FALSE),"")</f>
        <v/>
      </c>
      <c r="V591" s="99" t="str">
        <f t="shared" si="57"/>
        <v/>
      </c>
      <c r="W591" s="66" t="str">
        <f>IFERROR(VLOOKUP($O591,'Customer List'!$A$1:$J$488,10,FALSE),"")</f>
        <v/>
      </c>
    </row>
    <row r="592" spans="1:23">
      <c r="A592" s="95" t="str">
        <f t="shared" si="58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59"/>
        <v>0</v>
      </c>
      <c r="R592" s="97">
        <f t="shared" si="60"/>
        <v>0</v>
      </c>
      <c r="T592" s="98">
        <f t="shared" ref="T592:T655" si="61">IF(S592="50 - Cleaning Fee",1,HOUR($R592)+MINUTE(R592)/60)</f>
        <v>0</v>
      </c>
      <c r="U592" s="99" t="str">
        <f>IFERROR(VLOOKUP($S592,References!$B$3:$C$8,2,FALSE),"")</f>
        <v/>
      </c>
      <c r="V592" s="99" t="str">
        <f t="shared" si="57"/>
        <v/>
      </c>
      <c r="W592" s="66" t="str">
        <f>IFERROR(VLOOKUP($O592,'Customer List'!$A$1:$J$488,10,FALSE),"")</f>
        <v/>
      </c>
    </row>
    <row r="593" spans="1:23">
      <c r="A593" s="95" t="str">
        <f t="shared" si="58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59"/>
        <v>0</v>
      </c>
      <c r="R593" s="97">
        <f t="shared" si="60"/>
        <v>0</v>
      </c>
      <c r="T593" s="98">
        <f t="shared" si="61"/>
        <v>0</v>
      </c>
      <c r="U593" s="99" t="str">
        <f>IFERROR(VLOOKUP($S593,References!$B$3:$C$8,2,FALSE),"")</f>
        <v/>
      </c>
      <c r="V593" s="99" t="str">
        <f t="shared" si="57"/>
        <v/>
      </c>
      <c r="W593" s="66" t="str">
        <f>IFERROR(VLOOKUP($O593,'Customer List'!$A$1:$J$488,10,FALSE),"")</f>
        <v/>
      </c>
    </row>
    <row r="594" spans="1:23">
      <c r="A594" s="95" t="str">
        <f t="shared" si="58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59"/>
        <v>0</v>
      </c>
      <c r="R594" s="97">
        <f t="shared" ref="R594:R620" si="62">L594-K594</f>
        <v>0</v>
      </c>
      <c r="T594" s="98">
        <f t="shared" si="61"/>
        <v>0</v>
      </c>
      <c r="U594" s="99" t="str">
        <f>IFERROR(VLOOKUP($S594,References!$B$3:$C$8,2,FALSE),"")</f>
        <v/>
      </c>
      <c r="V594" s="99" t="str">
        <f t="shared" si="57"/>
        <v/>
      </c>
      <c r="W594" s="66" t="str">
        <f>IFERROR(VLOOKUP($O594,'Customer List'!$A$1:$J$488,10,FALSE),"")</f>
        <v/>
      </c>
    </row>
    <row r="595" spans="1:23">
      <c r="A595" s="95" t="str">
        <f t="shared" si="58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59"/>
        <v>0</v>
      </c>
      <c r="R595" s="97">
        <f t="shared" si="62"/>
        <v>0</v>
      </c>
      <c r="T595" s="98">
        <f t="shared" si="61"/>
        <v>0</v>
      </c>
      <c r="U595" s="99" t="str">
        <f>IFERROR(VLOOKUP($S595,References!$B$3:$C$8,2,FALSE),"")</f>
        <v/>
      </c>
      <c r="V595" s="99" t="str">
        <f t="shared" si="57"/>
        <v/>
      </c>
      <c r="W595" s="66" t="str">
        <f>IFERROR(VLOOKUP($O595,'Customer List'!$A$1:$J$488,10,FALSE),"")</f>
        <v/>
      </c>
    </row>
    <row r="596" spans="1:23">
      <c r="A596" s="95" t="str">
        <f t="shared" si="58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59"/>
        <v>0</v>
      </c>
      <c r="R596" s="97">
        <f t="shared" si="62"/>
        <v>0</v>
      </c>
      <c r="T596" s="98">
        <f t="shared" si="61"/>
        <v>0</v>
      </c>
      <c r="U596" s="99" t="str">
        <f>IFERROR(VLOOKUP($S596,References!$B$3:$C$8,2,FALSE),"")</f>
        <v/>
      </c>
      <c r="V596" s="99" t="str">
        <f t="shared" si="57"/>
        <v/>
      </c>
      <c r="W596" s="66" t="str">
        <f>IFERROR(VLOOKUP($O596,'Customer List'!$A$1:$J$488,10,FALSE),"")</f>
        <v/>
      </c>
    </row>
    <row r="597" spans="1:23">
      <c r="A597" s="95" t="str">
        <f t="shared" si="58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59"/>
        <v>0</v>
      </c>
      <c r="R597" s="97">
        <f t="shared" si="62"/>
        <v>0</v>
      </c>
      <c r="T597" s="98">
        <f t="shared" si="61"/>
        <v>0</v>
      </c>
      <c r="U597" s="99" t="str">
        <f>IFERROR(VLOOKUP($S597,References!$B$3:$C$8,2,FALSE),"")</f>
        <v/>
      </c>
      <c r="V597" s="99" t="str">
        <f t="shared" si="57"/>
        <v/>
      </c>
      <c r="W597" s="66" t="str">
        <f>IFERROR(VLOOKUP($O597,'Customer List'!$A$1:$J$488,10,FALSE),"")</f>
        <v/>
      </c>
    </row>
    <row r="598" spans="1:23">
      <c r="A598" s="95" t="str">
        <f t="shared" si="58"/>
        <v/>
      </c>
      <c r="C598" s="112"/>
      <c r="D598" s="112"/>
      <c r="E598" s="112"/>
      <c r="G598" s="112"/>
      <c r="H598" s="112"/>
      <c r="I598" s="112"/>
      <c r="N598" s="112"/>
      <c r="O598" s="146"/>
      <c r="P598" s="96">
        <f t="shared" si="59"/>
        <v>0</v>
      </c>
      <c r="R598" s="97">
        <f t="shared" si="62"/>
        <v>0</v>
      </c>
      <c r="T598" s="98">
        <f t="shared" si="61"/>
        <v>0</v>
      </c>
      <c r="U598" s="99" t="str">
        <f>IFERROR(VLOOKUP($S598,References!$B$3:$C$8,2,FALSE),"")</f>
        <v/>
      </c>
      <c r="V598" s="99" t="str">
        <f t="shared" si="57"/>
        <v/>
      </c>
      <c r="W598" s="66" t="str">
        <f>IFERROR(VLOOKUP($O598,'Customer List'!$A$1:$J$488,10,FALSE),"")</f>
        <v/>
      </c>
    </row>
    <row r="599" spans="1:23">
      <c r="A599" s="95" t="str">
        <f t="shared" si="58"/>
        <v/>
      </c>
      <c r="N599" s="112"/>
      <c r="O599" s="146"/>
      <c r="P599" s="96">
        <f t="shared" si="59"/>
        <v>0</v>
      </c>
      <c r="R599" s="97">
        <f t="shared" si="62"/>
        <v>0</v>
      </c>
      <c r="T599" s="98">
        <f t="shared" si="61"/>
        <v>0</v>
      </c>
      <c r="U599" s="99" t="str">
        <f>IFERROR(VLOOKUP($S599,References!$B$3:$C$8,2,FALSE),"")</f>
        <v/>
      </c>
      <c r="V599" s="99" t="str">
        <f t="shared" si="57"/>
        <v/>
      </c>
      <c r="W599" s="66" t="str">
        <f>IFERROR(VLOOKUP($O599,'Customer List'!$A$1:$J$488,10,FALSE),"")</f>
        <v/>
      </c>
    </row>
    <row r="600" spans="1:23">
      <c r="A600" s="95" t="str">
        <f t="shared" si="58"/>
        <v/>
      </c>
      <c r="O600" s="146"/>
      <c r="P600" s="96">
        <f t="shared" si="59"/>
        <v>0</v>
      </c>
      <c r="R600" s="97">
        <f t="shared" si="62"/>
        <v>0</v>
      </c>
      <c r="T600" s="98">
        <f t="shared" si="61"/>
        <v>0</v>
      </c>
      <c r="U600" s="99" t="str">
        <f>IFERROR(VLOOKUP($S600,References!$B$3:$C$8,2,FALSE),"")</f>
        <v/>
      </c>
      <c r="V600" s="99" t="str">
        <f t="shared" si="57"/>
        <v/>
      </c>
      <c r="W600" s="66" t="str">
        <f>IFERROR(VLOOKUP($O600,'Customer List'!$A$1:$J$488,10,FALSE),"")</f>
        <v/>
      </c>
    </row>
    <row r="601" spans="1:23">
      <c r="A601" s="95" t="str">
        <f t="shared" si="58"/>
        <v/>
      </c>
      <c r="O601" s="146"/>
      <c r="P601" s="96">
        <f t="shared" si="59"/>
        <v>0</v>
      </c>
      <c r="R601" s="97">
        <f t="shared" si="62"/>
        <v>0</v>
      </c>
      <c r="T601" s="98">
        <f t="shared" si="61"/>
        <v>0</v>
      </c>
      <c r="U601" s="99" t="str">
        <f>IFERROR(VLOOKUP($S601,References!$B$3:$C$8,2,FALSE),"")</f>
        <v/>
      </c>
      <c r="V601" s="99" t="str">
        <f t="shared" si="57"/>
        <v/>
      </c>
      <c r="W601" s="66" t="str">
        <f>IFERROR(VLOOKUP($O601,'Customer List'!$A$1:$J$488,10,FALSE),"")</f>
        <v/>
      </c>
    </row>
    <row r="602" spans="1:23">
      <c r="A602" s="95" t="str">
        <f t="shared" si="58"/>
        <v/>
      </c>
      <c r="O602" s="146"/>
      <c r="P602" s="96">
        <f t="shared" si="59"/>
        <v>0</v>
      </c>
      <c r="R602" s="97">
        <f t="shared" si="62"/>
        <v>0</v>
      </c>
      <c r="T602" s="98">
        <f t="shared" si="61"/>
        <v>0</v>
      </c>
      <c r="U602" s="99" t="str">
        <f>IFERROR(VLOOKUP($S602,References!$B$3:$C$8,2,FALSE),"")</f>
        <v/>
      </c>
      <c r="V602" s="99" t="str">
        <f t="shared" si="57"/>
        <v/>
      </c>
      <c r="W602" s="66" t="str">
        <f>IFERROR(VLOOKUP($O602,'Customer List'!$A$1:$J$488,10,FALSE),"")</f>
        <v/>
      </c>
    </row>
    <row r="603" spans="1:23">
      <c r="A603" s="95" t="str">
        <f t="shared" si="58"/>
        <v/>
      </c>
      <c r="O603" s="146"/>
      <c r="P603" s="96">
        <f t="shared" si="59"/>
        <v>0</v>
      </c>
      <c r="R603" s="97">
        <f t="shared" si="62"/>
        <v>0</v>
      </c>
      <c r="T603" s="98">
        <f t="shared" si="61"/>
        <v>0</v>
      </c>
      <c r="U603" s="99" t="str">
        <f>IFERROR(VLOOKUP($S603,References!$B$3:$C$8,2,FALSE),"")</f>
        <v/>
      </c>
      <c r="V603" s="99" t="str">
        <f t="shared" si="57"/>
        <v/>
      </c>
      <c r="W603" s="66" t="str">
        <f>IFERROR(VLOOKUP($O603,'Customer List'!$A$1:$J$488,10,FALSE),"")</f>
        <v/>
      </c>
    </row>
    <row r="604" spans="1:23">
      <c r="A604" s="95" t="str">
        <f t="shared" si="58"/>
        <v/>
      </c>
      <c r="O604" s="146"/>
      <c r="P604" s="96">
        <f t="shared" si="59"/>
        <v>0</v>
      </c>
      <c r="R604" s="97">
        <f t="shared" si="62"/>
        <v>0</v>
      </c>
      <c r="T604" s="98">
        <f t="shared" si="61"/>
        <v>0</v>
      </c>
      <c r="U604" s="99" t="str">
        <f>IFERROR(VLOOKUP($S604,References!$B$3:$C$8,2,FALSE),"")</f>
        <v/>
      </c>
      <c r="V604" s="99" t="str">
        <f t="shared" si="57"/>
        <v/>
      </c>
      <c r="W604" s="66" t="str">
        <f>IFERROR(VLOOKUP($O604,'Customer List'!$A$1:$J$488,10,FALSE),"")</f>
        <v/>
      </c>
    </row>
    <row r="605" spans="1:23">
      <c r="A605" s="95" t="str">
        <f t="shared" si="58"/>
        <v/>
      </c>
      <c r="O605" s="146"/>
      <c r="P605" s="96">
        <f t="shared" si="59"/>
        <v>0</v>
      </c>
      <c r="R605" s="97">
        <f t="shared" si="62"/>
        <v>0</v>
      </c>
      <c r="T605" s="98">
        <f t="shared" si="61"/>
        <v>0</v>
      </c>
      <c r="U605" s="99" t="str">
        <f>IFERROR(VLOOKUP($S605,References!$B$3:$C$8,2,FALSE),"")</f>
        <v/>
      </c>
      <c r="V605" s="99" t="str">
        <f t="shared" si="57"/>
        <v/>
      </c>
      <c r="W605" s="66" t="str">
        <f>IFERROR(VLOOKUP($O605,'Customer List'!$A$1:$J$488,10,FALSE),"")</f>
        <v/>
      </c>
    </row>
    <row r="606" spans="1:23">
      <c r="A606" s="95" t="str">
        <f t="shared" si="58"/>
        <v/>
      </c>
      <c r="O606" s="146"/>
      <c r="P606" s="96">
        <f t="shared" si="59"/>
        <v>0</v>
      </c>
      <c r="R606" s="97">
        <f t="shared" si="62"/>
        <v>0</v>
      </c>
      <c r="T606" s="98">
        <f t="shared" si="61"/>
        <v>0</v>
      </c>
      <c r="U606" s="99" t="str">
        <f>IFERROR(VLOOKUP($S606,References!$B$3:$C$8,2,FALSE),"")</f>
        <v/>
      </c>
      <c r="V606" s="99" t="str">
        <f t="shared" si="57"/>
        <v/>
      </c>
      <c r="W606" s="66" t="str">
        <f>IFERROR(VLOOKUP($O606,'Customer List'!$A$1:$J$488,10,FALSE),"")</f>
        <v/>
      </c>
    </row>
    <row r="607" spans="1:23">
      <c r="A607" s="95" t="str">
        <f t="shared" si="58"/>
        <v/>
      </c>
      <c r="O607" s="146"/>
      <c r="P607" s="96">
        <f t="shared" si="59"/>
        <v>0</v>
      </c>
      <c r="R607" s="97">
        <f t="shared" si="62"/>
        <v>0</v>
      </c>
      <c r="T607" s="98">
        <f t="shared" si="61"/>
        <v>0</v>
      </c>
      <c r="U607" s="99" t="str">
        <f>IFERROR(VLOOKUP($S607,References!$B$3:$C$8,2,FALSE),"")</f>
        <v/>
      </c>
      <c r="V607" s="99" t="str">
        <f t="shared" si="57"/>
        <v/>
      </c>
      <c r="W607" s="66" t="str">
        <f>IFERROR(VLOOKUP($O607,'Customer List'!$A$1:$J$488,10,FALSE),"")</f>
        <v/>
      </c>
    </row>
    <row r="608" spans="1:23">
      <c r="A608" s="95" t="str">
        <f t="shared" si="58"/>
        <v/>
      </c>
      <c r="O608" s="146"/>
      <c r="P608" s="96">
        <f t="shared" si="59"/>
        <v>0</v>
      </c>
      <c r="R608" s="97">
        <f t="shared" si="62"/>
        <v>0</v>
      </c>
      <c r="T608" s="98">
        <f t="shared" si="61"/>
        <v>0</v>
      </c>
      <c r="U608" s="99" t="str">
        <f>IFERROR(VLOOKUP($S608,References!$B$3:$C$8,2,FALSE),"")</f>
        <v/>
      </c>
      <c r="V608" s="99" t="str">
        <f t="shared" si="57"/>
        <v/>
      </c>
      <c r="W608" s="66" t="str">
        <f>IFERROR(VLOOKUP($O608,'Customer List'!$A$1:$J$488,10,FALSE),"")</f>
        <v/>
      </c>
    </row>
    <row r="609" spans="1:23">
      <c r="A609" s="95" t="str">
        <f t="shared" si="58"/>
        <v/>
      </c>
      <c r="O609" s="146"/>
      <c r="P609" s="96">
        <f t="shared" si="59"/>
        <v>0</v>
      </c>
      <c r="R609" s="97">
        <f t="shared" si="62"/>
        <v>0</v>
      </c>
      <c r="T609" s="98">
        <f t="shared" si="61"/>
        <v>0</v>
      </c>
      <c r="U609" s="99" t="str">
        <f>IFERROR(VLOOKUP($S609,References!$B$3:$C$8,2,FALSE),"")</f>
        <v/>
      </c>
      <c r="V609" s="99" t="str">
        <f t="shared" si="57"/>
        <v/>
      </c>
      <c r="W609" s="66" t="str">
        <f>IFERROR(VLOOKUP($O609,'Customer List'!$A$1:$J$488,10,FALSE),"")</f>
        <v/>
      </c>
    </row>
    <row r="610" spans="1:23">
      <c r="A610" s="95" t="str">
        <f t="shared" si="58"/>
        <v/>
      </c>
      <c r="O610" s="146"/>
      <c r="P610" s="96">
        <f t="shared" si="59"/>
        <v>0</v>
      </c>
      <c r="R610" s="97">
        <f t="shared" si="62"/>
        <v>0</v>
      </c>
      <c r="T610" s="98">
        <f t="shared" si="61"/>
        <v>0</v>
      </c>
      <c r="U610" s="99" t="str">
        <f>IFERROR(VLOOKUP($S610,References!$B$3:$C$8,2,FALSE),"")</f>
        <v/>
      </c>
      <c r="V610" s="99" t="str">
        <f t="shared" si="57"/>
        <v/>
      </c>
      <c r="W610" s="66" t="str">
        <f>IFERROR(VLOOKUP($O610,'Customer List'!$A$1:$J$488,10,FALSE),"")</f>
        <v/>
      </c>
    </row>
    <row r="611" spans="1:23">
      <c r="A611" s="95" t="str">
        <f t="shared" si="58"/>
        <v/>
      </c>
      <c r="O611" s="146"/>
      <c r="P611" s="96">
        <f t="shared" si="59"/>
        <v>0</v>
      </c>
      <c r="R611" s="97">
        <f t="shared" si="62"/>
        <v>0</v>
      </c>
      <c r="T611" s="98">
        <f t="shared" si="61"/>
        <v>0</v>
      </c>
      <c r="U611" s="99" t="str">
        <f>IFERROR(VLOOKUP($S611,References!$B$3:$C$8,2,FALSE),"")</f>
        <v/>
      </c>
      <c r="V611" s="99" t="str">
        <f t="shared" si="57"/>
        <v/>
      </c>
      <c r="W611" s="66" t="str">
        <f>IFERROR(VLOOKUP($O611,'Customer List'!$A$1:$J$488,10,FALSE),"")</f>
        <v/>
      </c>
    </row>
    <row r="612" spans="1:23">
      <c r="A612" s="95" t="str">
        <f t="shared" si="58"/>
        <v/>
      </c>
      <c r="O612" s="146"/>
      <c r="P612" s="96">
        <f t="shared" si="59"/>
        <v>0</v>
      </c>
      <c r="R612" s="97">
        <f t="shared" si="62"/>
        <v>0</v>
      </c>
      <c r="T612" s="98">
        <f t="shared" si="61"/>
        <v>0</v>
      </c>
      <c r="U612" s="99" t="str">
        <f>IFERROR(VLOOKUP($S612,References!$B$3:$C$8,2,FALSE),"")</f>
        <v/>
      </c>
      <c r="V612" s="99" t="str">
        <f t="shared" si="57"/>
        <v/>
      </c>
      <c r="W612" s="66" t="str">
        <f>IFERROR(VLOOKUP($O612,'Customer List'!$A$1:$J$488,10,FALSE),"")</f>
        <v/>
      </c>
    </row>
    <row r="613" spans="1:23">
      <c r="A613" s="95" t="str">
        <f t="shared" si="58"/>
        <v/>
      </c>
      <c r="O613" s="146"/>
      <c r="P613" s="96">
        <f t="shared" si="59"/>
        <v>0</v>
      </c>
      <c r="R613" s="97">
        <f t="shared" si="62"/>
        <v>0</v>
      </c>
      <c r="T613" s="98">
        <f t="shared" si="61"/>
        <v>0</v>
      </c>
      <c r="U613" s="99" t="str">
        <f>IFERROR(VLOOKUP($S613,References!$B$3:$C$8,2,FALSE),"")</f>
        <v/>
      </c>
      <c r="V613" s="99" t="str">
        <f t="shared" si="57"/>
        <v/>
      </c>
      <c r="W613" s="66" t="str">
        <f>IFERROR(VLOOKUP($O613,'Customer List'!$A$1:$J$488,10,FALSE),"")</f>
        <v/>
      </c>
    </row>
    <row r="614" spans="1:23">
      <c r="A614" s="95" t="str">
        <f t="shared" si="58"/>
        <v/>
      </c>
      <c r="O614" s="146"/>
      <c r="P614" s="96">
        <f t="shared" si="59"/>
        <v>0</v>
      </c>
      <c r="R614" s="97">
        <f t="shared" si="62"/>
        <v>0</v>
      </c>
      <c r="T614" s="98">
        <f t="shared" si="61"/>
        <v>0</v>
      </c>
      <c r="U614" s="99" t="str">
        <f>IFERROR(VLOOKUP($S614,References!$B$3:$C$8,2,FALSE),"")</f>
        <v/>
      </c>
      <c r="V614" s="99" t="str">
        <f t="shared" si="57"/>
        <v/>
      </c>
      <c r="W614" s="66" t="str">
        <f>IFERROR(VLOOKUP($O614,'Customer List'!$A$1:$J$488,10,FALSE),"")</f>
        <v/>
      </c>
    </row>
    <row r="615" spans="1:23">
      <c r="A615" s="95" t="str">
        <f t="shared" si="58"/>
        <v/>
      </c>
      <c r="O615" s="146"/>
      <c r="P615" s="96">
        <f t="shared" si="59"/>
        <v>0</v>
      </c>
      <c r="R615" s="97">
        <f t="shared" si="62"/>
        <v>0</v>
      </c>
      <c r="T615" s="98">
        <f t="shared" si="61"/>
        <v>0</v>
      </c>
      <c r="U615" s="99" t="str">
        <f>IFERROR(VLOOKUP($S615,References!$B$3:$C$8,2,FALSE),"")</f>
        <v/>
      </c>
      <c r="V615" s="99" t="str">
        <f t="shared" si="57"/>
        <v/>
      </c>
      <c r="W615" s="66" t="str">
        <f>IFERROR(VLOOKUP($O615,'Customer List'!$A$1:$J$488,10,FALSE),"")</f>
        <v/>
      </c>
    </row>
    <row r="616" spans="1:23">
      <c r="A616" s="95" t="str">
        <f t="shared" si="58"/>
        <v/>
      </c>
      <c r="O616" s="146"/>
      <c r="P616" s="96">
        <f t="shared" si="59"/>
        <v>0</v>
      </c>
      <c r="R616" s="97">
        <f t="shared" si="62"/>
        <v>0</v>
      </c>
      <c r="T616" s="98">
        <f t="shared" si="61"/>
        <v>0</v>
      </c>
      <c r="U616" s="99" t="str">
        <f>IFERROR(VLOOKUP($S616,References!$B$3:$C$8,2,FALSE),"")</f>
        <v/>
      </c>
      <c r="V616" s="99" t="str">
        <f t="shared" si="57"/>
        <v/>
      </c>
      <c r="W616" s="66" t="str">
        <f>IFERROR(VLOOKUP($O616,'Customer List'!$A$1:$J$488,10,FALSE),"")</f>
        <v/>
      </c>
    </row>
    <row r="617" spans="1:23">
      <c r="A617" s="95" t="str">
        <f t="shared" si="58"/>
        <v/>
      </c>
      <c r="O617" s="146"/>
      <c r="P617" s="96">
        <f t="shared" si="59"/>
        <v>0</v>
      </c>
      <c r="R617" s="97">
        <f t="shared" si="62"/>
        <v>0</v>
      </c>
      <c r="T617" s="98">
        <f t="shared" si="61"/>
        <v>0</v>
      </c>
      <c r="U617" s="99" t="str">
        <f>IFERROR(VLOOKUP($S617,References!$B$3:$C$8,2,FALSE),"")</f>
        <v/>
      </c>
      <c r="V617" s="99" t="str">
        <f t="shared" si="57"/>
        <v/>
      </c>
      <c r="W617" s="66" t="str">
        <f>IFERROR(VLOOKUP($O617,'Customer List'!$A$1:$J$488,10,FALSE),"")</f>
        <v/>
      </c>
    </row>
    <row r="618" spans="1:23">
      <c r="A618" s="95" t="str">
        <f t="shared" si="58"/>
        <v/>
      </c>
      <c r="O618" s="146"/>
      <c r="P618" s="96">
        <f t="shared" si="59"/>
        <v>0</v>
      </c>
      <c r="R618" s="97">
        <f t="shared" si="62"/>
        <v>0</v>
      </c>
      <c r="T618" s="98">
        <f t="shared" si="61"/>
        <v>0</v>
      </c>
      <c r="U618" s="99" t="str">
        <f>IFERROR(VLOOKUP($S618,References!$B$3:$C$8,2,FALSE),"")</f>
        <v/>
      </c>
      <c r="V618" s="99" t="str">
        <f t="shared" si="57"/>
        <v/>
      </c>
      <c r="W618" s="66" t="str">
        <f>IFERROR(VLOOKUP($O618,'Customer List'!$A$1:$J$488,10,FALSE),"")</f>
        <v/>
      </c>
    </row>
    <row r="619" spans="1:23">
      <c r="A619" s="95" t="str">
        <f t="shared" si="58"/>
        <v/>
      </c>
      <c r="O619" s="146"/>
      <c r="P619" s="96">
        <f t="shared" si="59"/>
        <v>0</v>
      </c>
      <c r="R619" s="97">
        <f t="shared" si="62"/>
        <v>0</v>
      </c>
      <c r="T619" s="98">
        <f t="shared" si="61"/>
        <v>0</v>
      </c>
      <c r="U619" s="99" t="str">
        <f>IFERROR(VLOOKUP($S619,References!$B$3:$C$8,2,FALSE),"")</f>
        <v/>
      </c>
      <c r="V619" s="99" t="str">
        <f t="shared" si="57"/>
        <v/>
      </c>
      <c r="W619" s="66" t="str">
        <f>IFERROR(VLOOKUP($O619,'Customer List'!$A$1:$J$488,10,FALSE),"")</f>
        <v/>
      </c>
    </row>
    <row r="620" spans="1:23">
      <c r="A620" s="95" t="str">
        <f t="shared" si="58"/>
        <v/>
      </c>
      <c r="O620" s="146"/>
      <c r="P620" s="96">
        <f t="shared" si="59"/>
        <v>0</v>
      </c>
      <c r="R620" s="97">
        <f t="shared" si="62"/>
        <v>0</v>
      </c>
      <c r="T620" s="98">
        <f t="shared" si="61"/>
        <v>0</v>
      </c>
      <c r="U620" s="99" t="str">
        <f>IFERROR(VLOOKUP($S620,References!$B$3:$C$8,2,FALSE),"")</f>
        <v/>
      </c>
      <c r="V620" s="99" t="str">
        <f t="shared" si="57"/>
        <v/>
      </c>
      <c r="W620" s="66" t="str">
        <f>IFERROR(VLOOKUP($O620,'Customer List'!$A$1:$J$488,10,FALSE),"")</f>
        <v/>
      </c>
    </row>
    <row r="621" spans="1:23">
      <c r="A621" s="95" t="str">
        <f t="shared" si="58"/>
        <v/>
      </c>
      <c r="O621" s="146"/>
      <c r="P621" s="96">
        <f t="shared" si="59"/>
        <v>0</v>
      </c>
      <c r="R621" s="97">
        <f t="shared" ref="R621:R652" si="63">L621-K621</f>
        <v>0</v>
      </c>
      <c r="T621" s="98">
        <f t="shared" si="61"/>
        <v>0</v>
      </c>
      <c r="U621" s="99" t="str">
        <f>IFERROR(VLOOKUP($S621,References!$B$3:$C$8,2,FALSE),"")</f>
        <v/>
      </c>
      <c r="V621" s="99" t="str">
        <f t="shared" si="57"/>
        <v/>
      </c>
      <c r="W621" s="66" t="str">
        <f>IFERROR(VLOOKUP($O621,'Customer List'!$A$1:$J$488,10,FALSE),"")</f>
        <v/>
      </c>
    </row>
    <row r="622" spans="1:23">
      <c r="A622" s="95" t="str">
        <f t="shared" si="58"/>
        <v/>
      </c>
      <c r="O622" s="146"/>
      <c r="P622" s="96">
        <f t="shared" si="59"/>
        <v>0</v>
      </c>
      <c r="R622" s="97">
        <f t="shared" si="63"/>
        <v>0</v>
      </c>
      <c r="T622" s="98">
        <f t="shared" si="61"/>
        <v>0</v>
      </c>
      <c r="U622" s="99" t="str">
        <f>IFERROR(VLOOKUP($S622,References!$B$3:$C$8,2,FALSE),"")</f>
        <v/>
      </c>
      <c r="V622" s="99" t="str">
        <f t="shared" si="57"/>
        <v/>
      </c>
      <c r="W622" s="66" t="str">
        <f>IFERROR(VLOOKUP($O622,'Customer List'!$A$1:$J$488,10,FALSE),"")</f>
        <v/>
      </c>
    </row>
    <row r="623" spans="1:23">
      <c r="A623" s="95" t="str">
        <f t="shared" si="58"/>
        <v/>
      </c>
      <c r="O623" s="146"/>
      <c r="P623" s="96">
        <f t="shared" si="59"/>
        <v>0</v>
      </c>
      <c r="R623" s="97">
        <f t="shared" si="63"/>
        <v>0</v>
      </c>
      <c r="T623" s="98">
        <f t="shared" si="61"/>
        <v>0</v>
      </c>
      <c r="U623" s="99" t="str">
        <f>IFERROR(VLOOKUP($S623,References!$B$3:$C$8,2,FALSE),"")</f>
        <v/>
      </c>
      <c r="V623" s="99" t="str">
        <f t="shared" si="57"/>
        <v/>
      </c>
      <c r="W623" s="66" t="str">
        <f>IFERROR(VLOOKUP($O623,'Customer List'!$A$1:$J$488,10,FALSE),"")</f>
        <v/>
      </c>
    </row>
    <row r="624" spans="1:23">
      <c r="A624" s="95" t="str">
        <f t="shared" si="58"/>
        <v/>
      </c>
      <c r="O624" s="146"/>
      <c r="P624" s="96">
        <f t="shared" si="59"/>
        <v>0</v>
      </c>
      <c r="R624" s="97">
        <f t="shared" si="63"/>
        <v>0</v>
      </c>
      <c r="T624" s="98">
        <f t="shared" si="61"/>
        <v>0</v>
      </c>
      <c r="U624" s="99" t="str">
        <f>IFERROR(VLOOKUP($S624,References!$B$3:$C$8,2,FALSE),"")</f>
        <v/>
      </c>
      <c r="V624" s="99" t="str">
        <f t="shared" si="57"/>
        <v/>
      </c>
      <c r="W624" s="66" t="str">
        <f>IFERROR(VLOOKUP($O624,'Customer List'!$A$1:$J$488,10,FALSE),"")</f>
        <v/>
      </c>
    </row>
    <row r="625" spans="1:23">
      <c r="A625" s="95" t="str">
        <f t="shared" si="58"/>
        <v/>
      </c>
      <c r="O625" s="146"/>
      <c r="P625" s="96">
        <f t="shared" si="59"/>
        <v>0</v>
      </c>
      <c r="R625" s="97">
        <f t="shared" si="63"/>
        <v>0</v>
      </c>
      <c r="T625" s="98">
        <f t="shared" si="61"/>
        <v>0</v>
      </c>
      <c r="U625" s="99" t="str">
        <f>IFERROR(VLOOKUP($S625,References!$B$3:$C$8,2,FALSE),"")</f>
        <v/>
      </c>
      <c r="V625" s="99" t="str">
        <f t="shared" si="57"/>
        <v/>
      </c>
      <c r="W625" s="66" t="str">
        <f>IFERROR(VLOOKUP($O625,'Customer List'!$A$1:$J$488,10,FALSE),"")</f>
        <v/>
      </c>
    </row>
    <row r="626" spans="1:23">
      <c r="A626" s="95" t="str">
        <f t="shared" si="58"/>
        <v/>
      </c>
      <c r="O626" s="146"/>
      <c r="P626" s="96">
        <f t="shared" si="59"/>
        <v>0</v>
      </c>
      <c r="R626" s="97">
        <f t="shared" si="63"/>
        <v>0</v>
      </c>
      <c r="T626" s="98">
        <f t="shared" si="61"/>
        <v>0</v>
      </c>
      <c r="U626" s="99" t="str">
        <f>IFERROR(VLOOKUP($S626,References!$B$3:$C$8,2,FALSE),"")</f>
        <v/>
      </c>
      <c r="V626" s="99" t="str">
        <f t="shared" si="57"/>
        <v/>
      </c>
      <c r="W626" s="66" t="str">
        <f>IFERROR(VLOOKUP($O626,'Customer List'!$A$1:$J$488,10,FALSE),"")</f>
        <v/>
      </c>
    </row>
    <row r="627" spans="1:23">
      <c r="A627" s="95" t="str">
        <f t="shared" si="58"/>
        <v/>
      </c>
      <c r="O627" s="146"/>
      <c r="P627" s="96">
        <f t="shared" si="59"/>
        <v>0</v>
      </c>
      <c r="R627" s="97">
        <f t="shared" si="63"/>
        <v>0</v>
      </c>
      <c r="T627" s="98">
        <f t="shared" si="61"/>
        <v>0</v>
      </c>
      <c r="U627" s="99" t="str">
        <f>IFERROR(VLOOKUP($S627,References!$B$3:$C$8,2,FALSE),"")</f>
        <v/>
      </c>
      <c r="V627" s="99" t="str">
        <f t="shared" si="57"/>
        <v/>
      </c>
      <c r="W627" s="66" t="str">
        <f>IFERROR(VLOOKUP($O627,'Customer List'!$A$1:$J$488,10,FALSE),"")</f>
        <v/>
      </c>
    </row>
    <row r="628" spans="1:23">
      <c r="A628" s="95" t="str">
        <f t="shared" si="58"/>
        <v/>
      </c>
      <c r="O628" s="146"/>
      <c r="P628" s="96">
        <f t="shared" si="59"/>
        <v>0</v>
      </c>
      <c r="R628" s="97">
        <f t="shared" si="63"/>
        <v>0</v>
      </c>
      <c r="T628" s="98">
        <f t="shared" si="61"/>
        <v>0</v>
      </c>
      <c r="U628" s="99" t="str">
        <f>IFERROR(VLOOKUP($S628,References!$B$3:$C$8,2,FALSE),"")</f>
        <v/>
      </c>
      <c r="V628" s="99" t="str">
        <f t="shared" si="57"/>
        <v/>
      </c>
      <c r="W628" s="66" t="str">
        <f>IFERROR(VLOOKUP($O628,'Customer List'!$A$1:$J$488,10,FALSE),"")</f>
        <v/>
      </c>
    </row>
    <row r="629" spans="1:23">
      <c r="A629" s="95" t="str">
        <f t="shared" si="58"/>
        <v/>
      </c>
      <c r="O629" s="146"/>
      <c r="P629" s="96">
        <f t="shared" si="59"/>
        <v>0</v>
      </c>
      <c r="R629" s="97">
        <f t="shared" si="63"/>
        <v>0</v>
      </c>
      <c r="T629" s="98">
        <f t="shared" si="61"/>
        <v>0</v>
      </c>
      <c r="U629" s="99" t="str">
        <f>IFERROR(VLOOKUP($S629,References!$B$3:$C$8,2,FALSE),"")</f>
        <v/>
      </c>
      <c r="V629" s="99" t="str">
        <f t="shared" si="57"/>
        <v/>
      </c>
      <c r="W629" s="66" t="str">
        <f>IFERROR(VLOOKUP($O629,'Customer List'!$A$1:$J$488,10,FALSE),"")</f>
        <v/>
      </c>
    </row>
    <row r="630" spans="1:23">
      <c r="A630" s="95" t="str">
        <f t="shared" si="58"/>
        <v/>
      </c>
      <c r="O630" s="146"/>
      <c r="P630" s="96">
        <f t="shared" si="59"/>
        <v>0</v>
      </c>
      <c r="R630" s="97">
        <f t="shared" si="63"/>
        <v>0</v>
      </c>
      <c r="T630" s="98">
        <f t="shared" si="61"/>
        <v>0</v>
      </c>
      <c r="U630" s="99" t="str">
        <f>IFERROR(VLOOKUP($S630,References!$B$3:$C$8,2,FALSE),"")</f>
        <v/>
      </c>
      <c r="V630" s="99" t="str">
        <f t="shared" si="57"/>
        <v/>
      </c>
      <c r="W630" s="66" t="str">
        <f>IFERROR(VLOOKUP($O630,'Customer List'!$A$1:$J$488,10,FALSE),"")</f>
        <v/>
      </c>
    </row>
    <row r="631" spans="1:23">
      <c r="A631" s="95" t="str">
        <f t="shared" si="58"/>
        <v/>
      </c>
      <c r="O631" s="146"/>
      <c r="P631" s="96">
        <f t="shared" si="59"/>
        <v>0</v>
      </c>
      <c r="R631" s="97">
        <f t="shared" si="63"/>
        <v>0</v>
      </c>
      <c r="T631" s="98">
        <f t="shared" si="61"/>
        <v>0</v>
      </c>
      <c r="U631" s="99" t="str">
        <f>IFERROR(VLOOKUP($S631,References!$B$3:$C$8,2,FALSE),"")</f>
        <v/>
      </c>
      <c r="V631" s="99" t="str">
        <f t="shared" si="57"/>
        <v/>
      </c>
      <c r="W631" s="66" t="str">
        <f>IFERROR(VLOOKUP($O631,'Customer List'!$A$1:$J$488,10,FALSE),"")</f>
        <v/>
      </c>
    </row>
    <row r="632" spans="1:23">
      <c r="A632" s="95" t="str">
        <f t="shared" si="58"/>
        <v/>
      </c>
      <c r="O632" s="146"/>
      <c r="P632" s="96">
        <f t="shared" si="59"/>
        <v>0</v>
      </c>
      <c r="R632" s="97">
        <f t="shared" si="63"/>
        <v>0</v>
      </c>
      <c r="T632" s="98">
        <f t="shared" si="61"/>
        <v>0</v>
      </c>
      <c r="U632" s="99" t="str">
        <f>IFERROR(VLOOKUP($S632,References!$B$3:$C$8,2,FALSE),"")</f>
        <v/>
      </c>
      <c r="V632" s="99" t="str">
        <f t="shared" si="57"/>
        <v/>
      </c>
      <c r="W632" s="66" t="str">
        <f>IFERROR(VLOOKUP($O632,'Customer List'!$A$1:$J$488,10,FALSE),"")</f>
        <v/>
      </c>
    </row>
    <row r="633" spans="1:23">
      <c r="A633" s="95" t="str">
        <f t="shared" si="58"/>
        <v/>
      </c>
      <c r="O633" s="146"/>
      <c r="P633" s="96">
        <f t="shared" si="59"/>
        <v>0</v>
      </c>
      <c r="R633" s="97">
        <f t="shared" si="63"/>
        <v>0</v>
      </c>
      <c r="T633" s="98">
        <f t="shared" si="61"/>
        <v>0</v>
      </c>
      <c r="U633" s="99" t="str">
        <f>IFERROR(VLOOKUP($S633,References!$B$3:$C$8,2,FALSE),"")</f>
        <v/>
      </c>
      <c r="V633" s="99" t="str">
        <f t="shared" si="57"/>
        <v/>
      </c>
      <c r="W633" s="66" t="str">
        <f>IFERROR(VLOOKUP($O633,'Customer List'!$A$1:$J$488,10,FALSE),"")</f>
        <v/>
      </c>
    </row>
    <row r="634" spans="1:23">
      <c r="A634" s="95" t="str">
        <f t="shared" si="58"/>
        <v/>
      </c>
      <c r="O634" s="146"/>
      <c r="P634" s="96">
        <f t="shared" si="59"/>
        <v>0</v>
      </c>
      <c r="R634" s="97">
        <f t="shared" si="63"/>
        <v>0</v>
      </c>
      <c r="T634" s="98">
        <f t="shared" si="61"/>
        <v>0</v>
      </c>
      <c r="U634" s="99" t="str">
        <f>IFERROR(VLOOKUP($S634,References!$B$3:$C$8,2,FALSE),"")</f>
        <v/>
      </c>
      <c r="V634" s="99" t="str">
        <f t="shared" si="57"/>
        <v/>
      </c>
      <c r="W634" s="66" t="str">
        <f>IFERROR(VLOOKUP($O634,'Customer List'!$A$1:$J$488,10,FALSE),"")</f>
        <v/>
      </c>
    </row>
    <row r="635" spans="1:23">
      <c r="A635" s="95" t="str">
        <f t="shared" si="58"/>
        <v/>
      </c>
      <c r="O635" s="146"/>
      <c r="P635" s="96">
        <f t="shared" si="59"/>
        <v>0</v>
      </c>
      <c r="R635" s="97">
        <f t="shared" si="63"/>
        <v>0</v>
      </c>
      <c r="T635" s="98">
        <f t="shared" si="61"/>
        <v>0</v>
      </c>
      <c r="U635" s="99" t="str">
        <f>IFERROR(VLOOKUP($S635,References!$B$3:$C$8,2,FALSE),"")</f>
        <v/>
      </c>
      <c r="V635" s="99" t="str">
        <f t="shared" si="57"/>
        <v/>
      </c>
      <c r="W635" s="66" t="str">
        <f>IFERROR(VLOOKUP($O635,'Customer List'!$A$1:$J$488,10,FALSE),"")</f>
        <v/>
      </c>
    </row>
    <row r="636" spans="1:23">
      <c r="A636" s="95" t="str">
        <f t="shared" si="58"/>
        <v/>
      </c>
      <c r="O636" s="146"/>
      <c r="P636" s="96">
        <f t="shared" si="59"/>
        <v>0</v>
      </c>
      <c r="R636" s="97">
        <f t="shared" si="63"/>
        <v>0</v>
      </c>
      <c r="T636" s="98">
        <f t="shared" si="61"/>
        <v>0</v>
      </c>
      <c r="U636" s="99" t="str">
        <f>IFERROR(VLOOKUP($S636,References!$B$3:$C$8,2,FALSE),"")</f>
        <v/>
      </c>
      <c r="V636" s="99" t="str">
        <f t="shared" si="57"/>
        <v/>
      </c>
      <c r="W636" s="66" t="str">
        <f>IFERROR(VLOOKUP($O636,'Customer List'!$A$1:$J$488,10,FALSE),"")</f>
        <v/>
      </c>
    </row>
    <row r="637" spans="1:23">
      <c r="A637" s="95" t="str">
        <f t="shared" si="58"/>
        <v/>
      </c>
      <c r="O637" s="146"/>
      <c r="P637" s="96">
        <f t="shared" si="59"/>
        <v>0</v>
      </c>
      <c r="R637" s="97">
        <f t="shared" si="63"/>
        <v>0</v>
      </c>
      <c r="T637" s="98">
        <f t="shared" si="61"/>
        <v>0</v>
      </c>
      <c r="U637" s="99" t="str">
        <f>IFERROR(VLOOKUP($S637,References!$B$3:$C$8,2,FALSE),"")</f>
        <v/>
      </c>
      <c r="V637" s="99" t="str">
        <f t="shared" si="57"/>
        <v/>
      </c>
      <c r="W637" s="66" t="str">
        <f>IFERROR(VLOOKUP($O637,'Customer List'!$A$1:$J$488,10,FALSE),"")</f>
        <v/>
      </c>
    </row>
    <row r="638" spans="1:23">
      <c r="A638" s="95" t="str">
        <f t="shared" si="58"/>
        <v/>
      </c>
      <c r="O638" s="146"/>
      <c r="P638" s="96">
        <f t="shared" si="59"/>
        <v>0</v>
      </c>
      <c r="R638" s="97">
        <f t="shared" si="63"/>
        <v>0</v>
      </c>
      <c r="T638" s="98">
        <f t="shared" si="61"/>
        <v>0</v>
      </c>
      <c r="U638" s="99" t="str">
        <f>IFERROR(VLOOKUP($S638,References!$B$3:$C$8,2,FALSE),"")</f>
        <v/>
      </c>
      <c r="V638" s="99" t="str">
        <f t="shared" si="57"/>
        <v/>
      </c>
      <c r="W638" s="66" t="str">
        <f>IFERROR(VLOOKUP($O638,'Customer List'!$A$1:$J$488,10,FALSE),"")</f>
        <v/>
      </c>
    </row>
    <row r="639" spans="1:23">
      <c r="A639" s="95" t="str">
        <f t="shared" si="58"/>
        <v/>
      </c>
      <c r="O639" s="146"/>
      <c r="P639" s="96">
        <f t="shared" si="59"/>
        <v>0</v>
      </c>
      <c r="R639" s="97">
        <f t="shared" si="63"/>
        <v>0</v>
      </c>
      <c r="T639" s="98">
        <f t="shared" si="61"/>
        <v>0</v>
      </c>
      <c r="U639" s="99" t="str">
        <f>IFERROR(VLOOKUP($S639,References!$B$3:$C$8,2,FALSE),"")</f>
        <v/>
      </c>
      <c r="V639" s="99" t="str">
        <f t="shared" si="57"/>
        <v/>
      </c>
      <c r="W639" s="66" t="str">
        <f>IFERROR(VLOOKUP($O639,'Customer List'!$A$1:$J$488,10,FALSE),"")</f>
        <v/>
      </c>
    </row>
    <row r="640" spans="1:23">
      <c r="A640" s="95" t="str">
        <f t="shared" si="58"/>
        <v/>
      </c>
      <c r="O640" s="146"/>
      <c r="P640" s="96">
        <f t="shared" si="59"/>
        <v>0</v>
      </c>
      <c r="R640" s="97">
        <f t="shared" si="63"/>
        <v>0</v>
      </c>
      <c r="T640" s="98">
        <f t="shared" si="61"/>
        <v>0</v>
      </c>
      <c r="U640" s="99" t="str">
        <f>IFERROR(VLOOKUP($S640,References!$B$3:$C$8,2,FALSE),"")</f>
        <v/>
      </c>
      <c r="V640" s="99" t="str">
        <f t="shared" si="57"/>
        <v/>
      </c>
      <c r="W640" s="66" t="str">
        <f>IFERROR(VLOOKUP($O640,'Customer List'!$A$1:$J$488,10,FALSE),"")</f>
        <v/>
      </c>
    </row>
    <row r="641" spans="1:23">
      <c r="A641" s="95" t="str">
        <f t="shared" si="58"/>
        <v/>
      </c>
      <c r="O641" s="146"/>
      <c r="P641" s="96">
        <f t="shared" si="59"/>
        <v>0</v>
      </c>
      <c r="R641" s="97">
        <f t="shared" si="63"/>
        <v>0</v>
      </c>
      <c r="T641" s="98">
        <f t="shared" si="61"/>
        <v>0</v>
      </c>
      <c r="U641" s="99" t="str">
        <f>IFERROR(VLOOKUP($S641,References!$B$3:$C$8,2,FALSE),"")</f>
        <v/>
      </c>
      <c r="V641" s="99" t="str">
        <f t="shared" si="57"/>
        <v/>
      </c>
      <c r="W641" s="66" t="str">
        <f>IFERROR(VLOOKUP($O641,'Customer List'!$A$1:$J$488,10,FALSE),"")</f>
        <v/>
      </c>
    </row>
    <row r="642" spans="1:23">
      <c r="A642" s="95" t="str">
        <f t="shared" si="58"/>
        <v/>
      </c>
      <c r="O642" s="146"/>
      <c r="P642" s="96">
        <f t="shared" si="59"/>
        <v>0</v>
      </c>
      <c r="R642" s="97">
        <f t="shared" si="63"/>
        <v>0</v>
      </c>
      <c r="T642" s="98">
        <f t="shared" si="61"/>
        <v>0</v>
      </c>
      <c r="U642" s="99" t="str">
        <f>IFERROR(VLOOKUP($S642,References!$B$3:$C$8,2,FALSE),"")</f>
        <v/>
      </c>
      <c r="V642" s="99" t="str">
        <f t="shared" si="57"/>
        <v/>
      </c>
      <c r="W642" s="66" t="str">
        <f>IFERROR(VLOOKUP($O642,'Customer List'!$A$1:$J$488,10,FALSE),"")</f>
        <v/>
      </c>
    </row>
    <row r="643" spans="1:23">
      <c r="A643" s="95" t="str">
        <f t="shared" si="58"/>
        <v/>
      </c>
      <c r="O643" s="146"/>
      <c r="P643" s="96">
        <f t="shared" si="59"/>
        <v>0</v>
      </c>
      <c r="R643" s="97">
        <f t="shared" si="63"/>
        <v>0</v>
      </c>
      <c r="T643" s="98">
        <f t="shared" si="61"/>
        <v>0</v>
      </c>
      <c r="U643" s="99" t="str">
        <f>IFERROR(VLOOKUP($S643,References!$B$3:$C$8,2,FALSE),"")</f>
        <v/>
      </c>
      <c r="V643" s="99" t="str">
        <f t="shared" si="57"/>
        <v/>
      </c>
      <c r="W643" s="66" t="str">
        <f>IFERROR(VLOOKUP($O643,'Customer List'!$A$1:$J$488,10,FALSE),"")</f>
        <v/>
      </c>
    </row>
    <row r="644" spans="1:23">
      <c r="A644" s="95" t="str">
        <f t="shared" si="58"/>
        <v/>
      </c>
      <c r="O644" s="146"/>
      <c r="P644" s="96">
        <f t="shared" si="59"/>
        <v>0</v>
      </c>
      <c r="R644" s="97">
        <f t="shared" si="63"/>
        <v>0</v>
      </c>
      <c r="T644" s="98">
        <f t="shared" si="61"/>
        <v>0</v>
      </c>
      <c r="U644" s="99" t="str">
        <f>IFERROR(VLOOKUP($S644,References!$B$3:$C$8,2,FALSE),"")</f>
        <v/>
      </c>
      <c r="V644" s="99" t="str">
        <f t="shared" ref="V644:V695" si="64">IF(T644&gt;=8,400,(IFERROR(T644*U644,"")))</f>
        <v/>
      </c>
      <c r="W644" s="66" t="str">
        <f>IFERROR(VLOOKUP($O644,'Customer List'!$A$1:$J$488,10,FALSE),"")</f>
        <v/>
      </c>
    </row>
    <row r="645" spans="1:23">
      <c r="A645" s="95" t="str">
        <f t="shared" si="58"/>
        <v/>
      </c>
      <c r="O645" s="146"/>
      <c r="P645" s="96">
        <f t="shared" si="59"/>
        <v>0</v>
      </c>
      <c r="R645" s="97">
        <f t="shared" si="63"/>
        <v>0</v>
      </c>
      <c r="T645" s="98">
        <f t="shared" si="61"/>
        <v>0</v>
      </c>
      <c r="U645" s="99" t="str">
        <f>IFERROR(VLOOKUP($S645,References!$B$3:$C$8,2,FALSE),"")</f>
        <v/>
      </c>
      <c r="V645" s="99" t="str">
        <f t="shared" si="64"/>
        <v/>
      </c>
      <c r="W645" s="66" t="str">
        <f>IFERROR(VLOOKUP($O645,'Customer List'!$A$1:$J$488,10,FALSE),"")</f>
        <v/>
      </c>
    </row>
    <row r="646" spans="1:23">
      <c r="A646" s="95" t="str">
        <f t="shared" si="58"/>
        <v/>
      </c>
      <c r="O646" s="146"/>
      <c r="P646" s="96">
        <f t="shared" si="59"/>
        <v>0</v>
      </c>
      <c r="R646" s="97">
        <f t="shared" si="63"/>
        <v>0</v>
      </c>
      <c r="T646" s="98">
        <f t="shared" si="61"/>
        <v>0</v>
      </c>
      <c r="U646" s="99" t="str">
        <f>IFERROR(VLOOKUP($S646,References!$B$3:$C$8,2,FALSE),"")</f>
        <v/>
      </c>
      <c r="V646" s="99" t="str">
        <f t="shared" si="64"/>
        <v/>
      </c>
      <c r="W646" s="66" t="str">
        <f>IFERROR(VLOOKUP($O646,'Customer List'!$A$1:$J$488,10,FALSE),"")</f>
        <v/>
      </c>
    </row>
    <row r="647" spans="1:23">
      <c r="A647" s="95" t="str">
        <f t="shared" si="58"/>
        <v/>
      </c>
      <c r="O647" s="146"/>
      <c r="P647" s="96">
        <f t="shared" si="59"/>
        <v>0</v>
      </c>
      <c r="R647" s="97">
        <f t="shared" si="63"/>
        <v>0</v>
      </c>
      <c r="T647" s="98">
        <f t="shared" si="61"/>
        <v>0</v>
      </c>
      <c r="U647" s="99" t="str">
        <f>IFERROR(VLOOKUP($S647,References!$B$3:$C$8,2,FALSE),"")</f>
        <v/>
      </c>
      <c r="V647" s="99" t="str">
        <f t="shared" si="64"/>
        <v/>
      </c>
      <c r="W647" s="66" t="str">
        <f>IFERROR(VLOOKUP($O647,'Customer List'!$A$1:$J$488,10,FALSE),"")</f>
        <v/>
      </c>
    </row>
    <row r="648" spans="1:23">
      <c r="A648" s="95" t="str">
        <f t="shared" si="58"/>
        <v/>
      </c>
      <c r="O648" s="146"/>
      <c r="P648" s="96">
        <f t="shared" si="59"/>
        <v>0</v>
      </c>
      <c r="R648" s="97">
        <f t="shared" si="63"/>
        <v>0</v>
      </c>
      <c r="T648" s="98">
        <f t="shared" si="61"/>
        <v>0</v>
      </c>
      <c r="U648" s="99" t="str">
        <f>IFERROR(VLOOKUP($S648,References!$B$3:$C$8,2,FALSE),"")</f>
        <v/>
      </c>
      <c r="V648" s="99" t="str">
        <f t="shared" si="64"/>
        <v/>
      </c>
      <c r="W648" s="66" t="str">
        <f>IFERROR(VLOOKUP($O648,'Customer List'!$A$1:$J$488,10,FALSE),"")</f>
        <v/>
      </c>
    </row>
    <row r="649" spans="1:23">
      <c r="A649" s="95" t="str">
        <f t="shared" si="58"/>
        <v/>
      </c>
      <c r="O649" s="146"/>
      <c r="P649" s="96">
        <f t="shared" si="59"/>
        <v>0</v>
      </c>
      <c r="R649" s="97">
        <f t="shared" si="63"/>
        <v>0</v>
      </c>
      <c r="T649" s="98">
        <f t="shared" si="61"/>
        <v>0</v>
      </c>
      <c r="U649" s="99" t="str">
        <f>IFERROR(VLOOKUP($S649,References!$B$3:$C$8,2,FALSE),"")</f>
        <v/>
      </c>
      <c r="V649" s="99" t="str">
        <f t="shared" si="64"/>
        <v/>
      </c>
      <c r="W649" s="66" t="str">
        <f>IFERROR(VLOOKUP($O649,'Customer List'!$A$1:$J$488,10,FALSE),"")</f>
        <v/>
      </c>
    </row>
    <row r="650" spans="1:23">
      <c r="A650" s="95" t="str">
        <f t="shared" si="58"/>
        <v/>
      </c>
      <c r="O650" s="146"/>
      <c r="P650" s="96">
        <f t="shared" si="59"/>
        <v>0</v>
      </c>
      <c r="R650" s="97">
        <f t="shared" si="63"/>
        <v>0</v>
      </c>
      <c r="T650" s="98">
        <f t="shared" si="61"/>
        <v>0</v>
      </c>
      <c r="U650" s="99" t="str">
        <f>IFERROR(VLOOKUP($S650,References!$B$3:$C$8,2,FALSE),"")</f>
        <v/>
      </c>
      <c r="V650" s="99" t="str">
        <f t="shared" si="64"/>
        <v/>
      </c>
      <c r="W650" s="66" t="str">
        <f>IFERROR(VLOOKUP($O650,'Customer List'!$A$1:$J$488,10,FALSE),"")</f>
        <v/>
      </c>
    </row>
    <row r="651" spans="1:23">
      <c r="A651" s="95" t="str">
        <f t="shared" si="58"/>
        <v/>
      </c>
      <c r="O651" s="146"/>
      <c r="P651" s="96">
        <f t="shared" si="59"/>
        <v>0</v>
      </c>
      <c r="R651" s="97">
        <f t="shared" si="63"/>
        <v>0</v>
      </c>
      <c r="T651" s="98">
        <f t="shared" si="61"/>
        <v>0</v>
      </c>
      <c r="U651" s="99" t="str">
        <f>IFERROR(VLOOKUP($S651,References!$B$3:$C$8,2,FALSE),"")</f>
        <v/>
      </c>
      <c r="V651" s="99" t="str">
        <f t="shared" si="64"/>
        <v/>
      </c>
      <c r="W651" s="66" t="str">
        <f>IFERROR(VLOOKUP($O651,'Customer List'!$A$1:$J$488,10,FALSE),"")</f>
        <v/>
      </c>
    </row>
    <row r="652" spans="1:23">
      <c r="A652" s="95" t="str">
        <f t="shared" si="58"/>
        <v/>
      </c>
      <c r="O652" s="146"/>
      <c r="P652" s="96">
        <f t="shared" si="59"/>
        <v>0</v>
      </c>
      <c r="R652" s="97">
        <f t="shared" si="63"/>
        <v>0</v>
      </c>
      <c r="T652" s="98">
        <f t="shared" si="61"/>
        <v>0</v>
      </c>
      <c r="U652" s="99" t="str">
        <f>IFERROR(VLOOKUP($S652,References!$B$3:$C$8,2,FALSE),"")</f>
        <v/>
      </c>
      <c r="V652" s="99" t="str">
        <f t="shared" si="64"/>
        <v/>
      </c>
      <c r="W652" s="66" t="str">
        <f>IFERROR(VLOOKUP($O652,'Customer List'!$A$1:$J$488,10,FALSE),"")</f>
        <v/>
      </c>
    </row>
    <row r="653" spans="1:23">
      <c r="A653" s="95" t="str">
        <f t="shared" si="58"/>
        <v/>
      </c>
      <c r="O653" s="146"/>
      <c r="P653" s="96">
        <f t="shared" si="59"/>
        <v>0</v>
      </c>
      <c r="R653" s="97">
        <f t="shared" ref="R653:R684" si="65">L653-K653</f>
        <v>0</v>
      </c>
      <c r="T653" s="98">
        <f t="shared" si="61"/>
        <v>0</v>
      </c>
      <c r="U653" s="99" t="str">
        <f>IFERROR(VLOOKUP($S653,References!$B$3:$C$8,2,FALSE),"")</f>
        <v/>
      </c>
      <c r="V653" s="99" t="str">
        <f t="shared" si="64"/>
        <v/>
      </c>
      <c r="W653" s="66" t="str">
        <f>IFERROR(VLOOKUP($O653,'Customer List'!$A$1:$J$488,10,FALSE),"")</f>
        <v/>
      </c>
    </row>
    <row r="654" spans="1:23">
      <c r="A654" s="95" t="str">
        <f t="shared" si="58"/>
        <v/>
      </c>
      <c r="O654" s="146"/>
      <c r="P654" s="96">
        <f t="shared" si="59"/>
        <v>0</v>
      </c>
      <c r="R654" s="97">
        <f t="shared" si="65"/>
        <v>0</v>
      </c>
      <c r="T654" s="98">
        <f t="shared" si="61"/>
        <v>0</v>
      </c>
      <c r="U654" s="99" t="str">
        <f>IFERROR(VLOOKUP($S654,References!$B$3:$C$8,2,FALSE),"")</f>
        <v/>
      </c>
      <c r="V654" s="99" t="str">
        <f t="shared" si="64"/>
        <v/>
      </c>
      <c r="W654" s="66" t="str">
        <f>IFERROR(VLOOKUP($O654,'Customer List'!$A$1:$J$488,10,FALSE),"")</f>
        <v/>
      </c>
    </row>
    <row r="655" spans="1:23">
      <c r="A655" s="95" t="str">
        <f t="shared" ref="A655:A718" si="66">O655&amp;S655</f>
        <v/>
      </c>
      <c r="O655" s="146"/>
      <c r="P655" s="96">
        <f t="shared" ref="P655:P718" si="67">INT(L655)</f>
        <v>0</v>
      </c>
      <c r="R655" s="97">
        <f t="shared" si="65"/>
        <v>0</v>
      </c>
      <c r="T655" s="98">
        <f t="shared" si="61"/>
        <v>0</v>
      </c>
      <c r="U655" s="99" t="str">
        <f>IFERROR(VLOOKUP($S655,References!$B$3:$C$8,2,FALSE),"")</f>
        <v/>
      </c>
      <c r="V655" s="99" t="str">
        <f t="shared" si="64"/>
        <v/>
      </c>
      <c r="W655" s="66" t="str">
        <f>IFERROR(VLOOKUP($O655,'Customer List'!$A$1:$J$488,10,FALSE),"")</f>
        <v/>
      </c>
    </row>
    <row r="656" spans="1:23">
      <c r="A656" s="95" t="str">
        <f t="shared" si="66"/>
        <v/>
      </c>
      <c r="O656" s="146"/>
      <c r="P656" s="96">
        <f t="shared" si="67"/>
        <v>0</v>
      </c>
      <c r="R656" s="97">
        <f t="shared" si="65"/>
        <v>0</v>
      </c>
      <c r="T656" s="98">
        <f t="shared" ref="T656:T719" si="68">IF(S656="50 - Cleaning Fee",1,HOUR($R656)+MINUTE(R656)/60)</f>
        <v>0</v>
      </c>
      <c r="U656" s="99" t="str">
        <f>IFERROR(VLOOKUP($S656,References!$B$3:$C$8,2,FALSE),"")</f>
        <v/>
      </c>
      <c r="V656" s="99" t="str">
        <f t="shared" si="64"/>
        <v/>
      </c>
      <c r="W656" s="66" t="str">
        <f>IFERROR(VLOOKUP($O656,'Customer List'!$A$1:$J$488,10,FALSE),"")</f>
        <v/>
      </c>
    </row>
    <row r="657" spans="1:23">
      <c r="A657" s="95" t="str">
        <f t="shared" si="66"/>
        <v/>
      </c>
      <c r="O657" s="146"/>
      <c r="P657" s="96">
        <f t="shared" si="67"/>
        <v>0</v>
      </c>
      <c r="R657" s="97">
        <f t="shared" si="65"/>
        <v>0</v>
      </c>
      <c r="T657" s="98">
        <f t="shared" si="68"/>
        <v>0</v>
      </c>
      <c r="U657" s="99" t="str">
        <f>IFERROR(VLOOKUP($S657,References!$B$3:$C$8,2,FALSE),"")</f>
        <v/>
      </c>
      <c r="V657" s="99" t="str">
        <f t="shared" si="64"/>
        <v/>
      </c>
      <c r="W657" s="66" t="str">
        <f>IFERROR(VLOOKUP($O657,'Customer List'!$A$1:$J$488,10,FALSE),"")</f>
        <v/>
      </c>
    </row>
    <row r="658" spans="1:23">
      <c r="A658" s="95" t="str">
        <f t="shared" si="66"/>
        <v/>
      </c>
      <c r="O658" s="146"/>
      <c r="P658" s="96">
        <f t="shared" si="67"/>
        <v>0</v>
      </c>
      <c r="R658" s="97">
        <f t="shared" si="65"/>
        <v>0</v>
      </c>
      <c r="T658" s="98">
        <f t="shared" si="68"/>
        <v>0</v>
      </c>
      <c r="U658" s="99" t="str">
        <f>IFERROR(VLOOKUP($S658,References!$B$3:$C$8,2,FALSE),"")</f>
        <v/>
      </c>
      <c r="V658" s="99" t="str">
        <f t="shared" si="64"/>
        <v/>
      </c>
      <c r="W658" s="66" t="str">
        <f>IFERROR(VLOOKUP($O658,'Customer List'!$A$1:$J$488,10,FALSE),"")</f>
        <v/>
      </c>
    </row>
    <row r="659" spans="1:23">
      <c r="A659" s="95" t="str">
        <f t="shared" si="66"/>
        <v/>
      </c>
      <c r="O659" s="146"/>
      <c r="P659" s="96">
        <f t="shared" si="67"/>
        <v>0</v>
      </c>
      <c r="R659" s="97">
        <f t="shared" si="65"/>
        <v>0</v>
      </c>
      <c r="T659" s="98">
        <f t="shared" si="68"/>
        <v>0</v>
      </c>
      <c r="U659" s="99" t="str">
        <f>IFERROR(VLOOKUP($S659,References!$B$3:$C$8,2,FALSE),"")</f>
        <v/>
      </c>
      <c r="V659" s="99" t="str">
        <f t="shared" si="64"/>
        <v/>
      </c>
      <c r="W659" s="66" t="str">
        <f>IFERROR(VLOOKUP($O659,'Customer List'!$A$1:$J$488,10,FALSE),"")</f>
        <v/>
      </c>
    </row>
    <row r="660" spans="1:23">
      <c r="A660" s="95" t="str">
        <f t="shared" si="66"/>
        <v/>
      </c>
      <c r="O660" s="146"/>
      <c r="P660" s="96">
        <f t="shared" si="67"/>
        <v>0</v>
      </c>
      <c r="R660" s="97">
        <f t="shared" si="65"/>
        <v>0</v>
      </c>
      <c r="T660" s="98">
        <f t="shared" si="68"/>
        <v>0</v>
      </c>
      <c r="U660" s="99" t="str">
        <f>IFERROR(VLOOKUP($S660,References!$B$3:$C$8,2,FALSE),"")</f>
        <v/>
      </c>
      <c r="V660" s="99" t="str">
        <f t="shared" si="64"/>
        <v/>
      </c>
      <c r="W660" s="66" t="str">
        <f>IFERROR(VLOOKUP($O660,'Customer List'!$A$1:$J$488,10,FALSE),"")</f>
        <v/>
      </c>
    </row>
    <row r="661" spans="1:23">
      <c r="A661" s="95" t="str">
        <f t="shared" si="66"/>
        <v/>
      </c>
      <c r="O661" s="146"/>
      <c r="P661" s="96">
        <f t="shared" si="67"/>
        <v>0</v>
      </c>
      <c r="R661" s="97">
        <f t="shared" si="65"/>
        <v>0</v>
      </c>
      <c r="T661" s="98">
        <f t="shared" si="68"/>
        <v>0</v>
      </c>
      <c r="U661" s="99" t="str">
        <f>IFERROR(VLOOKUP($S661,References!$B$3:$C$8,2,FALSE),"")</f>
        <v/>
      </c>
      <c r="V661" s="99" t="str">
        <f t="shared" si="64"/>
        <v/>
      </c>
      <c r="W661" s="66" t="str">
        <f>IFERROR(VLOOKUP($O661,'Customer List'!$A$1:$J$488,10,FALSE),"")</f>
        <v/>
      </c>
    </row>
    <row r="662" spans="1:23">
      <c r="A662" s="95" t="str">
        <f t="shared" si="66"/>
        <v/>
      </c>
      <c r="O662" s="146"/>
      <c r="P662" s="96">
        <f t="shared" si="67"/>
        <v>0</v>
      </c>
      <c r="R662" s="97">
        <f t="shared" si="65"/>
        <v>0</v>
      </c>
      <c r="T662" s="98">
        <f t="shared" si="68"/>
        <v>0</v>
      </c>
      <c r="U662" s="99" t="str">
        <f>IFERROR(VLOOKUP($S662,References!$B$3:$C$8,2,FALSE),"")</f>
        <v/>
      </c>
      <c r="V662" s="99" t="str">
        <f t="shared" si="64"/>
        <v/>
      </c>
      <c r="W662" s="66" t="str">
        <f>IFERROR(VLOOKUP($O662,'Customer List'!$A$1:$J$488,10,FALSE),"")</f>
        <v/>
      </c>
    </row>
    <row r="663" spans="1:23">
      <c r="A663" s="95" t="str">
        <f t="shared" si="66"/>
        <v/>
      </c>
      <c r="O663" s="146"/>
      <c r="P663" s="96">
        <f t="shared" si="67"/>
        <v>0</v>
      </c>
      <c r="R663" s="97">
        <f t="shared" si="65"/>
        <v>0</v>
      </c>
      <c r="T663" s="98">
        <f t="shared" si="68"/>
        <v>0</v>
      </c>
      <c r="U663" s="99" t="str">
        <f>IFERROR(VLOOKUP($S663,References!$B$3:$C$8,2,FALSE),"")</f>
        <v/>
      </c>
      <c r="V663" s="99" t="str">
        <f t="shared" si="64"/>
        <v/>
      </c>
      <c r="W663" s="66" t="str">
        <f>IFERROR(VLOOKUP($O663,'Customer List'!$A$1:$J$488,10,FALSE),"")</f>
        <v/>
      </c>
    </row>
    <row r="664" spans="1:23">
      <c r="A664" s="95" t="str">
        <f t="shared" si="66"/>
        <v/>
      </c>
      <c r="O664" s="146"/>
      <c r="P664" s="96">
        <f t="shared" si="67"/>
        <v>0</v>
      </c>
      <c r="R664" s="97">
        <f t="shared" si="65"/>
        <v>0</v>
      </c>
      <c r="T664" s="98">
        <f t="shared" si="68"/>
        <v>0</v>
      </c>
      <c r="U664" s="99" t="str">
        <f>IFERROR(VLOOKUP($S664,References!$B$3:$C$8,2,FALSE),"")</f>
        <v/>
      </c>
      <c r="V664" s="99" t="str">
        <f t="shared" si="64"/>
        <v/>
      </c>
      <c r="W664" s="66" t="str">
        <f>IFERROR(VLOOKUP($O664,'Customer List'!$A$1:$J$488,10,FALSE),"")</f>
        <v/>
      </c>
    </row>
    <row r="665" spans="1:23">
      <c r="A665" s="95" t="str">
        <f t="shared" si="66"/>
        <v/>
      </c>
      <c r="O665" s="146"/>
      <c r="P665" s="96">
        <f t="shared" si="67"/>
        <v>0</v>
      </c>
      <c r="R665" s="97">
        <f t="shared" si="65"/>
        <v>0</v>
      </c>
      <c r="T665" s="98">
        <f t="shared" si="68"/>
        <v>0</v>
      </c>
      <c r="U665" s="99" t="str">
        <f>IFERROR(VLOOKUP($S665,References!$B$3:$C$8,2,FALSE),"")</f>
        <v/>
      </c>
      <c r="V665" s="99" t="str">
        <f t="shared" si="64"/>
        <v/>
      </c>
      <c r="W665" s="66" t="str">
        <f>IFERROR(VLOOKUP($O665,'Customer List'!$A$1:$J$488,10,FALSE),"")</f>
        <v/>
      </c>
    </row>
    <row r="666" spans="1:23">
      <c r="A666" s="95" t="str">
        <f t="shared" si="66"/>
        <v/>
      </c>
      <c r="O666" s="146"/>
      <c r="P666" s="96">
        <f t="shared" si="67"/>
        <v>0</v>
      </c>
      <c r="R666" s="97">
        <f t="shared" si="65"/>
        <v>0</v>
      </c>
      <c r="T666" s="98">
        <f t="shared" si="68"/>
        <v>0</v>
      </c>
      <c r="U666" s="99" t="str">
        <f>IFERROR(VLOOKUP($S666,References!$B$3:$C$8,2,FALSE),"")</f>
        <v/>
      </c>
      <c r="V666" s="99" t="str">
        <f t="shared" si="64"/>
        <v/>
      </c>
      <c r="W666" s="66" t="str">
        <f>IFERROR(VLOOKUP($O666,'Customer List'!$A$1:$J$488,10,FALSE),"")</f>
        <v/>
      </c>
    </row>
    <row r="667" spans="1:23">
      <c r="A667" s="95" t="str">
        <f t="shared" si="66"/>
        <v/>
      </c>
      <c r="O667" s="146"/>
      <c r="P667" s="96">
        <f t="shared" si="67"/>
        <v>0</v>
      </c>
      <c r="R667" s="97">
        <f t="shared" si="65"/>
        <v>0</v>
      </c>
      <c r="T667" s="98">
        <f t="shared" si="68"/>
        <v>0</v>
      </c>
      <c r="U667" s="99" t="str">
        <f>IFERROR(VLOOKUP($S667,References!$B$3:$C$8,2,FALSE),"")</f>
        <v/>
      </c>
      <c r="V667" s="99" t="str">
        <f t="shared" si="64"/>
        <v/>
      </c>
      <c r="W667" s="66" t="str">
        <f>IFERROR(VLOOKUP($O667,'Customer List'!$A$1:$J$488,10,FALSE),"")</f>
        <v/>
      </c>
    </row>
    <row r="668" spans="1:23">
      <c r="A668" s="95" t="str">
        <f t="shared" si="66"/>
        <v/>
      </c>
      <c r="O668" s="146"/>
      <c r="P668" s="96">
        <f t="shared" si="67"/>
        <v>0</v>
      </c>
      <c r="R668" s="97">
        <f t="shared" si="65"/>
        <v>0</v>
      </c>
      <c r="T668" s="98">
        <f t="shared" si="68"/>
        <v>0</v>
      </c>
      <c r="U668" s="99" t="str">
        <f>IFERROR(VLOOKUP($S668,References!$B$3:$C$8,2,FALSE),"")</f>
        <v/>
      </c>
      <c r="V668" s="99" t="str">
        <f t="shared" si="64"/>
        <v/>
      </c>
      <c r="W668" s="66" t="str">
        <f>IFERROR(VLOOKUP($O668,'Customer List'!$A$1:$J$488,10,FALSE),"")</f>
        <v/>
      </c>
    </row>
    <row r="669" spans="1:23">
      <c r="A669" s="95" t="str">
        <f t="shared" si="66"/>
        <v/>
      </c>
      <c r="O669" s="146"/>
      <c r="P669" s="96">
        <f t="shared" si="67"/>
        <v>0</v>
      </c>
      <c r="R669" s="97">
        <f t="shared" si="65"/>
        <v>0</v>
      </c>
      <c r="T669" s="98">
        <f t="shared" si="68"/>
        <v>0</v>
      </c>
      <c r="U669" s="99" t="str">
        <f>IFERROR(VLOOKUP($S669,References!$B$3:$C$8,2,FALSE),"")</f>
        <v/>
      </c>
      <c r="V669" s="99" t="str">
        <f t="shared" si="64"/>
        <v/>
      </c>
      <c r="W669" s="66" t="str">
        <f>IFERROR(VLOOKUP($O669,'Customer List'!$A$1:$J$488,10,FALSE),"")</f>
        <v/>
      </c>
    </row>
    <row r="670" spans="1:23">
      <c r="A670" s="95" t="str">
        <f t="shared" si="66"/>
        <v/>
      </c>
      <c r="O670" s="146"/>
      <c r="P670" s="96">
        <f t="shared" si="67"/>
        <v>0</v>
      </c>
      <c r="R670" s="97">
        <f t="shared" si="65"/>
        <v>0</v>
      </c>
      <c r="T670" s="98">
        <f t="shared" si="68"/>
        <v>0</v>
      </c>
      <c r="U670" s="99" t="str">
        <f>IFERROR(VLOOKUP($S670,References!$B$3:$C$8,2,FALSE),"")</f>
        <v/>
      </c>
      <c r="V670" s="99" t="str">
        <f t="shared" si="64"/>
        <v/>
      </c>
      <c r="W670" s="66" t="str">
        <f>IFERROR(VLOOKUP($O670,'Customer List'!$A$1:$J$488,10,FALSE),"")</f>
        <v/>
      </c>
    </row>
    <row r="671" spans="1:23">
      <c r="A671" s="95" t="str">
        <f t="shared" si="66"/>
        <v/>
      </c>
      <c r="O671" s="146"/>
      <c r="P671" s="96">
        <f t="shared" si="67"/>
        <v>0</v>
      </c>
      <c r="R671" s="97">
        <f t="shared" si="65"/>
        <v>0</v>
      </c>
      <c r="T671" s="98">
        <f t="shared" si="68"/>
        <v>0</v>
      </c>
      <c r="U671" s="99" t="str">
        <f>IFERROR(VLOOKUP($S671,References!$B$3:$C$8,2,FALSE),"")</f>
        <v/>
      </c>
      <c r="V671" s="99" t="str">
        <f t="shared" si="64"/>
        <v/>
      </c>
      <c r="W671" s="66" t="str">
        <f>IFERROR(VLOOKUP($O671,'Customer List'!$A$1:$J$488,10,FALSE),"")</f>
        <v/>
      </c>
    </row>
    <row r="672" spans="1:23">
      <c r="A672" s="95" t="str">
        <f t="shared" si="66"/>
        <v/>
      </c>
      <c r="O672" s="146"/>
      <c r="P672" s="96">
        <f t="shared" si="67"/>
        <v>0</v>
      </c>
      <c r="R672" s="97">
        <f t="shared" si="65"/>
        <v>0</v>
      </c>
      <c r="T672" s="98">
        <f t="shared" si="68"/>
        <v>0</v>
      </c>
      <c r="U672" s="99" t="str">
        <f>IFERROR(VLOOKUP($S672,References!$B$3:$C$8,2,FALSE),"")</f>
        <v/>
      </c>
      <c r="V672" s="99" t="str">
        <f t="shared" si="64"/>
        <v/>
      </c>
      <c r="W672" s="66" t="str">
        <f>IFERROR(VLOOKUP($O672,'Customer List'!$A$1:$J$488,10,FALSE),"")</f>
        <v/>
      </c>
    </row>
    <row r="673" spans="1:23">
      <c r="A673" s="95" t="str">
        <f t="shared" si="66"/>
        <v/>
      </c>
      <c r="O673" s="146"/>
      <c r="P673" s="96">
        <f t="shared" si="67"/>
        <v>0</v>
      </c>
      <c r="R673" s="97">
        <f t="shared" si="65"/>
        <v>0</v>
      </c>
      <c r="T673" s="98">
        <f t="shared" si="68"/>
        <v>0</v>
      </c>
      <c r="U673" s="99" t="str">
        <f>IFERROR(VLOOKUP($S673,References!$B$3:$C$8,2,FALSE),"")</f>
        <v/>
      </c>
      <c r="V673" s="99" t="str">
        <f t="shared" si="64"/>
        <v/>
      </c>
      <c r="W673" s="66" t="str">
        <f>IFERROR(VLOOKUP($O673,'Customer List'!$A$1:$J$488,10,FALSE),"")</f>
        <v/>
      </c>
    </row>
    <row r="674" spans="1:23">
      <c r="A674" s="95" t="str">
        <f t="shared" si="66"/>
        <v/>
      </c>
      <c r="O674" s="146"/>
      <c r="P674" s="96">
        <f t="shared" si="67"/>
        <v>0</v>
      </c>
      <c r="R674" s="97">
        <f t="shared" si="65"/>
        <v>0</v>
      </c>
      <c r="T674" s="98">
        <f t="shared" si="68"/>
        <v>0</v>
      </c>
      <c r="U674" s="99" t="str">
        <f>IFERROR(VLOOKUP($S674,References!$B$3:$C$8,2,FALSE),"")</f>
        <v/>
      </c>
      <c r="V674" s="99" t="str">
        <f t="shared" si="64"/>
        <v/>
      </c>
      <c r="W674" s="66" t="str">
        <f>IFERROR(VLOOKUP($O674,'Customer List'!$A$1:$J$488,10,FALSE),"")</f>
        <v/>
      </c>
    </row>
    <row r="675" spans="1:23">
      <c r="A675" s="95" t="str">
        <f t="shared" si="66"/>
        <v/>
      </c>
      <c r="O675" s="146"/>
      <c r="P675" s="96">
        <f t="shared" si="67"/>
        <v>0</v>
      </c>
      <c r="R675" s="97">
        <f t="shared" si="65"/>
        <v>0</v>
      </c>
      <c r="T675" s="98">
        <f t="shared" si="68"/>
        <v>0</v>
      </c>
      <c r="U675" s="99" t="str">
        <f>IFERROR(VLOOKUP($S675,References!$B$3:$C$8,2,FALSE),"")</f>
        <v/>
      </c>
      <c r="V675" s="99" t="str">
        <f t="shared" si="64"/>
        <v/>
      </c>
      <c r="W675" s="66" t="str">
        <f>IFERROR(VLOOKUP($O675,'Customer List'!$A$1:$J$488,10,FALSE),"")</f>
        <v/>
      </c>
    </row>
    <row r="676" spans="1:23">
      <c r="A676" s="95" t="str">
        <f t="shared" si="66"/>
        <v/>
      </c>
      <c r="O676" s="146"/>
      <c r="P676" s="96">
        <f t="shared" si="67"/>
        <v>0</v>
      </c>
      <c r="R676" s="97">
        <f t="shared" si="65"/>
        <v>0</v>
      </c>
      <c r="T676" s="98">
        <f t="shared" si="68"/>
        <v>0</v>
      </c>
      <c r="U676" s="99" t="str">
        <f>IFERROR(VLOOKUP($S676,References!$B$3:$C$8,2,FALSE),"")</f>
        <v/>
      </c>
      <c r="V676" s="99" t="str">
        <f t="shared" si="64"/>
        <v/>
      </c>
      <c r="W676" s="66" t="str">
        <f>IFERROR(VLOOKUP($O676,'Customer List'!$A$1:$J$488,10,FALSE),"")</f>
        <v/>
      </c>
    </row>
    <row r="677" spans="1:23">
      <c r="A677" s="95" t="str">
        <f t="shared" si="66"/>
        <v/>
      </c>
      <c r="O677" s="146"/>
      <c r="P677" s="96">
        <f t="shared" si="67"/>
        <v>0</v>
      </c>
      <c r="R677" s="97">
        <f t="shared" si="65"/>
        <v>0</v>
      </c>
      <c r="T677" s="98">
        <f t="shared" si="68"/>
        <v>0</v>
      </c>
      <c r="U677" s="99" t="str">
        <f>IFERROR(VLOOKUP($S677,References!$B$3:$C$8,2,FALSE),"")</f>
        <v/>
      </c>
      <c r="V677" s="99" t="str">
        <f t="shared" si="64"/>
        <v/>
      </c>
      <c r="W677" s="66" t="str">
        <f>IFERROR(VLOOKUP($O677,'Customer List'!$A$1:$J$488,10,FALSE),"")</f>
        <v/>
      </c>
    </row>
    <row r="678" spans="1:23">
      <c r="A678" s="95" t="str">
        <f t="shared" si="66"/>
        <v/>
      </c>
      <c r="O678" s="146"/>
      <c r="P678" s="96">
        <f t="shared" si="67"/>
        <v>0</v>
      </c>
      <c r="R678" s="97">
        <f t="shared" si="65"/>
        <v>0</v>
      </c>
      <c r="T678" s="98">
        <f t="shared" si="68"/>
        <v>0</v>
      </c>
      <c r="U678" s="99" t="str">
        <f>IFERROR(VLOOKUP($S678,References!$B$3:$C$8,2,FALSE),"")</f>
        <v/>
      </c>
      <c r="V678" s="99" t="str">
        <f t="shared" si="64"/>
        <v/>
      </c>
      <c r="W678" s="66" t="str">
        <f>IFERROR(VLOOKUP($O678,'Customer List'!$A$1:$J$488,10,FALSE),"")</f>
        <v/>
      </c>
    </row>
    <row r="679" spans="1:23">
      <c r="A679" s="95" t="str">
        <f t="shared" si="66"/>
        <v/>
      </c>
      <c r="O679" s="146"/>
      <c r="P679" s="96">
        <f t="shared" si="67"/>
        <v>0</v>
      </c>
      <c r="R679" s="97">
        <f t="shared" si="65"/>
        <v>0</v>
      </c>
      <c r="T679" s="98">
        <f t="shared" si="68"/>
        <v>0</v>
      </c>
      <c r="U679" s="99" t="str">
        <f>IFERROR(VLOOKUP($S679,References!$B$3:$C$8,2,FALSE),"")</f>
        <v/>
      </c>
      <c r="V679" s="99" t="str">
        <f t="shared" si="64"/>
        <v/>
      </c>
      <c r="W679" s="66" t="str">
        <f>IFERROR(VLOOKUP($O679,'Customer List'!$A$1:$J$488,10,FALSE),"")</f>
        <v/>
      </c>
    </row>
    <row r="680" spans="1:23">
      <c r="A680" s="95" t="str">
        <f t="shared" si="66"/>
        <v/>
      </c>
      <c r="O680" s="146"/>
      <c r="P680" s="96">
        <f t="shared" si="67"/>
        <v>0</v>
      </c>
      <c r="R680" s="97">
        <f t="shared" si="65"/>
        <v>0</v>
      </c>
      <c r="T680" s="98">
        <f t="shared" si="68"/>
        <v>0</v>
      </c>
      <c r="U680" s="99" t="str">
        <f>IFERROR(VLOOKUP($S680,References!$B$3:$C$8,2,FALSE),"")</f>
        <v/>
      </c>
      <c r="V680" s="99" t="str">
        <f t="shared" si="64"/>
        <v/>
      </c>
      <c r="W680" s="66" t="str">
        <f>IFERROR(VLOOKUP($O680,'Customer List'!$A$1:$J$488,10,FALSE),"")</f>
        <v/>
      </c>
    </row>
    <row r="681" spans="1:23">
      <c r="A681" s="95" t="str">
        <f t="shared" si="66"/>
        <v/>
      </c>
      <c r="O681" s="146"/>
      <c r="P681" s="96">
        <f t="shared" si="67"/>
        <v>0</v>
      </c>
      <c r="R681" s="97">
        <f t="shared" si="65"/>
        <v>0</v>
      </c>
      <c r="T681" s="98">
        <f t="shared" si="68"/>
        <v>0</v>
      </c>
      <c r="U681" s="99" t="str">
        <f>IFERROR(VLOOKUP($S681,References!$B$3:$C$8,2,FALSE),"")</f>
        <v/>
      </c>
      <c r="V681" s="99" t="str">
        <f t="shared" si="64"/>
        <v/>
      </c>
      <c r="W681" s="66" t="str">
        <f>IFERROR(VLOOKUP($O681,'Customer List'!$A$1:$J$488,10,FALSE),"")</f>
        <v/>
      </c>
    </row>
    <row r="682" spans="1:23">
      <c r="A682" s="95" t="str">
        <f t="shared" si="66"/>
        <v/>
      </c>
      <c r="O682" s="146"/>
      <c r="P682" s="96">
        <f t="shared" si="67"/>
        <v>0</v>
      </c>
      <c r="R682" s="97">
        <f t="shared" si="65"/>
        <v>0</v>
      </c>
      <c r="T682" s="98">
        <f t="shared" si="68"/>
        <v>0</v>
      </c>
      <c r="U682" s="99" t="str">
        <f>IFERROR(VLOOKUP($S682,References!$B$3:$C$8,2,FALSE),"")</f>
        <v/>
      </c>
      <c r="V682" s="99" t="str">
        <f t="shared" si="64"/>
        <v/>
      </c>
      <c r="W682" s="66" t="str">
        <f>IFERROR(VLOOKUP($O682,'Customer List'!$A$1:$J$488,10,FALSE),"")</f>
        <v/>
      </c>
    </row>
    <row r="683" spans="1:23">
      <c r="A683" s="95" t="str">
        <f t="shared" si="66"/>
        <v/>
      </c>
      <c r="O683" s="146"/>
      <c r="P683" s="96">
        <f t="shared" si="67"/>
        <v>0</v>
      </c>
      <c r="R683" s="97">
        <f t="shared" si="65"/>
        <v>0</v>
      </c>
      <c r="T683" s="98">
        <f t="shared" si="68"/>
        <v>0</v>
      </c>
      <c r="U683" s="99" t="str">
        <f>IFERROR(VLOOKUP($S683,References!$B$3:$C$8,2,FALSE),"")</f>
        <v/>
      </c>
      <c r="V683" s="99" t="str">
        <f t="shared" si="64"/>
        <v/>
      </c>
      <c r="W683" s="66" t="str">
        <f>IFERROR(VLOOKUP($O683,'Customer List'!$A$1:$J$488,10,FALSE),"")</f>
        <v/>
      </c>
    </row>
    <row r="684" spans="1:23">
      <c r="A684" s="95" t="str">
        <f t="shared" si="66"/>
        <v/>
      </c>
      <c r="O684" s="146"/>
      <c r="P684" s="96">
        <f t="shared" si="67"/>
        <v>0</v>
      </c>
      <c r="R684" s="97">
        <f t="shared" si="65"/>
        <v>0</v>
      </c>
      <c r="T684" s="98">
        <f t="shared" si="68"/>
        <v>0</v>
      </c>
      <c r="U684" s="99" t="str">
        <f>IFERROR(VLOOKUP($S684,References!$B$3:$C$8,2,FALSE),"")</f>
        <v/>
      </c>
      <c r="V684" s="99" t="str">
        <f t="shared" si="64"/>
        <v/>
      </c>
      <c r="W684" s="66" t="str">
        <f>IFERROR(VLOOKUP($O684,'Customer List'!$A$1:$J$488,10,FALSE),"")</f>
        <v/>
      </c>
    </row>
    <row r="685" spans="1:23">
      <c r="A685" s="95" t="str">
        <f t="shared" si="66"/>
        <v/>
      </c>
      <c r="O685" s="146"/>
      <c r="P685" s="96">
        <f t="shared" si="67"/>
        <v>0</v>
      </c>
      <c r="R685" s="97">
        <f t="shared" ref="R685:R710" si="69">L685-K685</f>
        <v>0</v>
      </c>
      <c r="T685" s="98">
        <f t="shared" si="68"/>
        <v>0</v>
      </c>
      <c r="U685" s="99" t="str">
        <f>IFERROR(VLOOKUP($S685,References!$B$3:$C$8,2,FALSE),"")</f>
        <v/>
      </c>
      <c r="V685" s="99" t="str">
        <f t="shared" si="64"/>
        <v/>
      </c>
      <c r="W685" s="66" t="str">
        <f>IFERROR(VLOOKUP($O685,'Customer List'!$A$1:$J$488,10,FALSE),"")</f>
        <v/>
      </c>
    </row>
    <row r="686" spans="1:23">
      <c r="A686" s="95" t="str">
        <f t="shared" si="66"/>
        <v/>
      </c>
      <c r="O686" s="146"/>
      <c r="P686" s="96">
        <f t="shared" si="67"/>
        <v>0</v>
      </c>
      <c r="R686" s="97">
        <f t="shared" si="69"/>
        <v>0</v>
      </c>
      <c r="T686" s="98">
        <f t="shared" si="68"/>
        <v>0</v>
      </c>
      <c r="U686" s="99" t="str">
        <f>IFERROR(VLOOKUP($S686,References!$B$3:$C$8,2,FALSE),"")</f>
        <v/>
      </c>
      <c r="V686" s="99" t="str">
        <f t="shared" si="64"/>
        <v/>
      </c>
      <c r="W686" s="66" t="str">
        <f>IFERROR(VLOOKUP($O686,'Customer List'!$A$1:$J$488,10,FALSE),"")</f>
        <v/>
      </c>
    </row>
    <row r="687" spans="1:23">
      <c r="A687" s="95" t="str">
        <f t="shared" si="66"/>
        <v/>
      </c>
      <c r="O687" s="146"/>
      <c r="P687" s="96">
        <f t="shared" si="67"/>
        <v>0</v>
      </c>
      <c r="R687" s="97">
        <f t="shared" si="69"/>
        <v>0</v>
      </c>
      <c r="T687" s="98">
        <f t="shared" si="68"/>
        <v>0</v>
      </c>
      <c r="U687" s="99" t="str">
        <f>IFERROR(VLOOKUP($S687,References!$B$3:$C$8,2,FALSE),"")</f>
        <v/>
      </c>
      <c r="V687" s="99" t="str">
        <f t="shared" si="64"/>
        <v/>
      </c>
      <c r="W687" s="66" t="str">
        <f>IFERROR(VLOOKUP($O687,'Customer List'!$A$1:$J$488,10,FALSE),"")</f>
        <v/>
      </c>
    </row>
    <row r="688" spans="1:23">
      <c r="A688" s="95" t="str">
        <f t="shared" si="66"/>
        <v/>
      </c>
      <c r="O688" s="146"/>
      <c r="P688" s="96">
        <f t="shared" si="67"/>
        <v>0</v>
      </c>
      <c r="R688" s="97">
        <f t="shared" si="69"/>
        <v>0</v>
      </c>
      <c r="T688" s="98">
        <f t="shared" si="68"/>
        <v>0</v>
      </c>
      <c r="U688" s="99" t="str">
        <f>IFERROR(VLOOKUP($S688,References!$B$3:$C$8,2,FALSE),"")</f>
        <v/>
      </c>
      <c r="V688" s="99" t="str">
        <f t="shared" si="64"/>
        <v/>
      </c>
      <c r="W688" s="66" t="str">
        <f>IFERROR(VLOOKUP($O688,'Customer List'!$A$1:$J$488,10,FALSE),"")</f>
        <v/>
      </c>
    </row>
    <row r="689" spans="1:23">
      <c r="A689" s="95" t="str">
        <f t="shared" si="66"/>
        <v/>
      </c>
      <c r="O689" s="146"/>
      <c r="P689" s="96">
        <f t="shared" si="67"/>
        <v>0</v>
      </c>
      <c r="R689" s="97">
        <f t="shared" si="69"/>
        <v>0</v>
      </c>
      <c r="T689" s="98">
        <f t="shared" si="68"/>
        <v>0</v>
      </c>
      <c r="U689" s="99" t="str">
        <f>IFERROR(VLOOKUP($S689,References!$B$3:$C$8,2,FALSE),"")</f>
        <v/>
      </c>
      <c r="V689" s="99" t="str">
        <f t="shared" si="64"/>
        <v/>
      </c>
      <c r="W689" s="66" t="str">
        <f>IFERROR(VLOOKUP($O689,'Customer List'!$A$1:$J$488,10,FALSE),"")</f>
        <v/>
      </c>
    </row>
    <row r="690" spans="1:23">
      <c r="A690" s="95" t="str">
        <f t="shared" si="66"/>
        <v/>
      </c>
      <c r="O690" s="146"/>
      <c r="P690" s="96">
        <f t="shared" si="67"/>
        <v>0</v>
      </c>
      <c r="R690" s="97">
        <f t="shared" si="69"/>
        <v>0</v>
      </c>
      <c r="T690" s="98">
        <f t="shared" si="68"/>
        <v>0</v>
      </c>
      <c r="U690" s="99" t="str">
        <f>IFERROR(VLOOKUP($S690,References!$B$3:$C$8,2,FALSE),"")</f>
        <v/>
      </c>
      <c r="V690" s="99" t="str">
        <f t="shared" si="64"/>
        <v/>
      </c>
      <c r="W690" s="66" t="str">
        <f>IFERROR(VLOOKUP($O690,'Customer List'!$A$1:$J$488,10,FALSE),"")</f>
        <v/>
      </c>
    </row>
    <row r="691" spans="1:23">
      <c r="A691" s="95" t="str">
        <f t="shared" si="66"/>
        <v/>
      </c>
      <c r="O691" s="146"/>
      <c r="P691" s="96">
        <f t="shared" si="67"/>
        <v>0</v>
      </c>
      <c r="R691" s="97">
        <f t="shared" si="69"/>
        <v>0</v>
      </c>
      <c r="T691" s="98">
        <f t="shared" si="68"/>
        <v>0</v>
      </c>
      <c r="U691" s="99" t="str">
        <f>IFERROR(VLOOKUP($S691,References!$B$3:$C$8,2,FALSE),"")</f>
        <v/>
      </c>
      <c r="V691" s="99" t="str">
        <f t="shared" si="64"/>
        <v/>
      </c>
      <c r="W691" s="66" t="str">
        <f>IFERROR(VLOOKUP($O691,'Customer List'!$A$1:$J$488,10,FALSE),"")</f>
        <v/>
      </c>
    </row>
    <row r="692" spans="1:23">
      <c r="A692" s="95" t="str">
        <f t="shared" si="66"/>
        <v/>
      </c>
      <c r="O692" s="146"/>
      <c r="P692" s="96">
        <f t="shared" si="67"/>
        <v>0</v>
      </c>
      <c r="R692" s="97">
        <f t="shared" si="69"/>
        <v>0</v>
      </c>
      <c r="T692" s="98">
        <f t="shared" si="68"/>
        <v>0</v>
      </c>
      <c r="U692" s="99" t="str">
        <f>IFERROR(VLOOKUP($S692,References!$B$3:$C$8,2,FALSE),"")</f>
        <v/>
      </c>
      <c r="V692" s="99" t="str">
        <f t="shared" si="64"/>
        <v/>
      </c>
      <c r="W692" s="66" t="str">
        <f>IFERROR(VLOOKUP($O692,'Customer List'!$A$1:$J$488,10,FALSE),"")</f>
        <v/>
      </c>
    </row>
    <row r="693" spans="1:23">
      <c r="A693" s="95" t="str">
        <f t="shared" si="66"/>
        <v/>
      </c>
      <c r="O693" s="146"/>
      <c r="P693" s="96">
        <f t="shared" si="67"/>
        <v>0</v>
      </c>
      <c r="R693" s="97">
        <f t="shared" si="69"/>
        <v>0</v>
      </c>
      <c r="T693" s="98">
        <f t="shared" si="68"/>
        <v>0</v>
      </c>
      <c r="U693" s="99" t="str">
        <f>IFERROR(VLOOKUP($S693,References!$B$3:$C$8,2,FALSE),"")</f>
        <v/>
      </c>
      <c r="V693" s="99" t="str">
        <f t="shared" si="64"/>
        <v/>
      </c>
      <c r="W693" s="66" t="str">
        <f>IFERROR(VLOOKUP($O693,'Customer List'!$A$1:$J$488,10,FALSE),"")</f>
        <v/>
      </c>
    </row>
    <row r="694" spans="1:23">
      <c r="A694" s="95" t="str">
        <f t="shared" si="66"/>
        <v/>
      </c>
      <c r="O694" s="146"/>
      <c r="P694" s="96">
        <f t="shared" si="67"/>
        <v>0</v>
      </c>
      <c r="R694" s="97">
        <f t="shared" si="69"/>
        <v>0</v>
      </c>
      <c r="T694" s="98">
        <f t="shared" si="68"/>
        <v>0</v>
      </c>
      <c r="U694" s="99" t="str">
        <f>IFERROR(VLOOKUP($S694,References!$B$3:$C$8,2,FALSE),"")</f>
        <v/>
      </c>
      <c r="V694" s="99" t="str">
        <f t="shared" si="64"/>
        <v/>
      </c>
      <c r="W694" s="66" t="str">
        <f>IFERROR(VLOOKUP($O694,'Customer List'!$A$1:$J$488,10,FALSE),"")</f>
        <v/>
      </c>
    </row>
    <row r="695" spans="1:23">
      <c r="A695" s="95" t="str">
        <f t="shared" si="66"/>
        <v/>
      </c>
      <c r="O695" s="146"/>
      <c r="P695" s="96">
        <f t="shared" si="67"/>
        <v>0</v>
      </c>
      <c r="R695" s="97">
        <f t="shared" si="69"/>
        <v>0</v>
      </c>
      <c r="T695" s="98">
        <f t="shared" si="68"/>
        <v>0</v>
      </c>
      <c r="U695" s="99" t="str">
        <f>IFERROR(VLOOKUP($S695,References!$B$3:$C$8,2,FALSE),"")</f>
        <v/>
      </c>
      <c r="V695" s="99" t="str">
        <f t="shared" si="64"/>
        <v/>
      </c>
      <c r="W695" s="66" t="str">
        <f>IFERROR(VLOOKUP($O695,'Customer List'!$A$1:$J$488,10,FALSE),"")</f>
        <v/>
      </c>
    </row>
    <row r="696" spans="1:23">
      <c r="A696" s="95" t="str">
        <f t="shared" si="66"/>
        <v/>
      </c>
      <c r="O696" s="146"/>
      <c r="P696" s="96">
        <f t="shared" si="67"/>
        <v>0</v>
      </c>
      <c r="R696" s="97">
        <f t="shared" si="69"/>
        <v>0</v>
      </c>
      <c r="T696" s="98">
        <f t="shared" si="68"/>
        <v>0</v>
      </c>
      <c r="U696" s="99" t="str">
        <f>IFERROR(VLOOKUP($S696,References!$B$3:$C$8,2,FALSE),"")</f>
        <v/>
      </c>
      <c r="V696" s="99" t="str">
        <f t="shared" ref="V696:V719" si="70">IF(T696&gt;=8,400,(IFERROR(T696*U696,"")))</f>
        <v/>
      </c>
      <c r="W696" s="66" t="str">
        <f>IFERROR(VLOOKUP($O696,'Customer List'!$A$1:$J$488,10,FALSE),"")</f>
        <v/>
      </c>
    </row>
    <row r="697" spans="1:23">
      <c r="A697" s="95" t="str">
        <f t="shared" si="66"/>
        <v/>
      </c>
      <c r="O697" s="146"/>
      <c r="P697" s="96">
        <f t="shared" si="67"/>
        <v>0</v>
      </c>
      <c r="R697" s="97">
        <f t="shared" si="69"/>
        <v>0</v>
      </c>
      <c r="T697" s="98">
        <f t="shared" si="68"/>
        <v>0</v>
      </c>
      <c r="U697" s="99" t="str">
        <f>IFERROR(VLOOKUP($S697,References!$B$3:$C$8,2,FALSE),"")</f>
        <v/>
      </c>
      <c r="V697" s="99" t="str">
        <f t="shared" si="70"/>
        <v/>
      </c>
      <c r="W697" s="66" t="str">
        <f>IFERROR(VLOOKUP($O697,'Customer List'!$A$1:$J$488,10,FALSE),"")</f>
        <v/>
      </c>
    </row>
    <row r="698" spans="1:23">
      <c r="A698" s="95" t="str">
        <f t="shared" si="66"/>
        <v/>
      </c>
      <c r="O698" s="146"/>
      <c r="P698" s="96">
        <f t="shared" si="67"/>
        <v>0</v>
      </c>
      <c r="R698" s="97">
        <f t="shared" si="69"/>
        <v>0</v>
      </c>
      <c r="T698" s="98">
        <f t="shared" si="68"/>
        <v>0</v>
      </c>
      <c r="U698" s="99" t="str">
        <f>IFERROR(VLOOKUP($S698,References!$B$3:$C$8,2,FALSE),"")</f>
        <v/>
      </c>
      <c r="V698" s="99" t="str">
        <f t="shared" si="70"/>
        <v/>
      </c>
      <c r="W698" s="66" t="str">
        <f>IFERROR(VLOOKUP($O698,'Customer List'!$A$1:$J$488,10,FALSE),"")</f>
        <v/>
      </c>
    </row>
    <row r="699" spans="1:23">
      <c r="A699" s="95" t="str">
        <f t="shared" si="66"/>
        <v/>
      </c>
      <c r="O699" s="146"/>
      <c r="P699" s="96">
        <f t="shared" si="67"/>
        <v>0</v>
      </c>
      <c r="R699" s="97">
        <f t="shared" si="69"/>
        <v>0</v>
      </c>
      <c r="T699" s="98">
        <f t="shared" si="68"/>
        <v>0</v>
      </c>
      <c r="U699" s="99" t="str">
        <f>IFERROR(VLOOKUP($S699,References!$B$3:$C$8,2,FALSE),"")</f>
        <v/>
      </c>
      <c r="V699" s="99" t="str">
        <f t="shared" si="70"/>
        <v/>
      </c>
      <c r="W699" s="66" t="str">
        <f>IFERROR(VLOOKUP($O699,'Customer List'!$A$1:$J$488,10,FALSE),"")</f>
        <v/>
      </c>
    </row>
    <row r="700" spans="1:23">
      <c r="A700" s="95" t="str">
        <f t="shared" si="66"/>
        <v/>
      </c>
      <c r="O700" s="146"/>
      <c r="P700" s="96">
        <f t="shared" si="67"/>
        <v>0</v>
      </c>
      <c r="R700" s="97">
        <f t="shared" si="69"/>
        <v>0</v>
      </c>
      <c r="T700" s="98">
        <f t="shared" si="68"/>
        <v>0</v>
      </c>
      <c r="U700" s="99" t="str">
        <f>IFERROR(VLOOKUP($S700,References!$B$3:$C$8,2,FALSE),"")</f>
        <v/>
      </c>
      <c r="V700" s="99" t="str">
        <f t="shared" si="70"/>
        <v/>
      </c>
      <c r="W700" s="66" t="str">
        <f>IFERROR(VLOOKUP($O700,'Customer List'!$A$1:$J$488,10,FALSE),"")</f>
        <v/>
      </c>
    </row>
    <row r="701" spans="1:23">
      <c r="A701" s="95" t="str">
        <f t="shared" si="66"/>
        <v/>
      </c>
      <c r="O701" s="146"/>
      <c r="P701" s="96">
        <f t="shared" si="67"/>
        <v>0</v>
      </c>
      <c r="R701" s="97">
        <f t="shared" si="69"/>
        <v>0</v>
      </c>
      <c r="T701" s="98">
        <f t="shared" si="68"/>
        <v>0</v>
      </c>
      <c r="U701" s="99" t="str">
        <f>IFERROR(VLOOKUP($S701,References!$B$3:$C$8,2,FALSE),"")</f>
        <v/>
      </c>
      <c r="V701" s="99" t="str">
        <f t="shared" si="70"/>
        <v/>
      </c>
      <c r="W701" s="66" t="str">
        <f>IFERROR(VLOOKUP($O701,'Customer List'!$A$1:$J$488,10,FALSE),"")</f>
        <v/>
      </c>
    </row>
    <row r="702" spans="1:23">
      <c r="A702" s="95" t="str">
        <f t="shared" si="66"/>
        <v/>
      </c>
      <c r="O702" s="146"/>
      <c r="P702" s="96">
        <f t="shared" si="67"/>
        <v>0</v>
      </c>
      <c r="R702" s="97">
        <f t="shared" si="69"/>
        <v>0</v>
      </c>
      <c r="T702" s="98">
        <f t="shared" si="68"/>
        <v>0</v>
      </c>
      <c r="U702" s="99" t="str">
        <f>IFERROR(VLOOKUP($S702,References!$B$3:$C$8,2,FALSE),"")</f>
        <v/>
      </c>
      <c r="V702" s="99" t="str">
        <f t="shared" si="70"/>
        <v/>
      </c>
      <c r="W702" s="66" t="str">
        <f>IFERROR(VLOOKUP($O702,'Customer List'!$A$1:$J$488,10,FALSE),"")</f>
        <v/>
      </c>
    </row>
    <row r="703" spans="1:23">
      <c r="A703" s="95" t="str">
        <f t="shared" si="66"/>
        <v/>
      </c>
      <c r="O703" s="146"/>
      <c r="P703" s="96">
        <f t="shared" si="67"/>
        <v>0</v>
      </c>
      <c r="R703" s="97">
        <f t="shared" si="69"/>
        <v>0</v>
      </c>
      <c r="T703" s="98">
        <f t="shared" si="68"/>
        <v>0</v>
      </c>
      <c r="U703" s="99" t="str">
        <f>IFERROR(VLOOKUP($S703,References!$B$3:$C$8,2,FALSE),"")</f>
        <v/>
      </c>
      <c r="V703" s="99" t="str">
        <f t="shared" si="70"/>
        <v/>
      </c>
      <c r="W703" s="66" t="str">
        <f>IFERROR(VLOOKUP($O703,'Customer List'!$A$1:$J$488,10,FALSE),"")</f>
        <v/>
      </c>
    </row>
    <row r="704" spans="1:23">
      <c r="A704" s="95" t="str">
        <f t="shared" si="66"/>
        <v/>
      </c>
      <c r="O704" s="146"/>
      <c r="P704" s="96">
        <f t="shared" si="67"/>
        <v>0</v>
      </c>
      <c r="R704" s="97">
        <f t="shared" si="69"/>
        <v>0</v>
      </c>
      <c r="T704" s="98">
        <f t="shared" si="68"/>
        <v>0</v>
      </c>
      <c r="U704" s="99" t="str">
        <f>IFERROR(VLOOKUP($S704,References!$B$3:$C$8,2,FALSE),"")</f>
        <v/>
      </c>
      <c r="V704" s="99" t="str">
        <f t="shared" si="70"/>
        <v/>
      </c>
      <c r="W704" s="66" t="str">
        <f>IFERROR(VLOOKUP($O704,'Customer List'!$A$1:$J$488,10,FALSE),"")</f>
        <v/>
      </c>
    </row>
    <row r="705" spans="1:23">
      <c r="A705" s="95" t="str">
        <f t="shared" si="66"/>
        <v/>
      </c>
      <c r="O705" s="146"/>
      <c r="P705" s="96">
        <f t="shared" si="67"/>
        <v>0</v>
      </c>
      <c r="R705" s="97">
        <f t="shared" si="69"/>
        <v>0</v>
      </c>
      <c r="T705" s="98">
        <f t="shared" si="68"/>
        <v>0</v>
      </c>
      <c r="U705" s="99" t="str">
        <f>IFERROR(VLOOKUP($S705,References!$B$3:$C$8,2,FALSE),"")</f>
        <v/>
      </c>
      <c r="V705" s="99" t="str">
        <f t="shared" si="70"/>
        <v/>
      </c>
      <c r="W705" s="66" t="str">
        <f>IFERROR(VLOOKUP($O705,'Customer List'!$A$1:$J$488,10,FALSE),"")</f>
        <v/>
      </c>
    </row>
    <row r="706" spans="1:23">
      <c r="A706" s="95" t="str">
        <f t="shared" si="66"/>
        <v/>
      </c>
      <c r="O706" s="146"/>
      <c r="P706" s="96">
        <f t="shared" si="67"/>
        <v>0</v>
      </c>
      <c r="R706" s="97">
        <f t="shared" si="69"/>
        <v>0</v>
      </c>
      <c r="T706" s="98">
        <f t="shared" si="68"/>
        <v>0</v>
      </c>
      <c r="U706" s="99" t="str">
        <f>IFERROR(VLOOKUP($S706,References!$B$3:$C$8,2,FALSE),"")</f>
        <v/>
      </c>
      <c r="V706" s="99" t="str">
        <f t="shared" si="70"/>
        <v/>
      </c>
      <c r="W706" s="66" t="str">
        <f>IFERROR(VLOOKUP($O706,'Customer List'!$A$1:$J$488,10,FALSE),"")</f>
        <v/>
      </c>
    </row>
    <row r="707" spans="1:23">
      <c r="A707" s="95" t="str">
        <f t="shared" si="66"/>
        <v/>
      </c>
      <c r="O707" s="146"/>
      <c r="P707" s="96">
        <f t="shared" si="67"/>
        <v>0</v>
      </c>
      <c r="R707" s="97">
        <f t="shared" si="69"/>
        <v>0</v>
      </c>
      <c r="T707" s="98">
        <f t="shared" si="68"/>
        <v>0</v>
      </c>
      <c r="U707" s="99" t="str">
        <f>IFERROR(VLOOKUP($S707,References!$B$3:$C$8,2,FALSE),"")</f>
        <v/>
      </c>
      <c r="V707" s="99" t="str">
        <f t="shared" si="70"/>
        <v/>
      </c>
      <c r="W707" s="66" t="str">
        <f>IFERROR(VLOOKUP($O707,'Customer List'!$A$1:$J$488,10,FALSE),"")</f>
        <v/>
      </c>
    </row>
    <row r="708" spans="1:23">
      <c r="A708" s="95" t="str">
        <f t="shared" si="66"/>
        <v/>
      </c>
      <c r="O708" s="146"/>
      <c r="P708" s="96">
        <f t="shared" si="67"/>
        <v>0</v>
      </c>
      <c r="R708" s="97">
        <f t="shared" si="69"/>
        <v>0</v>
      </c>
      <c r="T708" s="98">
        <f t="shared" si="68"/>
        <v>0</v>
      </c>
      <c r="U708" s="99" t="str">
        <f>IFERROR(VLOOKUP($S708,References!$B$3:$C$8,2,FALSE),"")</f>
        <v/>
      </c>
      <c r="V708" s="99" t="str">
        <f t="shared" si="70"/>
        <v/>
      </c>
      <c r="W708" s="66" t="str">
        <f>IFERROR(VLOOKUP($O708,'Customer List'!$A$1:$J$488,10,FALSE),"")</f>
        <v/>
      </c>
    </row>
    <row r="709" spans="1:23">
      <c r="A709" s="95" t="str">
        <f t="shared" si="66"/>
        <v/>
      </c>
      <c r="O709" s="146"/>
      <c r="P709" s="96">
        <f t="shared" si="67"/>
        <v>0</v>
      </c>
      <c r="R709" s="97">
        <f t="shared" si="69"/>
        <v>0</v>
      </c>
      <c r="T709" s="98">
        <f t="shared" si="68"/>
        <v>0</v>
      </c>
      <c r="U709" s="99" t="str">
        <f>IFERROR(VLOOKUP($S709,References!$B$3:$C$8,2,FALSE),"")</f>
        <v/>
      </c>
      <c r="V709" s="99" t="str">
        <f t="shared" si="70"/>
        <v/>
      </c>
      <c r="W709" s="66" t="str">
        <f>IFERROR(VLOOKUP($O709,'Customer List'!$A$1:$J$488,10,FALSE),"")</f>
        <v/>
      </c>
    </row>
    <row r="710" spans="1:23">
      <c r="A710" s="95" t="str">
        <f t="shared" si="66"/>
        <v/>
      </c>
      <c r="O710" s="146"/>
      <c r="P710" s="96">
        <f t="shared" si="67"/>
        <v>0</v>
      </c>
      <c r="R710" s="97">
        <f t="shared" si="69"/>
        <v>0</v>
      </c>
      <c r="T710" s="98">
        <f t="shared" si="68"/>
        <v>0</v>
      </c>
      <c r="U710" s="99" t="str">
        <f>IFERROR(VLOOKUP($S710,References!$B$3:$C$8,2,FALSE),"")</f>
        <v/>
      </c>
      <c r="V710" s="99" t="str">
        <f t="shared" si="70"/>
        <v/>
      </c>
      <c r="W710" s="66" t="str">
        <f>IFERROR(VLOOKUP($O710,'Customer List'!$A$1:$J$488,10,FALSE),"")</f>
        <v/>
      </c>
    </row>
    <row r="711" spans="1:23">
      <c r="A711" s="95" t="str">
        <f t="shared" si="66"/>
        <v/>
      </c>
      <c r="O711" s="146"/>
      <c r="P711" s="96">
        <f t="shared" si="67"/>
        <v>0</v>
      </c>
      <c r="R711" s="97"/>
      <c r="T711" s="98">
        <f t="shared" si="68"/>
        <v>0</v>
      </c>
      <c r="U711" s="99" t="str">
        <f>IFERROR(VLOOKUP($S711,References!$B$3:$C$8,2,FALSE),"")</f>
        <v/>
      </c>
      <c r="V711" s="99" t="str">
        <f t="shared" si="70"/>
        <v/>
      </c>
      <c r="W711" s="66" t="str">
        <f>IFERROR(VLOOKUP($O711,'Customer List'!$A$1:$J$488,10,FALSE),"")</f>
        <v/>
      </c>
    </row>
    <row r="712" spans="1:23">
      <c r="A712" s="95" t="str">
        <f t="shared" si="66"/>
        <v/>
      </c>
      <c r="O712" s="146"/>
      <c r="P712" s="96">
        <f t="shared" si="67"/>
        <v>0</v>
      </c>
      <c r="R712" s="97"/>
      <c r="T712" s="98">
        <f t="shared" si="68"/>
        <v>0</v>
      </c>
      <c r="U712" s="99" t="str">
        <f>IFERROR(VLOOKUP($S712,References!$B$3:$C$8,2,FALSE),"")</f>
        <v/>
      </c>
      <c r="V712" s="99" t="str">
        <f t="shared" si="70"/>
        <v/>
      </c>
      <c r="W712" s="66" t="str">
        <f>IFERROR(VLOOKUP($O712,'Customer List'!$A$1:$J$488,10,FALSE),"")</f>
        <v/>
      </c>
    </row>
    <row r="713" spans="1:23">
      <c r="A713" s="95" t="str">
        <f t="shared" si="66"/>
        <v/>
      </c>
      <c r="O713" s="146"/>
      <c r="P713" s="96">
        <f t="shared" si="67"/>
        <v>0</v>
      </c>
      <c r="R713" s="97"/>
      <c r="T713" s="98">
        <f t="shared" si="68"/>
        <v>0</v>
      </c>
      <c r="U713" s="99" t="str">
        <f>IFERROR(VLOOKUP($S713,References!$B$3:$C$8,2,FALSE),"")</f>
        <v/>
      </c>
      <c r="V713" s="99" t="str">
        <f t="shared" si="70"/>
        <v/>
      </c>
      <c r="W713" s="66" t="str">
        <f>IFERROR(VLOOKUP($O713,'Customer List'!$A$1:$J$488,10,FALSE),"")</f>
        <v/>
      </c>
    </row>
    <row r="714" spans="1:23">
      <c r="A714" s="95" t="str">
        <f t="shared" si="66"/>
        <v/>
      </c>
      <c r="O714" s="146"/>
      <c r="P714" s="96">
        <f t="shared" si="67"/>
        <v>0</v>
      </c>
      <c r="R714" s="97"/>
      <c r="T714" s="98">
        <f t="shared" si="68"/>
        <v>0</v>
      </c>
      <c r="U714" s="99" t="str">
        <f>IFERROR(VLOOKUP($S714,References!$B$3:$C$8,2,FALSE),"")</f>
        <v/>
      </c>
      <c r="V714" s="99" t="str">
        <f t="shared" si="70"/>
        <v/>
      </c>
      <c r="W714" s="66" t="str">
        <f>IFERROR(VLOOKUP($O714,'Customer List'!$A$1:$J$488,10,FALSE),"")</f>
        <v/>
      </c>
    </row>
    <row r="715" spans="1:23">
      <c r="A715" s="95" t="str">
        <f t="shared" si="66"/>
        <v/>
      </c>
      <c r="O715" s="146"/>
      <c r="P715" s="96">
        <f t="shared" si="67"/>
        <v>0</v>
      </c>
      <c r="R715" s="97"/>
      <c r="T715" s="98">
        <f t="shared" si="68"/>
        <v>0</v>
      </c>
      <c r="U715" s="99" t="str">
        <f>IFERROR(VLOOKUP($S715,References!$B$3:$C$8,2,FALSE),"")</f>
        <v/>
      </c>
      <c r="V715" s="99" t="str">
        <f t="shared" si="70"/>
        <v/>
      </c>
      <c r="W715" s="66" t="str">
        <f>IFERROR(VLOOKUP($O715,'Customer List'!$A$1:$J$488,10,FALSE),"")</f>
        <v/>
      </c>
    </row>
    <row r="716" spans="1:23">
      <c r="A716" s="95" t="str">
        <f t="shared" si="66"/>
        <v/>
      </c>
      <c r="O716" s="146"/>
      <c r="P716" s="96">
        <f t="shared" si="67"/>
        <v>0</v>
      </c>
      <c r="R716" s="97"/>
      <c r="T716" s="98">
        <f t="shared" si="68"/>
        <v>0</v>
      </c>
      <c r="U716" s="99" t="str">
        <f>IFERROR(VLOOKUP($S716,References!$B$3:$C$8,2,FALSE),"")</f>
        <v/>
      </c>
      <c r="V716" s="99" t="str">
        <f t="shared" si="70"/>
        <v/>
      </c>
      <c r="W716" s="66" t="str">
        <f>IFERROR(VLOOKUP($O716,'Customer List'!$A$1:$J$488,10,FALSE),"")</f>
        <v/>
      </c>
    </row>
    <row r="717" spans="1:23">
      <c r="A717" s="95" t="str">
        <f t="shared" si="66"/>
        <v/>
      </c>
      <c r="O717" s="146"/>
      <c r="P717" s="96">
        <f t="shared" si="67"/>
        <v>0</v>
      </c>
      <c r="R717" s="97"/>
      <c r="T717" s="98">
        <f t="shared" si="68"/>
        <v>0</v>
      </c>
      <c r="U717" s="99" t="str">
        <f>IFERROR(VLOOKUP($S717,References!$B$3:$C$8,2,FALSE),"")</f>
        <v/>
      </c>
      <c r="V717" s="99" t="str">
        <f t="shared" si="70"/>
        <v/>
      </c>
      <c r="W717" s="66" t="str">
        <f>IFERROR(VLOOKUP($O717,'Customer List'!$A$1:$J$488,10,FALSE),"")</f>
        <v/>
      </c>
    </row>
    <row r="718" spans="1:23">
      <c r="A718" s="95" t="str">
        <f t="shared" si="66"/>
        <v/>
      </c>
      <c r="O718" s="146"/>
      <c r="P718" s="96">
        <f t="shared" si="67"/>
        <v>0</v>
      </c>
      <c r="R718" s="97"/>
      <c r="T718" s="98">
        <f t="shared" si="68"/>
        <v>0</v>
      </c>
      <c r="U718" s="99" t="str">
        <f>IFERROR(VLOOKUP($S718,References!$B$3:$C$8,2,FALSE),"")</f>
        <v/>
      </c>
      <c r="V718" s="99" t="str">
        <f t="shared" si="70"/>
        <v/>
      </c>
      <c r="W718" s="66" t="str">
        <f>IFERROR(VLOOKUP($O718,'Customer List'!$A$1:$J$488,10,FALSE),"")</f>
        <v/>
      </c>
    </row>
    <row r="719" spans="1:23">
      <c r="A719" s="95" t="str">
        <f t="shared" ref="A719:A782" si="71">O719&amp;S719</f>
        <v/>
      </c>
      <c r="O719" s="146"/>
      <c r="P719" s="96">
        <f t="shared" ref="P719:P724" si="72">INT(L719)</f>
        <v>0</v>
      </c>
      <c r="R719" s="97"/>
      <c r="T719" s="98">
        <f t="shared" si="68"/>
        <v>0</v>
      </c>
      <c r="U719" s="99" t="str">
        <f>IFERROR(VLOOKUP($S719,References!$B$3:$C$8,2,FALSE),"")</f>
        <v/>
      </c>
      <c r="V719" s="99" t="str">
        <f t="shared" si="70"/>
        <v/>
      </c>
      <c r="W719" s="66" t="str">
        <f>IFERROR(VLOOKUP($O719,'Customer List'!$A$1:$J$488,10,FALSE),"")</f>
        <v/>
      </c>
    </row>
    <row r="720" spans="1:23">
      <c r="A720" s="95" t="str">
        <f t="shared" si="71"/>
        <v/>
      </c>
      <c r="O720" s="146"/>
      <c r="P720" s="96">
        <f t="shared" si="72"/>
        <v>0</v>
      </c>
      <c r="R720" s="97"/>
      <c r="T720" s="98">
        <f t="shared" ref="T720:T783" si="73">IF(S720="50 - Cleaning Fee",1,HOUR($R720)+MINUTE(R720)/60)</f>
        <v>0</v>
      </c>
      <c r="U720" s="99" t="str">
        <f>IFERROR(VLOOKUP($S720,References!$B$3:$C$8,2,FALSE),"")</f>
        <v/>
      </c>
      <c r="V720" s="99" t="str">
        <f t="shared" ref="V720:V783" si="74">IF(T720&gt;=8,400,(IFERROR(T720*U720,"")))</f>
        <v/>
      </c>
      <c r="W720" s="66" t="str">
        <f>IFERROR(VLOOKUP($O720,'Customer List'!$A$1:$J$488,10,FALSE),"")</f>
        <v/>
      </c>
    </row>
    <row r="721" spans="1:23">
      <c r="A721" s="95" t="str">
        <f t="shared" si="71"/>
        <v/>
      </c>
      <c r="O721" s="146"/>
      <c r="P721" s="96">
        <f t="shared" si="72"/>
        <v>0</v>
      </c>
      <c r="R721" s="97"/>
      <c r="T721" s="98">
        <f t="shared" si="73"/>
        <v>0</v>
      </c>
      <c r="U721" s="99" t="str">
        <f>IFERROR(VLOOKUP($S721,References!$B$3:$C$8,2,FALSE),"")</f>
        <v/>
      </c>
      <c r="V721" s="99" t="str">
        <f t="shared" si="74"/>
        <v/>
      </c>
      <c r="W721" s="66" t="str">
        <f>IFERROR(VLOOKUP($O721,'Customer List'!$A$1:$J$488,10,FALSE),"")</f>
        <v/>
      </c>
    </row>
    <row r="722" spans="1:23">
      <c r="A722" s="95" t="str">
        <f t="shared" si="71"/>
        <v/>
      </c>
      <c r="O722" s="146"/>
      <c r="P722" s="96">
        <f t="shared" si="72"/>
        <v>0</v>
      </c>
      <c r="R722" s="97"/>
      <c r="T722" s="98">
        <f t="shared" si="73"/>
        <v>0</v>
      </c>
      <c r="U722" s="99" t="str">
        <f>IFERROR(VLOOKUP($S722,References!$B$3:$C$8,2,FALSE),"")</f>
        <v/>
      </c>
      <c r="V722" s="99" t="str">
        <f t="shared" si="74"/>
        <v/>
      </c>
      <c r="W722" s="66" t="str">
        <f>IFERROR(VLOOKUP($O722,'Customer List'!$A$1:$J$488,10,FALSE),"")</f>
        <v/>
      </c>
    </row>
    <row r="723" spans="1:23">
      <c r="A723" s="95" t="str">
        <f t="shared" si="71"/>
        <v/>
      </c>
      <c r="O723" s="146"/>
      <c r="P723" s="96">
        <f t="shared" si="72"/>
        <v>0</v>
      </c>
      <c r="R723" s="97"/>
      <c r="T723" s="98">
        <f t="shared" si="73"/>
        <v>0</v>
      </c>
      <c r="U723" s="99" t="str">
        <f>IFERROR(VLOOKUP($S723,References!$B$3:$C$8,2,FALSE),"")</f>
        <v/>
      </c>
      <c r="V723" s="99" t="str">
        <f t="shared" si="74"/>
        <v/>
      </c>
      <c r="W723" s="66" t="str">
        <f>IFERROR(VLOOKUP($O723,'Customer List'!$A$1:$J$488,10,FALSE),"")</f>
        <v/>
      </c>
    </row>
    <row r="724" spans="1:23">
      <c r="A724" s="95" t="str">
        <f t="shared" si="71"/>
        <v/>
      </c>
      <c r="O724" s="146"/>
      <c r="P724" s="96">
        <f t="shared" si="72"/>
        <v>0</v>
      </c>
      <c r="R724" s="97"/>
      <c r="T724" s="98">
        <f t="shared" si="73"/>
        <v>0</v>
      </c>
      <c r="U724" s="99" t="str">
        <f>IFERROR(VLOOKUP($S724,References!$B$3:$C$8,2,FALSE),"")</f>
        <v/>
      </c>
      <c r="V724" s="99" t="str">
        <f t="shared" si="74"/>
        <v/>
      </c>
      <c r="W724" s="66" t="str">
        <f>IFERROR(VLOOKUP($O724,'Customer List'!$A$1:$J$488,10,FALSE),"")</f>
        <v/>
      </c>
    </row>
    <row r="725" spans="1:23">
      <c r="A725" s="95" t="str">
        <f t="shared" si="71"/>
        <v/>
      </c>
      <c r="O725" s="116"/>
      <c r="P725" s="96">
        <f t="shared" ref="P725:P782" si="75">INT(L725)</f>
        <v>0</v>
      </c>
      <c r="R725" s="97"/>
      <c r="T725" s="98">
        <f t="shared" si="73"/>
        <v>0</v>
      </c>
      <c r="U725" s="99" t="str">
        <f>IFERROR(VLOOKUP($S725,References!$B$3:$C$8,2,FALSE),"")</f>
        <v/>
      </c>
      <c r="V725" s="99" t="str">
        <f t="shared" si="74"/>
        <v/>
      </c>
      <c r="W725" s="66" t="str">
        <f>IFERROR(VLOOKUP($O725,'Customer List'!$A$1:$J$488,10,FALSE),"")</f>
        <v/>
      </c>
    </row>
    <row r="726" spans="1:23">
      <c r="A726" s="95" t="str">
        <f t="shared" si="71"/>
        <v/>
      </c>
      <c r="O726" s="116"/>
      <c r="P726" s="96">
        <f t="shared" si="75"/>
        <v>0</v>
      </c>
      <c r="R726" s="97"/>
      <c r="T726" s="98">
        <f t="shared" si="73"/>
        <v>0</v>
      </c>
      <c r="U726" s="99" t="str">
        <f>IFERROR(VLOOKUP($S726,References!$B$3:$C$8,2,FALSE),"")</f>
        <v/>
      </c>
      <c r="V726" s="99" t="str">
        <f t="shared" si="74"/>
        <v/>
      </c>
      <c r="W726" s="66" t="str">
        <f>IFERROR(VLOOKUP($O726,'Customer List'!$A$1:$J$488,10,FALSE),"")</f>
        <v/>
      </c>
    </row>
    <row r="727" spans="1:23">
      <c r="A727" s="95" t="str">
        <f t="shared" si="71"/>
        <v/>
      </c>
      <c r="O727" s="116"/>
      <c r="P727" s="96">
        <f t="shared" si="75"/>
        <v>0</v>
      </c>
      <c r="R727" s="97"/>
      <c r="T727" s="98">
        <f t="shared" si="73"/>
        <v>0</v>
      </c>
      <c r="U727" s="99" t="str">
        <f>IFERROR(VLOOKUP($S727,References!$B$3:$C$8,2,FALSE),"")</f>
        <v/>
      </c>
      <c r="V727" s="99" t="str">
        <f t="shared" si="74"/>
        <v/>
      </c>
      <c r="W727" s="66" t="str">
        <f>IFERROR(VLOOKUP($O727,'Customer List'!$A$1:$J$488,10,FALSE),"")</f>
        <v/>
      </c>
    </row>
    <row r="728" spans="1:23">
      <c r="A728" s="95" t="str">
        <f t="shared" si="71"/>
        <v/>
      </c>
      <c r="O728" s="116"/>
      <c r="P728" s="96">
        <f t="shared" si="75"/>
        <v>0</v>
      </c>
      <c r="R728" s="97"/>
      <c r="T728" s="98">
        <f t="shared" si="73"/>
        <v>0</v>
      </c>
      <c r="U728" s="99" t="str">
        <f>IFERROR(VLOOKUP($S728,References!$B$3:$C$8,2,FALSE),"")</f>
        <v/>
      </c>
      <c r="V728" s="99" t="str">
        <f t="shared" si="74"/>
        <v/>
      </c>
      <c r="W728" s="66" t="str">
        <f>IFERROR(VLOOKUP($O728,'Customer List'!$A$1:$J$488,10,FALSE),"")</f>
        <v/>
      </c>
    </row>
    <row r="729" spans="1:23">
      <c r="A729" s="95" t="str">
        <f t="shared" si="71"/>
        <v/>
      </c>
      <c r="O729" s="116"/>
      <c r="P729" s="96">
        <f t="shared" si="75"/>
        <v>0</v>
      </c>
      <c r="R729" s="97"/>
      <c r="T729" s="98">
        <f t="shared" si="73"/>
        <v>0</v>
      </c>
      <c r="U729" s="99" t="str">
        <f>IFERROR(VLOOKUP($S729,References!$B$3:$C$8,2,FALSE),"")</f>
        <v/>
      </c>
      <c r="V729" s="99" t="str">
        <f t="shared" si="74"/>
        <v/>
      </c>
      <c r="W729" s="66" t="str">
        <f>IFERROR(VLOOKUP($O729,'Customer List'!$A$1:$J$488,10,FALSE),"")</f>
        <v/>
      </c>
    </row>
    <row r="730" spans="1:23">
      <c r="A730" s="95" t="str">
        <f t="shared" si="71"/>
        <v/>
      </c>
      <c r="O730" s="116"/>
      <c r="P730" s="96">
        <f t="shared" si="75"/>
        <v>0</v>
      </c>
      <c r="R730" s="97"/>
      <c r="T730" s="98">
        <f t="shared" si="73"/>
        <v>0</v>
      </c>
      <c r="U730" s="99" t="str">
        <f>IFERROR(VLOOKUP($S730,References!$B$3:$C$8,2,FALSE),"")</f>
        <v/>
      </c>
      <c r="V730" s="99" t="str">
        <f t="shared" si="74"/>
        <v/>
      </c>
      <c r="W730" s="66" t="str">
        <f>IFERROR(VLOOKUP($O730,'Customer List'!$A$1:$J$488,10,FALSE),"")</f>
        <v/>
      </c>
    </row>
    <row r="731" spans="1:23">
      <c r="A731" s="95" t="str">
        <f t="shared" si="71"/>
        <v/>
      </c>
      <c r="O731" s="116"/>
      <c r="P731" s="96">
        <f t="shared" si="75"/>
        <v>0</v>
      </c>
      <c r="R731" s="97"/>
      <c r="T731" s="98">
        <f t="shared" si="73"/>
        <v>0</v>
      </c>
      <c r="U731" s="99" t="str">
        <f>IFERROR(VLOOKUP($S731,References!$B$3:$C$8,2,FALSE),"")</f>
        <v/>
      </c>
      <c r="V731" s="99" t="str">
        <f t="shared" si="74"/>
        <v/>
      </c>
      <c r="W731" s="66" t="str">
        <f>IFERROR(VLOOKUP($O731,'Customer List'!$A$1:$J$488,10,FALSE),"")</f>
        <v/>
      </c>
    </row>
    <row r="732" spans="1:23">
      <c r="A732" s="95" t="str">
        <f t="shared" si="71"/>
        <v/>
      </c>
      <c r="O732" s="116"/>
      <c r="P732" s="96">
        <f t="shared" si="75"/>
        <v>0</v>
      </c>
      <c r="R732" s="97"/>
      <c r="T732" s="98">
        <f t="shared" si="73"/>
        <v>0</v>
      </c>
      <c r="U732" s="99" t="str">
        <f>IFERROR(VLOOKUP($S732,References!$B$3:$C$8,2,FALSE),"")</f>
        <v/>
      </c>
      <c r="V732" s="99" t="str">
        <f t="shared" si="74"/>
        <v/>
      </c>
      <c r="W732" s="66" t="str">
        <f>IFERROR(VLOOKUP($O732,'Customer List'!$A$1:$J$488,10,FALSE),"")</f>
        <v/>
      </c>
    </row>
    <row r="733" spans="1:23">
      <c r="A733" s="95" t="str">
        <f t="shared" si="71"/>
        <v/>
      </c>
      <c r="O733" s="116"/>
      <c r="P733" s="96">
        <f t="shared" si="75"/>
        <v>0</v>
      </c>
      <c r="R733" s="97"/>
      <c r="T733" s="98">
        <f t="shared" si="73"/>
        <v>0</v>
      </c>
      <c r="U733" s="99" t="str">
        <f>IFERROR(VLOOKUP($S733,References!$B$3:$C$8,2,FALSE),"")</f>
        <v/>
      </c>
      <c r="V733" s="99" t="str">
        <f t="shared" si="74"/>
        <v/>
      </c>
      <c r="W733" s="66" t="str">
        <f>IFERROR(VLOOKUP($O733,'Customer List'!$A$1:$J$488,10,FALSE),"")</f>
        <v/>
      </c>
    </row>
    <row r="734" spans="1:23">
      <c r="A734" s="95" t="str">
        <f t="shared" si="71"/>
        <v/>
      </c>
      <c r="O734" s="116"/>
      <c r="P734" s="96">
        <f t="shared" si="75"/>
        <v>0</v>
      </c>
      <c r="R734" s="97"/>
      <c r="T734" s="98">
        <f t="shared" si="73"/>
        <v>0</v>
      </c>
      <c r="U734" s="99" t="str">
        <f>IFERROR(VLOOKUP($S734,References!$B$3:$C$8,2,FALSE),"")</f>
        <v/>
      </c>
      <c r="V734" s="99" t="str">
        <f t="shared" si="74"/>
        <v/>
      </c>
      <c r="W734" s="66" t="str">
        <f>IFERROR(VLOOKUP($O734,'Customer List'!$A$1:$J$488,10,FALSE),"")</f>
        <v/>
      </c>
    </row>
    <row r="735" spans="1:23">
      <c r="A735" s="95" t="str">
        <f t="shared" si="71"/>
        <v/>
      </c>
      <c r="O735" s="116"/>
      <c r="P735" s="96">
        <f t="shared" si="75"/>
        <v>0</v>
      </c>
      <c r="R735" s="97"/>
      <c r="T735" s="98">
        <f t="shared" si="73"/>
        <v>0</v>
      </c>
      <c r="U735" s="99" t="str">
        <f>IFERROR(VLOOKUP($S735,References!$B$3:$C$8,2,FALSE),"")</f>
        <v/>
      </c>
      <c r="V735" s="99" t="str">
        <f t="shared" si="74"/>
        <v/>
      </c>
      <c r="W735" s="66" t="str">
        <f>IFERROR(VLOOKUP($O735,'Customer List'!$A$1:$J$488,10,FALSE),"")</f>
        <v/>
      </c>
    </row>
    <row r="736" spans="1:23">
      <c r="A736" s="95" t="str">
        <f t="shared" si="71"/>
        <v/>
      </c>
      <c r="O736" s="116"/>
      <c r="P736" s="96">
        <f t="shared" si="75"/>
        <v>0</v>
      </c>
      <c r="R736" s="97"/>
      <c r="T736" s="98">
        <f t="shared" si="73"/>
        <v>0</v>
      </c>
      <c r="U736" s="99" t="str">
        <f>IFERROR(VLOOKUP($S736,References!$B$3:$C$8,2,FALSE),"")</f>
        <v/>
      </c>
      <c r="V736" s="99" t="str">
        <f t="shared" si="74"/>
        <v/>
      </c>
      <c r="W736" s="66" t="str">
        <f>IFERROR(VLOOKUP($O736,'Customer List'!$A$1:$J$488,10,FALSE),"")</f>
        <v/>
      </c>
    </row>
    <row r="737" spans="1:23">
      <c r="A737" s="95" t="str">
        <f t="shared" si="71"/>
        <v/>
      </c>
      <c r="O737" s="116"/>
      <c r="P737" s="96">
        <f t="shared" si="75"/>
        <v>0</v>
      </c>
      <c r="R737" s="97"/>
      <c r="T737" s="98">
        <f t="shared" si="73"/>
        <v>0</v>
      </c>
      <c r="U737" s="99" t="str">
        <f>IFERROR(VLOOKUP($S737,References!$B$3:$C$8,2,FALSE),"")</f>
        <v/>
      </c>
      <c r="V737" s="99" t="str">
        <f t="shared" si="74"/>
        <v/>
      </c>
      <c r="W737" s="66" t="str">
        <f>IFERROR(VLOOKUP($O737,'Customer List'!$A$1:$J$488,10,FALSE),"")</f>
        <v/>
      </c>
    </row>
    <row r="738" spans="1:23">
      <c r="A738" s="95" t="str">
        <f t="shared" si="71"/>
        <v/>
      </c>
      <c r="O738" s="116"/>
      <c r="P738" s="96">
        <f t="shared" si="75"/>
        <v>0</v>
      </c>
      <c r="R738" s="97"/>
      <c r="T738" s="98">
        <f t="shared" si="73"/>
        <v>0</v>
      </c>
      <c r="U738" s="99" t="str">
        <f>IFERROR(VLOOKUP($S738,References!$B$3:$C$8,2,FALSE),"")</f>
        <v/>
      </c>
      <c r="V738" s="99" t="str">
        <f t="shared" si="74"/>
        <v/>
      </c>
      <c r="W738" s="66" t="str">
        <f>IFERROR(VLOOKUP($O738,'Customer List'!$A$1:$J$488,10,FALSE),"")</f>
        <v/>
      </c>
    </row>
    <row r="739" spans="1:23">
      <c r="A739" s="95" t="str">
        <f t="shared" si="71"/>
        <v/>
      </c>
      <c r="O739" s="116"/>
      <c r="P739" s="96">
        <f t="shared" si="75"/>
        <v>0</v>
      </c>
      <c r="R739" s="97"/>
      <c r="T739" s="98">
        <f t="shared" si="73"/>
        <v>0</v>
      </c>
      <c r="U739" s="99" t="str">
        <f>IFERROR(VLOOKUP($S739,References!$B$3:$C$8,2,FALSE),"")</f>
        <v/>
      </c>
      <c r="V739" s="99" t="str">
        <f t="shared" si="74"/>
        <v/>
      </c>
      <c r="W739" s="66" t="str">
        <f>IFERROR(VLOOKUP($O739,'Customer List'!$A$1:$J$488,10,FALSE),"")</f>
        <v/>
      </c>
    </row>
    <row r="740" spans="1:23">
      <c r="A740" s="95" t="str">
        <f t="shared" si="71"/>
        <v/>
      </c>
      <c r="O740" s="116"/>
      <c r="P740" s="96">
        <f t="shared" si="75"/>
        <v>0</v>
      </c>
      <c r="R740" s="97"/>
      <c r="T740" s="98">
        <f t="shared" si="73"/>
        <v>0</v>
      </c>
      <c r="U740" s="99" t="str">
        <f>IFERROR(VLOOKUP($S740,References!$B$3:$C$8,2,FALSE),"")</f>
        <v/>
      </c>
      <c r="V740" s="99" t="str">
        <f t="shared" si="74"/>
        <v/>
      </c>
      <c r="W740" s="66" t="str">
        <f>IFERROR(VLOOKUP($O740,'Customer List'!$A$1:$J$488,10,FALSE),"")</f>
        <v/>
      </c>
    </row>
    <row r="741" spans="1:23">
      <c r="A741" s="95" t="str">
        <f t="shared" si="71"/>
        <v/>
      </c>
      <c r="O741" s="116"/>
      <c r="P741" s="96">
        <f t="shared" si="75"/>
        <v>0</v>
      </c>
      <c r="R741" s="97"/>
      <c r="T741" s="98">
        <f t="shared" si="73"/>
        <v>0</v>
      </c>
      <c r="U741" s="99" t="str">
        <f>IFERROR(VLOOKUP($S741,References!$B$3:$C$8,2,FALSE),"")</f>
        <v/>
      </c>
      <c r="V741" s="99" t="str">
        <f t="shared" si="74"/>
        <v/>
      </c>
      <c r="W741" s="66" t="str">
        <f>IFERROR(VLOOKUP($O741,'Customer List'!$A$1:$J$488,10,FALSE),"")</f>
        <v/>
      </c>
    </row>
    <row r="742" spans="1:23">
      <c r="A742" s="95" t="str">
        <f t="shared" si="71"/>
        <v/>
      </c>
      <c r="O742" s="116"/>
      <c r="P742" s="96">
        <f t="shared" si="75"/>
        <v>0</v>
      </c>
      <c r="R742" s="97"/>
      <c r="T742" s="98">
        <f t="shared" si="73"/>
        <v>0</v>
      </c>
      <c r="U742" s="99" t="str">
        <f>IFERROR(VLOOKUP($S742,References!$B$3:$C$8,2,FALSE),"")</f>
        <v/>
      </c>
      <c r="V742" s="99" t="str">
        <f t="shared" si="74"/>
        <v/>
      </c>
      <c r="W742" s="66" t="str">
        <f>IFERROR(VLOOKUP($O742,'Customer List'!$A$1:$J$488,10,FALSE),"")</f>
        <v/>
      </c>
    </row>
    <row r="743" spans="1:23">
      <c r="A743" s="95" t="str">
        <f t="shared" si="71"/>
        <v/>
      </c>
      <c r="O743" s="116"/>
      <c r="P743" s="96">
        <f t="shared" si="75"/>
        <v>0</v>
      </c>
      <c r="R743" s="97"/>
      <c r="T743" s="98">
        <f t="shared" si="73"/>
        <v>0</v>
      </c>
      <c r="U743" s="99" t="str">
        <f>IFERROR(VLOOKUP($S743,References!$B$3:$C$8,2,FALSE),"")</f>
        <v/>
      </c>
      <c r="V743" s="99" t="str">
        <f t="shared" si="74"/>
        <v/>
      </c>
      <c r="W743" s="66" t="str">
        <f>IFERROR(VLOOKUP($O743,'Customer List'!$A$1:$J$488,10,FALSE),"")</f>
        <v/>
      </c>
    </row>
    <row r="744" spans="1:23">
      <c r="A744" s="95" t="str">
        <f t="shared" si="71"/>
        <v/>
      </c>
      <c r="O744" s="116"/>
      <c r="P744" s="96">
        <f t="shared" si="75"/>
        <v>0</v>
      </c>
      <c r="R744" s="97"/>
      <c r="T744" s="98">
        <f t="shared" si="73"/>
        <v>0</v>
      </c>
      <c r="U744" s="99" t="str">
        <f>IFERROR(VLOOKUP($S744,References!$B$3:$C$8,2,FALSE),"")</f>
        <v/>
      </c>
      <c r="V744" s="99" t="str">
        <f t="shared" si="74"/>
        <v/>
      </c>
      <c r="W744" s="66" t="str">
        <f>IFERROR(VLOOKUP($O744,'Customer List'!$A$1:$J$488,10,FALSE),"")</f>
        <v/>
      </c>
    </row>
    <row r="745" spans="1:23">
      <c r="A745" s="95" t="str">
        <f t="shared" si="71"/>
        <v/>
      </c>
      <c r="O745" s="116"/>
      <c r="P745" s="96">
        <f t="shared" si="75"/>
        <v>0</v>
      </c>
      <c r="R745" s="97"/>
      <c r="T745" s="98">
        <f t="shared" si="73"/>
        <v>0</v>
      </c>
      <c r="U745" s="99" t="str">
        <f>IFERROR(VLOOKUP($S745,References!$B$3:$C$8,2,FALSE),"")</f>
        <v/>
      </c>
      <c r="V745" s="99" t="str">
        <f t="shared" si="74"/>
        <v/>
      </c>
      <c r="W745" s="66" t="str">
        <f>IFERROR(VLOOKUP($O745,'Customer List'!$A$1:$J$488,10,FALSE),"")</f>
        <v/>
      </c>
    </row>
    <row r="746" spans="1:23">
      <c r="A746" s="95" t="str">
        <f t="shared" si="71"/>
        <v/>
      </c>
      <c r="O746" s="116"/>
      <c r="P746" s="96">
        <f t="shared" si="75"/>
        <v>0</v>
      </c>
      <c r="R746" s="97"/>
      <c r="T746" s="98">
        <f t="shared" si="73"/>
        <v>0</v>
      </c>
      <c r="U746" s="99" t="str">
        <f>IFERROR(VLOOKUP($S746,References!$B$3:$C$8,2,FALSE),"")</f>
        <v/>
      </c>
      <c r="V746" s="99" t="str">
        <f t="shared" si="74"/>
        <v/>
      </c>
      <c r="W746" s="66" t="str">
        <f>IFERROR(VLOOKUP($O746,'Customer List'!$A$1:$J$488,10,FALSE),"")</f>
        <v/>
      </c>
    </row>
    <row r="747" spans="1:23">
      <c r="A747" s="95" t="str">
        <f t="shared" si="71"/>
        <v/>
      </c>
      <c r="O747" s="116"/>
      <c r="P747" s="96">
        <f t="shared" si="75"/>
        <v>0</v>
      </c>
      <c r="R747" s="97"/>
      <c r="T747" s="98">
        <f t="shared" si="73"/>
        <v>0</v>
      </c>
      <c r="U747" s="99" t="str">
        <f>IFERROR(VLOOKUP($S747,References!$B$3:$C$8,2,FALSE),"")</f>
        <v/>
      </c>
      <c r="V747" s="99" t="str">
        <f t="shared" si="74"/>
        <v/>
      </c>
      <c r="W747" s="66" t="str">
        <f>IFERROR(VLOOKUP($O747,'Customer List'!$A$1:$J$488,10,FALSE),"")</f>
        <v/>
      </c>
    </row>
    <row r="748" spans="1:23">
      <c r="A748" s="95" t="str">
        <f t="shared" si="71"/>
        <v/>
      </c>
      <c r="O748" s="116"/>
      <c r="P748" s="96">
        <f t="shared" si="75"/>
        <v>0</v>
      </c>
      <c r="R748" s="97"/>
      <c r="T748" s="98">
        <f t="shared" si="73"/>
        <v>0</v>
      </c>
      <c r="U748" s="99" t="str">
        <f>IFERROR(VLOOKUP($S748,References!$B$3:$C$8,2,FALSE),"")</f>
        <v/>
      </c>
      <c r="V748" s="99" t="str">
        <f t="shared" si="74"/>
        <v/>
      </c>
      <c r="W748" s="66" t="str">
        <f>IFERROR(VLOOKUP($O748,'Customer List'!$A$1:$J$488,10,FALSE),"")</f>
        <v/>
      </c>
    </row>
    <row r="749" spans="1:23">
      <c r="A749" s="95" t="str">
        <f t="shared" si="71"/>
        <v/>
      </c>
      <c r="O749" s="116"/>
      <c r="P749" s="96">
        <f t="shared" si="75"/>
        <v>0</v>
      </c>
      <c r="R749" s="97"/>
      <c r="T749" s="98">
        <f t="shared" si="73"/>
        <v>0</v>
      </c>
      <c r="U749" s="99" t="str">
        <f>IFERROR(VLOOKUP($S749,References!$B$3:$C$8,2,FALSE),"")</f>
        <v/>
      </c>
      <c r="V749" s="99" t="str">
        <f t="shared" si="74"/>
        <v/>
      </c>
      <c r="W749" s="66" t="str">
        <f>IFERROR(VLOOKUP($O749,'Customer List'!$A$1:$J$488,10,FALSE),"")</f>
        <v/>
      </c>
    </row>
    <row r="750" spans="1:23">
      <c r="A750" s="95" t="str">
        <f t="shared" si="71"/>
        <v/>
      </c>
      <c r="O750" s="116"/>
      <c r="P750" s="96">
        <f t="shared" si="75"/>
        <v>0</v>
      </c>
      <c r="R750" s="97"/>
      <c r="T750" s="98">
        <f t="shared" si="73"/>
        <v>0</v>
      </c>
      <c r="U750" s="99" t="str">
        <f>IFERROR(VLOOKUP($S750,References!$B$3:$C$8,2,FALSE),"")</f>
        <v/>
      </c>
      <c r="V750" s="99" t="str">
        <f t="shared" si="74"/>
        <v/>
      </c>
      <c r="W750" s="66" t="str">
        <f>IFERROR(VLOOKUP($O750,'Customer List'!$A$1:$J$488,10,FALSE),"")</f>
        <v/>
      </c>
    </row>
    <row r="751" spans="1:23">
      <c r="A751" s="95" t="str">
        <f t="shared" si="71"/>
        <v/>
      </c>
      <c r="O751" s="116"/>
      <c r="P751" s="96">
        <f t="shared" si="75"/>
        <v>0</v>
      </c>
      <c r="R751" s="97"/>
      <c r="T751" s="98">
        <f t="shared" si="73"/>
        <v>0</v>
      </c>
      <c r="U751" s="99" t="str">
        <f>IFERROR(VLOOKUP($S751,References!$B$3:$C$8,2,FALSE),"")</f>
        <v/>
      </c>
      <c r="V751" s="99" t="str">
        <f t="shared" si="74"/>
        <v/>
      </c>
      <c r="W751" s="66" t="str">
        <f>IFERROR(VLOOKUP($O751,'Customer List'!$A$1:$J$488,10,FALSE),"")</f>
        <v/>
      </c>
    </row>
    <row r="752" spans="1:23">
      <c r="A752" s="95" t="str">
        <f t="shared" si="71"/>
        <v/>
      </c>
      <c r="O752" s="116"/>
      <c r="P752" s="96">
        <f t="shared" si="75"/>
        <v>0</v>
      </c>
      <c r="R752" s="97"/>
      <c r="T752" s="98">
        <f t="shared" si="73"/>
        <v>0</v>
      </c>
      <c r="U752" s="99" t="str">
        <f>IFERROR(VLOOKUP($S752,References!$B$3:$C$8,2,FALSE),"")</f>
        <v/>
      </c>
      <c r="V752" s="99" t="str">
        <f t="shared" si="74"/>
        <v/>
      </c>
      <c r="W752" s="66" t="str">
        <f>IFERROR(VLOOKUP($O752,'Customer List'!$A$1:$J$488,10,FALSE),"")</f>
        <v/>
      </c>
    </row>
    <row r="753" spans="1:23">
      <c r="A753" s="95" t="str">
        <f t="shared" si="71"/>
        <v/>
      </c>
      <c r="O753" s="116"/>
      <c r="P753" s="96">
        <f t="shared" si="75"/>
        <v>0</v>
      </c>
      <c r="R753" s="97"/>
      <c r="T753" s="98">
        <f t="shared" si="73"/>
        <v>0</v>
      </c>
      <c r="U753" s="99" t="str">
        <f>IFERROR(VLOOKUP($S753,References!$B$3:$C$8,2,FALSE),"")</f>
        <v/>
      </c>
      <c r="V753" s="99" t="str">
        <f t="shared" si="74"/>
        <v/>
      </c>
      <c r="W753" s="66" t="str">
        <f>IFERROR(VLOOKUP($O753,'Customer List'!$A$1:$J$488,10,FALSE),"")</f>
        <v/>
      </c>
    </row>
    <row r="754" spans="1:23">
      <c r="A754" s="95" t="str">
        <f t="shared" si="71"/>
        <v/>
      </c>
      <c r="O754" s="116"/>
      <c r="P754" s="96">
        <f t="shared" si="75"/>
        <v>0</v>
      </c>
      <c r="R754" s="97"/>
      <c r="T754" s="98">
        <f t="shared" si="73"/>
        <v>0</v>
      </c>
      <c r="U754" s="99" t="str">
        <f>IFERROR(VLOOKUP($S754,References!$B$3:$C$8,2,FALSE),"")</f>
        <v/>
      </c>
      <c r="V754" s="99" t="str">
        <f t="shared" si="74"/>
        <v/>
      </c>
      <c r="W754" s="66" t="str">
        <f>IFERROR(VLOOKUP($O754,'Customer List'!$A$1:$J$488,10,FALSE),"")</f>
        <v/>
      </c>
    </row>
    <row r="755" spans="1:23">
      <c r="A755" s="95" t="str">
        <f t="shared" si="71"/>
        <v/>
      </c>
      <c r="O755" s="116"/>
      <c r="P755" s="96">
        <f t="shared" si="75"/>
        <v>0</v>
      </c>
      <c r="R755" s="97"/>
      <c r="T755" s="98">
        <f t="shared" si="73"/>
        <v>0</v>
      </c>
      <c r="U755" s="99" t="str">
        <f>IFERROR(VLOOKUP($S755,References!$B$3:$C$8,2,FALSE),"")</f>
        <v/>
      </c>
      <c r="V755" s="99" t="str">
        <f t="shared" si="74"/>
        <v/>
      </c>
      <c r="W755" s="66" t="str">
        <f>IFERROR(VLOOKUP($O755,'Customer List'!$A$1:$J$488,10,FALSE),"")</f>
        <v/>
      </c>
    </row>
    <row r="756" spans="1:23">
      <c r="A756" s="95" t="str">
        <f t="shared" si="71"/>
        <v/>
      </c>
      <c r="O756" s="116"/>
      <c r="P756" s="96">
        <f t="shared" si="75"/>
        <v>0</v>
      </c>
      <c r="R756" s="97"/>
      <c r="T756" s="98">
        <f t="shared" si="73"/>
        <v>0</v>
      </c>
      <c r="U756" s="99" t="str">
        <f>IFERROR(VLOOKUP($S756,References!$B$3:$C$8,2,FALSE),"")</f>
        <v/>
      </c>
      <c r="V756" s="99" t="str">
        <f t="shared" si="74"/>
        <v/>
      </c>
      <c r="W756" s="66" t="str">
        <f>IFERROR(VLOOKUP($O756,'Customer List'!$A$1:$J$488,10,FALSE),"")</f>
        <v/>
      </c>
    </row>
    <row r="757" spans="1:23">
      <c r="A757" s="95" t="str">
        <f t="shared" si="71"/>
        <v/>
      </c>
      <c r="O757" s="116"/>
      <c r="P757" s="96">
        <f t="shared" si="75"/>
        <v>0</v>
      </c>
      <c r="R757" s="97"/>
      <c r="T757" s="98">
        <f t="shared" si="73"/>
        <v>0</v>
      </c>
      <c r="U757" s="99" t="str">
        <f>IFERROR(VLOOKUP($S757,References!$B$3:$C$8,2,FALSE),"")</f>
        <v/>
      </c>
      <c r="V757" s="99" t="str">
        <f t="shared" si="74"/>
        <v/>
      </c>
      <c r="W757" s="66" t="str">
        <f>IFERROR(VLOOKUP($O757,'Customer List'!$A$1:$J$488,10,FALSE),"")</f>
        <v/>
      </c>
    </row>
    <row r="758" spans="1:23">
      <c r="A758" s="95" t="str">
        <f t="shared" si="71"/>
        <v/>
      </c>
      <c r="O758" s="116"/>
      <c r="P758" s="96">
        <f t="shared" si="75"/>
        <v>0</v>
      </c>
      <c r="R758" s="97"/>
      <c r="T758" s="98">
        <f t="shared" si="73"/>
        <v>0</v>
      </c>
      <c r="U758" s="99" t="str">
        <f>IFERROR(VLOOKUP($S758,References!$B$3:$C$8,2,FALSE),"")</f>
        <v/>
      </c>
      <c r="V758" s="99" t="str">
        <f t="shared" si="74"/>
        <v/>
      </c>
      <c r="W758" s="66" t="str">
        <f>IFERROR(VLOOKUP($O758,'Customer List'!$A$1:$J$488,10,FALSE),"")</f>
        <v/>
      </c>
    </row>
    <row r="759" spans="1:23">
      <c r="A759" s="95" t="str">
        <f t="shared" si="71"/>
        <v/>
      </c>
      <c r="O759" s="116"/>
      <c r="P759" s="96">
        <f t="shared" si="75"/>
        <v>0</v>
      </c>
      <c r="R759" s="97"/>
      <c r="T759" s="98">
        <f t="shared" si="73"/>
        <v>0</v>
      </c>
      <c r="U759" s="99" t="str">
        <f>IFERROR(VLOOKUP($S759,References!$B$3:$C$8,2,FALSE),"")</f>
        <v/>
      </c>
      <c r="V759" s="99" t="str">
        <f t="shared" si="74"/>
        <v/>
      </c>
      <c r="W759" s="66" t="str">
        <f>IFERROR(VLOOKUP($O759,'Customer List'!$A$1:$J$488,10,FALSE),"")</f>
        <v/>
      </c>
    </row>
    <row r="760" spans="1:23">
      <c r="A760" s="95" t="str">
        <f t="shared" si="71"/>
        <v/>
      </c>
      <c r="O760" s="116"/>
      <c r="P760" s="96">
        <f t="shared" si="75"/>
        <v>0</v>
      </c>
      <c r="R760" s="97"/>
      <c r="T760" s="98">
        <f t="shared" si="73"/>
        <v>0</v>
      </c>
      <c r="U760" s="99" t="str">
        <f>IFERROR(VLOOKUP($S760,References!$B$3:$C$8,2,FALSE),"")</f>
        <v/>
      </c>
      <c r="V760" s="99" t="str">
        <f t="shared" si="74"/>
        <v/>
      </c>
      <c r="W760" s="66" t="str">
        <f>IFERROR(VLOOKUP($O760,'Customer List'!$A$1:$J$488,10,FALSE),"")</f>
        <v/>
      </c>
    </row>
    <row r="761" spans="1:23">
      <c r="A761" s="95" t="str">
        <f t="shared" si="71"/>
        <v/>
      </c>
      <c r="O761" s="116"/>
      <c r="P761" s="96">
        <f t="shared" si="75"/>
        <v>0</v>
      </c>
      <c r="R761" s="97"/>
      <c r="T761" s="98">
        <f t="shared" si="73"/>
        <v>0</v>
      </c>
      <c r="U761" s="99" t="str">
        <f>IFERROR(VLOOKUP($S761,References!$B$3:$C$8,2,FALSE),"")</f>
        <v/>
      </c>
      <c r="V761" s="99" t="str">
        <f t="shared" si="74"/>
        <v/>
      </c>
      <c r="W761" s="66" t="str">
        <f>IFERROR(VLOOKUP($O761,'Customer List'!$A$1:$J$488,10,FALSE),"")</f>
        <v/>
      </c>
    </row>
    <row r="762" spans="1:23">
      <c r="A762" s="95" t="str">
        <f t="shared" si="71"/>
        <v/>
      </c>
      <c r="O762" s="116"/>
      <c r="P762" s="96">
        <f t="shared" si="75"/>
        <v>0</v>
      </c>
      <c r="R762" s="97"/>
      <c r="T762" s="98">
        <f t="shared" si="73"/>
        <v>0</v>
      </c>
      <c r="U762" s="99" t="str">
        <f>IFERROR(VLOOKUP($S762,References!$B$3:$C$8,2,FALSE),"")</f>
        <v/>
      </c>
      <c r="V762" s="99" t="str">
        <f t="shared" si="74"/>
        <v/>
      </c>
      <c r="W762" s="66" t="str">
        <f>IFERROR(VLOOKUP($O762,'Customer List'!$A$1:$J$488,10,FALSE),"")</f>
        <v/>
      </c>
    </row>
    <row r="763" spans="1:23">
      <c r="A763" s="95" t="str">
        <f t="shared" si="71"/>
        <v/>
      </c>
      <c r="O763" s="116"/>
      <c r="P763" s="96">
        <f t="shared" si="75"/>
        <v>0</v>
      </c>
      <c r="R763" s="97"/>
      <c r="T763" s="98">
        <f t="shared" si="73"/>
        <v>0</v>
      </c>
      <c r="U763" s="99" t="str">
        <f>IFERROR(VLOOKUP($S763,References!$B$3:$C$8,2,FALSE),"")</f>
        <v/>
      </c>
      <c r="V763" s="99" t="str">
        <f t="shared" si="74"/>
        <v/>
      </c>
      <c r="W763" s="66" t="str">
        <f>IFERROR(VLOOKUP($O763,'Customer List'!$A$1:$J$488,10,FALSE),"")</f>
        <v/>
      </c>
    </row>
    <row r="764" spans="1:23">
      <c r="A764" s="95" t="str">
        <f t="shared" si="71"/>
        <v/>
      </c>
      <c r="O764" s="116"/>
      <c r="P764" s="96">
        <f t="shared" si="75"/>
        <v>0</v>
      </c>
      <c r="R764" s="97"/>
      <c r="T764" s="98">
        <f t="shared" si="73"/>
        <v>0</v>
      </c>
      <c r="U764" s="99" t="str">
        <f>IFERROR(VLOOKUP($S764,References!$B$3:$C$8,2,FALSE),"")</f>
        <v/>
      </c>
      <c r="V764" s="99" t="str">
        <f t="shared" si="74"/>
        <v/>
      </c>
      <c r="W764" s="66" t="str">
        <f>IFERROR(VLOOKUP($O764,'Customer List'!$A$1:$J$488,10,FALSE),"")</f>
        <v/>
      </c>
    </row>
    <row r="765" spans="1:23">
      <c r="A765" s="95" t="str">
        <f t="shared" si="71"/>
        <v/>
      </c>
      <c r="O765" s="116"/>
      <c r="P765" s="96">
        <f t="shared" si="75"/>
        <v>0</v>
      </c>
      <c r="R765" s="97"/>
      <c r="T765" s="98">
        <f t="shared" si="73"/>
        <v>0</v>
      </c>
      <c r="U765" s="99" t="str">
        <f>IFERROR(VLOOKUP($S765,References!$B$3:$C$8,2,FALSE),"")</f>
        <v/>
      </c>
      <c r="V765" s="99" t="str">
        <f t="shared" si="74"/>
        <v/>
      </c>
      <c r="W765" s="66" t="str">
        <f>IFERROR(VLOOKUP($O765,'Customer List'!$A$1:$J$488,10,FALSE),"")</f>
        <v/>
      </c>
    </row>
    <row r="766" spans="1:23">
      <c r="A766" s="95" t="str">
        <f t="shared" si="71"/>
        <v/>
      </c>
      <c r="O766" s="116"/>
      <c r="P766" s="96">
        <f t="shared" si="75"/>
        <v>0</v>
      </c>
      <c r="R766" s="97"/>
      <c r="T766" s="98">
        <f t="shared" si="73"/>
        <v>0</v>
      </c>
      <c r="U766" s="99" t="str">
        <f>IFERROR(VLOOKUP($S766,References!$B$3:$C$8,2,FALSE),"")</f>
        <v/>
      </c>
      <c r="V766" s="99" t="str">
        <f t="shared" si="74"/>
        <v/>
      </c>
      <c r="W766" s="66" t="str">
        <f>IFERROR(VLOOKUP($O766,'Customer List'!$A$1:$J$488,10,FALSE),"")</f>
        <v/>
      </c>
    </row>
    <row r="767" spans="1:23">
      <c r="A767" s="95" t="str">
        <f t="shared" si="71"/>
        <v/>
      </c>
      <c r="O767" s="116"/>
      <c r="P767" s="96">
        <f t="shared" si="75"/>
        <v>0</v>
      </c>
      <c r="R767" s="97"/>
      <c r="T767" s="98">
        <f t="shared" si="73"/>
        <v>0</v>
      </c>
      <c r="U767" s="99" t="str">
        <f>IFERROR(VLOOKUP($S767,References!$B$3:$C$8,2,FALSE),"")</f>
        <v/>
      </c>
      <c r="V767" s="99" t="str">
        <f t="shared" si="74"/>
        <v/>
      </c>
      <c r="W767" s="66" t="str">
        <f>IFERROR(VLOOKUP($O767,'Customer List'!$A$1:$J$488,10,FALSE),"")</f>
        <v/>
      </c>
    </row>
    <row r="768" spans="1:23">
      <c r="A768" s="95" t="str">
        <f t="shared" si="71"/>
        <v/>
      </c>
      <c r="O768" s="116"/>
      <c r="P768" s="96">
        <f t="shared" si="75"/>
        <v>0</v>
      </c>
      <c r="R768" s="97"/>
      <c r="T768" s="98">
        <f t="shared" si="73"/>
        <v>0</v>
      </c>
      <c r="U768" s="99" t="str">
        <f>IFERROR(VLOOKUP($S768,References!$B$3:$C$8,2,FALSE),"")</f>
        <v/>
      </c>
      <c r="V768" s="99" t="str">
        <f t="shared" si="74"/>
        <v/>
      </c>
      <c r="W768" s="66" t="str">
        <f>IFERROR(VLOOKUP($O768,'Customer List'!$A$1:$J$488,10,FALSE),"")</f>
        <v/>
      </c>
    </row>
    <row r="769" spans="1:23">
      <c r="A769" s="95" t="str">
        <f t="shared" si="71"/>
        <v/>
      </c>
      <c r="O769" s="116"/>
      <c r="P769" s="96">
        <f t="shared" si="75"/>
        <v>0</v>
      </c>
      <c r="R769" s="97"/>
      <c r="T769" s="98">
        <f t="shared" si="73"/>
        <v>0</v>
      </c>
      <c r="U769" s="99" t="str">
        <f>IFERROR(VLOOKUP($S769,References!$B$3:$C$8,2,FALSE),"")</f>
        <v/>
      </c>
      <c r="V769" s="99" t="str">
        <f t="shared" si="74"/>
        <v/>
      </c>
      <c r="W769" s="66" t="str">
        <f>IFERROR(VLOOKUP($O769,'Customer List'!$A$1:$J$488,10,FALSE),"")</f>
        <v/>
      </c>
    </row>
    <row r="770" spans="1:23">
      <c r="A770" s="95" t="str">
        <f t="shared" si="71"/>
        <v/>
      </c>
      <c r="O770" s="116"/>
      <c r="P770" s="96">
        <f t="shared" si="75"/>
        <v>0</v>
      </c>
      <c r="R770" s="97"/>
      <c r="T770" s="98">
        <f t="shared" si="73"/>
        <v>0</v>
      </c>
      <c r="U770" s="99" t="str">
        <f>IFERROR(VLOOKUP($S770,References!$B$3:$C$8,2,FALSE),"")</f>
        <v/>
      </c>
      <c r="V770" s="99" t="str">
        <f t="shared" si="74"/>
        <v/>
      </c>
      <c r="W770" s="66" t="str">
        <f>IFERROR(VLOOKUP($O770,'Customer List'!$A$1:$J$488,10,FALSE),"")</f>
        <v/>
      </c>
    </row>
    <row r="771" spans="1:23">
      <c r="A771" s="95" t="str">
        <f t="shared" si="71"/>
        <v/>
      </c>
      <c r="O771" s="116"/>
      <c r="P771" s="96">
        <f t="shared" si="75"/>
        <v>0</v>
      </c>
      <c r="R771" s="97"/>
      <c r="T771" s="98">
        <f t="shared" si="73"/>
        <v>0</v>
      </c>
      <c r="U771" s="99" t="str">
        <f>IFERROR(VLOOKUP($S771,References!$B$3:$C$8,2,FALSE),"")</f>
        <v/>
      </c>
      <c r="V771" s="99" t="str">
        <f t="shared" si="74"/>
        <v/>
      </c>
      <c r="W771" s="66" t="str">
        <f>IFERROR(VLOOKUP($O771,'Customer List'!$A$1:$J$488,10,FALSE),"")</f>
        <v/>
      </c>
    </row>
    <row r="772" spans="1:23">
      <c r="A772" s="95" t="str">
        <f t="shared" si="71"/>
        <v/>
      </c>
      <c r="O772" s="116"/>
      <c r="P772" s="96">
        <f t="shared" si="75"/>
        <v>0</v>
      </c>
      <c r="R772" s="97"/>
      <c r="T772" s="98">
        <f t="shared" si="73"/>
        <v>0</v>
      </c>
      <c r="U772" s="99" t="str">
        <f>IFERROR(VLOOKUP($S772,References!$B$3:$C$8,2,FALSE),"")</f>
        <v/>
      </c>
      <c r="V772" s="99" t="str">
        <f t="shared" si="74"/>
        <v/>
      </c>
      <c r="W772" s="66" t="str">
        <f>IFERROR(VLOOKUP($O772,'Customer List'!$A$1:$J$488,10,FALSE),"")</f>
        <v/>
      </c>
    </row>
    <row r="773" spans="1:23">
      <c r="A773" s="95" t="str">
        <f t="shared" si="71"/>
        <v/>
      </c>
      <c r="O773" s="116"/>
      <c r="P773" s="96">
        <f t="shared" si="75"/>
        <v>0</v>
      </c>
      <c r="R773" s="97"/>
      <c r="T773" s="98">
        <f t="shared" si="73"/>
        <v>0</v>
      </c>
      <c r="U773" s="99" t="str">
        <f>IFERROR(VLOOKUP($S773,References!$B$3:$C$8,2,FALSE),"")</f>
        <v/>
      </c>
      <c r="V773" s="99" t="str">
        <f t="shared" si="74"/>
        <v/>
      </c>
      <c r="W773" s="66" t="str">
        <f>IFERROR(VLOOKUP($O773,'Customer List'!$A$1:$J$488,10,FALSE),"")</f>
        <v/>
      </c>
    </row>
    <row r="774" spans="1:23">
      <c r="A774" s="95" t="str">
        <f t="shared" si="71"/>
        <v/>
      </c>
      <c r="O774" s="116"/>
      <c r="P774" s="96">
        <f t="shared" si="75"/>
        <v>0</v>
      </c>
      <c r="R774" s="97"/>
      <c r="T774" s="98">
        <f t="shared" si="73"/>
        <v>0</v>
      </c>
      <c r="U774" s="99" t="str">
        <f>IFERROR(VLOOKUP($S774,References!$B$3:$C$8,2,FALSE),"")</f>
        <v/>
      </c>
      <c r="V774" s="99" t="str">
        <f t="shared" si="74"/>
        <v/>
      </c>
      <c r="W774" s="66" t="str">
        <f>IFERROR(VLOOKUP($O774,'Customer List'!$A$1:$J$488,10,FALSE),"")</f>
        <v/>
      </c>
    </row>
    <row r="775" spans="1:23">
      <c r="A775" s="95" t="str">
        <f t="shared" si="71"/>
        <v/>
      </c>
      <c r="O775" s="116"/>
      <c r="P775" s="96">
        <f t="shared" si="75"/>
        <v>0</v>
      </c>
      <c r="R775" s="97"/>
      <c r="T775" s="98">
        <f t="shared" si="73"/>
        <v>0</v>
      </c>
      <c r="U775" s="99" t="str">
        <f>IFERROR(VLOOKUP($S775,References!$B$3:$C$8,2,FALSE),"")</f>
        <v/>
      </c>
      <c r="V775" s="99" t="str">
        <f t="shared" si="74"/>
        <v/>
      </c>
      <c r="W775" s="66" t="str">
        <f>IFERROR(VLOOKUP($O775,'Customer List'!$A$1:$J$488,10,FALSE),"")</f>
        <v/>
      </c>
    </row>
    <row r="776" spans="1:23">
      <c r="A776" s="95" t="str">
        <f t="shared" si="71"/>
        <v/>
      </c>
      <c r="O776" s="116"/>
      <c r="P776" s="96">
        <f t="shared" si="75"/>
        <v>0</v>
      </c>
      <c r="R776" s="97"/>
      <c r="T776" s="98">
        <f t="shared" si="73"/>
        <v>0</v>
      </c>
      <c r="U776" s="99" t="str">
        <f>IFERROR(VLOOKUP($S776,References!$B$3:$C$8,2,FALSE),"")</f>
        <v/>
      </c>
      <c r="V776" s="99" t="str">
        <f t="shared" si="74"/>
        <v/>
      </c>
      <c r="W776" s="66" t="str">
        <f>IFERROR(VLOOKUP($O776,'Customer List'!$A$1:$J$488,10,FALSE),"")</f>
        <v/>
      </c>
    </row>
    <row r="777" spans="1:23">
      <c r="A777" s="95" t="str">
        <f t="shared" si="71"/>
        <v/>
      </c>
      <c r="O777" s="116"/>
      <c r="P777" s="96">
        <f t="shared" si="75"/>
        <v>0</v>
      </c>
      <c r="R777" s="97"/>
      <c r="T777" s="98">
        <f t="shared" si="73"/>
        <v>0</v>
      </c>
      <c r="U777" s="99" t="str">
        <f>IFERROR(VLOOKUP($S777,References!$B$3:$C$8,2,FALSE),"")</f>
        <v/>
      </c>
      <c r="V777" s="99" t="str">
        <f t="shared" si="74"/>
        <v/>
      </c>
      <c r="W777" s="66" t="str">
        <f>IFERROR(VLOOKUP($O777,'Customer List'!$A$1:$J$488,10,FALSE),"")</f>
        <v/>
      </c>
    </row>
    <row r="778" spans="1:23">
      <c r="A778" s="95" t="str">
        <f t="shared" si="71"/>
        <v/>
      </c>
      <c r="O778" s="116"/>
      <c r="P778" s="96">
        <f t="shared" si="75"/>
        <v>0</v>
      </c>
      <c r="R778" s="97"/>
      <c r="T778" s="98">
        <f t="shared" si="73"/>
        <v>0</v>
      </c>
      <c r="U778" s="99" t="str">
        <f>IFERROR(VLOOKUP($S778,References!$B$3:$C$8,2,FALSE),"")</f>
        <v/>
      </c>
      <c r="V778" s="99" t="str">
        <f t="shared" si="74"/>
        <v/>
      </c>
      <c r="W778" s="66" t="str">
        <f>IFERROR(VLOOKUP($O778,'Customer List'!$A$1:$J$488,10,FALSE),"")</f>
        <v/>
      </c>
    </row>
    <row r="779" spans="1:23">
      <c r="A779" s="95" t="str">
        <f t="shared" si="71"/>
        <v/>
      </c>
      <c r="O779" s="116"/>
      <c r="P779" s="96">
        <f t="shared" si="75"/>
        <v>0</v>
      </c>
      <c r="R779" s="97"/>
      <c r="T779" s="98">
        <f t="shared" si="73"/>
        <v>0</v>
      </c>
      <c r="U779" s="99" t="str">
        <f>IFERROR(VLOOKUP($S779,References!$B$3:$C$8,2,FALSE),"")</f>
        <v/>
      </c>
      <c r="V779" s="99" t="str">
        <f t="shared" si="74"/>
        <v/>
      </c>
      <c r="W779" s="66" t="str">
        <f>IFERROR(VLOOKUP($O779,'Customer List'!$A$1:$J$488,10,FALSE),"")</f>
        <v/>
      </c>
    </row>
    <row r="780" spans="1:23">
      <c r="A780" s="95" t="str">
        <f t="shared" si="71"/>
        <v/>
      </c>
      <c r="O780" s="116"/>
      <c r="P780" s="96">
        <f t="shared" si="75"/>
        <v>0</v>
      </c>
      <c r="R780" s="97"/>
      <c r="T780" s="98">
        <f t="shared" si="73"/>
        <v>0</v>
      </c>
      <c r="U780" s="99" t="str">
        <f>IFERROR(VLOOKUP($S780,References!$B$3:$C$8,2,FALSE),"")</f>
        <v/>
      </c>
      <c r="V780" s="99" t="str">
        <f t="shared" si="74"/>
        <v/>
      </c>
      <c r="W780" s="66" t="str">
        <f>IFERROR(VLOOKUP($O780,'Customer List'!$A$1:$J$488,10,FALSE),"")</f>
        <v/>
      </c>
    </row>
    <row r="781" spans="1:23">
      <c r="A781" s="95" t="str">
        <f t="shared" si="71"/>
        <v/>
      </c>
      <c r="O781" s="116"/>
      <c r="P781" s="96">
        <f t="shared" si="75"/>
        <v>0</v>
      </c>
      <c r="R781" s="97"/>
      <c r="T781" s="98">
        <f t="shared" si="73"/>
        <v>0</v>
      </c>
      <c r="U781" s="99" t="str">
        <f>IFERROR(VLOOKUP($S781,References!$B$3:$C$8,2,FALSE),"")</f>
        <v/>
      </c>
      <c r="V781" s="99" t="str">
        <f t="shared" si="74"/>
        <v/>
      </c>
      <c r="W781" s="66" t="str">
        <f>IFERROR(VLOOKUP($O781,'Customer List'!$A$1:$J$488,10,FALSE),"")</f>
        <v/>
      </c>
    </row>
    <row r="782" spans="1:23">
      <c r="A782" s="95" t="str">
        <f t="shared" si="71"/>
        <v/>
      </c>
      <c r="O782" s="116"/>
      <c r="P782" s="96">
        <f t="shared" si="75"/>
        <v>0</v>
      </c>
      <c r="R782" s="97"/>
      <c r="T782" s="98">
        <f t="shared" si="73"/>
        <v>0</v>
      </c>
      <c r="U782" s="99" t="str">
        <f>IFERROR(VLOOKUP($S782,References!$B$3:$C$8,2,FALSE),"")</f>
        <v/>
      </c>
      <c r="V782" s="99" t="str">
        <f t="shared" si="74"/>
        <v/>
      </c>
      <c r="W782" s="66" t="str">
        <f>IFERROR(VLOOKUP($O782,'Customer List'!$A$1:$J$488,10,FALSE),"")</f>
        <v/>
      </c>
    </row>
    <row r="783" spans="1:23">
      <c r="A783" s="95" t="str">
        <f t="shared" ref="A783:A846" si="76">O783&amp;S783</f>
        <v/>
      </c>
      <c r="O783" s="116"/>
      <c r="P783" s="96">
        <f t="shared" ref="P783:P847" si="77">INT(L783)</f>
        <v>0</v>
      </c>
      <c r="R783" s="97"/>
      <c r="T783" s="98">
        <f t="shared" si="73"/>
        <v>0</v>
      </c>
      <c r="U783" s="99" t="str">
        <f>IFERROR(VLOOKUP($S783,References!$B$3:$C$8,2,FALSE),"")</f>
        <v/>
      </c>
      <c r="V783" s="99" t="str">
        <f t="shared" si="74"/>
        <v/>
      </c>
      <c r="W783" s="66" t="str">
        <f>IFERROR(VLOOKUP($O783,'Customer List'!$A$1:$J$488,10,FALSE),"")</f>
        <v/>
      </c>
    </row>
    <row r="784" spans="1:23">
      <c r="A784" s="95" t="str">
        <f t="shared" si="76"/>
        <v/>
      </c>
      <c r="O784" s="116"/>
      <c r="P784" s="96">
        <f t="shared" si="77"/>
        <v>0</v>
      </c>
      <c r="R784" s="97"/>
      <c r="T784" s="98">
        <f t="shared" ref="T784:T847" si="78">IF(S784="50 - Cleaning Fee",1,HOUR($R784)+MINUTE(R784)/60)</f>
        <v>0</v>
      </c>
      <c r="U784" s="99" t="str">
        <f>IFERROR(VLOOKUP($S784,References!$B$3:$C$8,2,FALSE),"")</f>
        <v/>
      </c>
      <c r="V784" s="99" t="str">
        <f t="shared" ref="V784:V847" si="79">IF(T784&gt;=8,400,(IFERROR(T784*U784,"")))</f>
        <v/>
      </c>
      <c r="W784" s="66" t="str">
        <f>IFERROR(VLOOKUP($O784,'Customer List'!$A$1:$J$488,10,FALSE),"")</f>
        <v/>
      </c>
    </row>
    <row r="785" spans="1:23">
      <c r="A785" s="95" t="str">
        <f t="shared" si="76"/>
        <v/>
      </c>
      <c r="O785" s="116"/>
      <c r="P785" s="96">
        <f t="shared" si="77"/>
        <v>0</v>
      </c>
      <c r="R785" s="97"/>
      <c r="T785" s="98">
        <f t="shared" si="78"/>
        <v>0</v>
      </c>
      <c r="U785" s="99" t="str">
        <f>IFERROR(VLOOKUP($S785,References!$B$3:$C$8,2,FALSE),"")</f>
        <v/>
      </c>
      <c r="V785" s="99" t="str">
        <f t="shared" si="79"/>
        <v/>
      </c>
      <c r="W785" s="66" t="str">
        <f>IFERROR(VLOOKUP($O785,'Customer List'!$A$1:$J$488,10,FALSE),"")</f>
        <v/>
      </c>
    </row>
    <row r="786" spans="1:23">
      <c r="A786" s="95" t="str">
        <f t="shared" si="76"/>
        <v/>
      </c>
      <c r="O786" s="116"/>
      <c r="P786" s="96">
        <f t="shared" si="77"/>
        <v>0</v>
      </c>
      <c r="R786" s="97"/>
      <c r="T786" s="98">
        <f t="shared" si="78"/>
        <v>0</v>
      </c>
      <c r="U786" s="99" t="str">
        <f>IFERROR(VLOOKUP($S786,References!$B$3:$C$8,2,FALSE),"")</f>
        <v/>
      </c>
      <c r="V786" s="99" t="str">
        <f t="shared" si="79"/>
        <v/>
      </c>
      <c r="W786" s="66" t="str">
        <f>IFERROR(VLOOKUP($O786,'Customer List'!$A$1:$J$488,10,FALSE),"")</f>
        <v/>
      </c>
    </row>
    <row r="787" spans="1:23">
      <c r="A787" s="95" t="str">
        <f t="shared" si="76"/>
        <v/>
      </c>
      <c r="O787" s="116"/>
      <c r="P787" s="96">
        <f t="shared" si="77"/>
        <v>0</v>
      </c>
      <c r="R787" s="97"/>
      <c r="T787" s="98">
        <f t="shared" si="78"/>
        <v>0</v>
      </c>
      <c r="U787" s="99" t="str">
        <f>IFERROR(VLOOKUP($S787,References!$B$3:$C$8,2,FALSE),"")</f>
        <v/>
      </c>
      <c r="V787" s="99" t="str">
        <f t="shared" si="79"/>
        <v/>
      </c>
      <c r="W787" s="66" t="str">
        <f>IFERROR(VLOOKUP($O787,'Customer List'!$A$1:$J$488,10,FALSE),"")</f>
        <v/>
      </c>
    </row>
    <row r="788" spans="1:23">
      <c r="A788" s="95" t="str">
        <f t="shared" si="76"/>
        <v/>
      </c>
      <c r="O788" s="116"/>
      <c r="P788" s="96">
        <f t="shared" si="77"/>
        <v>0</v>
      </c>
      <c r="R788" s="97"/>
      <c r="T788" s="98">
        <f t="shared" si="78"/>
        <v>0</v>
      </c>
      <c r="U788" s="99" t="str">
        <f>IFERROR(VLOOKUP($S788,References!$B$3:$C$8,2,FALSE),"")</f>
        <v/>
      </c>
      <c r="V788" s="99" t="str">
        <f t="shared" si="79"/>
        <v/>
      </c>
      <c r="W788" s="66" t="str">
        <f>IFERROR(VLOOKUP($O788,'Customer List'!$A$1:$J$488,10,FALSE),"")</f>
        <v/>
      </c>
    </row>
    <row r="789" spans="1:23">
      <c r="A789" s="95" t="str">
        <f t="shared" si="76"/>
        <v/>
      </c>
      <c r="O789" s="116"/>
      <c r="P789" s="96">
        <f t="shared" si="77"/>
        <v>0</v>
      </c>
      <c r="R789" s="97"/>
      <c r="T789" s="98">
        <f t="shared" si="78"/>
        <v>0</v>
      </c>
      <c r="U789" s="99" t="str">
        <f>IFERROR(VLOOKUP($S789,References!$B$3:$C$8,2,FALSE),"")</f>
        <v/>
      </c>
      <c r="V789" s="99" t="str">
        <f t="shared" si="79"/>
        <v/>
      </c>
      <c r="W789" s="66" t="str">
        <f>IFERROR(VLOOKUP($O789,'Customer List'!$A$1:$J$488,10,FALSE),"")</f>
        <v/>
      </c>
    </row>
    <row r="790" spans="1:23">
      <c r="A790" s="95" t="str">
        <f t="shared" si="76"/>
        <v/>
      </c>
      <c r="O790" s="116"/>
      <c r="P790" s="96">
        <f t="shared" si="77"/>
        <v>0</v>
      </c>
      <c r="R790" s="97"/>
      <c r="T790" s="98">
        <f t="shared" si="78"/>
        <v>0</v>
      </c>
      <c r="U790" s="99" t="str">
        <f>IFERROR(VLOOKUP($S790,References!$B$3:$C$8,2,FALSE),"")</f>
        <v/>
      </c>
      <c r="V790" s="99" t="str">
        <f t="shared" si="79"/>
        <v/>
      </c>
      <c r="W790" s="66" t="str">
        <f>IFERROR(VLOOKUP($O790,'Customer List'!$A$1:$J$488,10,FALSE),"")</f>
        <v/>
      </c>
    </row>
    <row r="791" spans="1:23">
      <c r="A791" s="95" t="str">
        <f t="shared" si="76"/>
        <v/>
      </c>
      <c r="O791" s="116"/>
      <c r="P791" s="96">
        <f t="shared" si="77"/>
        <v>0</v>
      </c>
      <c r="R791" s="97"/>
      <c r="T791" s="98">
        <f t="shared" si="78"/>
        <v>0</v>
      </c>
      <c r="U791" s="99" t="str">
        <f>IFERROR(VLOOKUP($S791,References!$B$3:$C$8,2,FALSE),"")</f>
        <v/>
      </c>
      <c r="V791" s="99" t="str">
        <f t="shared" si="79"/>
        <v/>
      </c>
      <c r="W791" s="66" t="str">
        <f>IFERROR(VLOOKUP($O791,'Customer List'!$A$1:$J$488,10,FALSE),"")</f>
        <v/>
      </c>
    </row>
    <row r="792" spans="1:23">
      <c r="A792" s="95" t="str">
        <f t="shared" si="76"/>
        <v/>
      </c>
      <c r="O792" s="116"/>
      <c r="P792" s="96">
        <f t="shared" si="77"/>
        <v>0</v>
      </c>
      <c r="R792" s="97"/>
      <c r="T792" s="98">
        <f t="shared" si="78"/>
        <v>0</v>
      </c>
      <c r="U792" s="99" t="str">
        <f>IFERROR(VLOOKUP($S792,References!$B$3:$C$8,2,FALSE),"")</f>
        <v/>
      </c>
      <c r="V792" s="99" t="str">
        <f t="shared" si="79"/>
        <v/>
      </c>
      <c r="W792" s="66" t="str">
        <f>IFERROR(VLOOKUP($O792,'Customer List'!$A$1:$J$488,10,FALSE),"")</f>
        <v/>
      </c>
    </row>
    <row r="793" spans="1:23">
      <c r="A793" s="95" t="str">
        <f t="shared" si="76"/>
        <v/>
      </c>
      <c r="O793" s="116"/>
      <c r="P793" s="96">
        <f t="shared" si="77"/>
        <v>0</v>
      </c>
      <c r="R793" s="97"/>
      <c r="T793" s="98">
        <f t="shared" si="78"/>
        <v>0</v>
      </c>
      <c r="U793" s="99" t="str">
        <f>IFERROR(VLOOKUP($S793,References!$B$3:$C$8,2,FALSE),"")</f>
        <v/>
      </c>
      <c r="V793" s="99" t="str">
        <f t="shared" si="79"/>
        <v/>
      </c>
      <c r="W793" s="66" t="str">
        <f>IFERROR(VLOOKUP($O793,'Customer List'!$A$1:$J$488,10,FALSE),"")</f>
        <v/>
      </c>
    </row>
    <row r="794" spans="1:23">
      <c r="A794" s="95" t="str">
        <f t="shared" si="76"/>
        <v/>
      </c>
      <c r="O794" s="116"/>
      <c r="P794" s="96">
        <f t="shared" si="77"/>
        <v>0</v>
      </c>
      <c r="R794" s="97"/>
      <c r="T794" s="98">
        <f t="shared" si="78"/>
        <v>0</v>
      </c>
      <c r="U794" s="99" t="str">
        <f>IFERROR(VLOOKUP($S794,References!$B$3:$C$8,2,FALSE),"")</f>
        <v/>
      </c>
      <c r="V794" s="99" t="str">
        <f t="shared" si="79"/>
        <v/>
      </c>
      <c r="W794" s="66" t="str">
        <f>IFERROR(VLOOKUP($O794,'Customer List'!$A$1:$J$488,10,FALSE),"")</f>
        <v/>
      </c>
    </row>
    <row r="795" spans="1:23">
      <c r="A795" s="95" t="str">
        <f t="shared" si="76"/>
        <v/>
      </c>
      <c r="O795" s="116"/>
      <c r="P795" s="96">
        <f t="shared" si="77"/>
        <v>0</v>
      </c>
      <c r="R795" s="97"/>
      <c r="T795" s="98">
        <f t="shared" si="78"/>
        <v>0</v>
      </c>
      <c r="U795" s="99" t="str">
        <f>IFERROR(VLOOKUP($S795,References!$B$3:$C$8,2,FALSE),"")</f>
        <v/>
      </c>
      <c r="V795" s="99" t="str">
        <f t="shared" si="79"/>
        <v/>
      </c>
      <c r="W795" s="66" t="str">
        <f>IFERROR(VLOOKUP($O795,'Customer List'!$A$1:$J$488,10,FALSE),"")</f>
        <v/>
      </c>
    </row>
    <row r="796" spans="1:23">
      <c r="A796" s="95" t="str">
        <f t="shared" si="76"/>
        <v/>
      </c>
      <c r="O796" s="116"/>
      <c r="P796" s="96">
        <f t="shared" si="77"/>
        <v>0</v>
      </c>
      <c r="R796" s="97"/>
      <c r="T796" s="98">
        <f t="shared" si="78"/>
        <v>0</v>
      </c>
      <c r="U796" s="99" t="str">
        <f>IFERROR(VLOOKUP($S796,References!$B$3:$C$8,2,FALSE),"")</f>
        <v/>
      </c>
      <c r="V796" s="99" t="str">
        <f t="shared" si="79"/>
        <v/>
      </c>
      <c r="W796" s="66" t="str">
        <f>IFERROR(VLOOKUP($O796,'Customer List'!$A$1:$J$488,10,FALSE),"")</f>
        <v/>
      </c>
    </row>
    <row r="797" spans="1:23">
      <c r="A797" s="95" t="str">
        <f t="shared" si="76"/>
        <v/>
      </c>
      <c r="O797" s="116"/>
      <c r="P797" s="96">
        <f t="shared" si="77"/>
        <v>0</v>
      </c>
      <c r="R797" s="97"/>
      <c r="T797" s="98">
        <f t="shared" si="78"/>
        <v>0</v>
      </c>
      <c r="U797" s="99" t="str">
        <f>IFERROR(VLOOKUP($S797,References!$B$3:$C$8,2,FALSE),"")</f>
        <v/>
      </c>
      <c r="V797" s="99" t="str">
        <f t="shared" si="79"/>
        <v/>
      </c>
      <c r="W797" s="66" t="str">
        <f>IFERROR(VLOOKUP($O797,'Customer List'!$A$1:$J$488,10,FALSE),"")</f>
        <v/>
      </c>
    </row>
    <row r="798" spans="1:23">
      <c r="A798" s="95" t="str">
        <f t="shared" si="76"/>
        <v/>
      </c>
      <c r="O798" s="116"/>
      <c r="P798" s="96">
        <f t="shared" si="77"/>
        <v>0</v>
      </c>
      <c r="R798" s="97"/>
      <c r="T798" s="98">
        <f t="shared" si="78"/>
        <v>0</v>
      </c>
      <c r="U798" s="99" t="str">
        <f>IFERROR(VLOOKUP($S798,References!$B$3:$C$8,2,FALSE),"")</f>
        <v/>
      </c>
      <c r="V798" s="99" t="str">
        <f t="shared" si="79"/>
        <v/>
      </c>
      <c r="W798" s="66" t="str">
        <f>IFERROR(VLOOKUP($O798,'Customer List'!$A$1:$J$488,10,FALSE),"")</f>
        <v/>
      </c>
    </row>
    <row r="799" spans="1:23">
      <c r="A799" s="95" t="str">
        <f t="shared" si="76"/>
        <v/>
      </c>
      <c r="O799" s="116"/>
      <c r="P799" s="96">
        <f t="shared" si="77"/>
        <v>0</v>
      </c>
      <c r="R799" s="97"/>
      <c r="T799" s="98">
        <f t="shared" si="78"/>
        <v>0</v>
      </c>
      <c r="U799" s="99" t="str">
        <f>IFERROR(VLOOKUP($S799,References!$B$3:$C$8,2,FALSE),"")</f>
        <v/>
      </c>
      <c r="V799" s="99" t="str">
        <f t="shared" si="79"/>
        <v/>
      </c>
      <c r="W799" s="66" t="str">
        <f>IFERROR(VLOOKUP($O799,'Customer List'!$A$1:$J$488,10,FALSE),"")</f>
        <v/>
      </c>
    </row>
    <row r="800" spans="1:23">
      <c r="A800" s="95" t="str">
        <f t="shared" si="76"/>
        <v/>
      </c>
      <c r="O800" s="116"/>
      <c r="P800" s="96">
        <f t="shared" si="77"/>
        <v>0</v>
      </c>
      <c r="R800" s="97"/>
      <c r="T800" s="98">
        <f t="shared" si="78"/>
        <v>0</v>
      </c>
      <c r="U800" s="99" t="str">
        <f>IFERROR(VLOOKUP($S800,References!$B$3:$C$8,2,FALSE),"")</f>
        <v/>
      </c>
      <c r="V800" s="99" t="str">
        <f t="shared" si="79"/>
        <v/>
      </c>
      <c r="W800" s="66" t="str">
        <f>IFERROR(VLOOKUP($O800,'Customer List'!$A$1:$J$488,10,FALSE),"")</f>
        <v/>
      </c>
    </row>
    <row r="801" spans="1:23">
      <c r="A801" s="95" t="str">
        <f t="shared" si="76"/>
        <v/>
      </c>
      <c r="O801" s="116"/>
      <c r="P801" s="96">
        <f t="shared" si="77"/>
        <v>0</v>
      </c>
      <c r="R801" s="97"/>
      <c r="T801" s="98">
        <f t="shared" si="78"/>
        <v>0</v>
      </c>
      <c r="U801" s="99" t="str">
        <f>IFERROR(VLOOKUP($S801,References!$B$3:$C$8,2,FALSE),"")</f>
        <v/>
      </c>
      <c r="V801" s="99" t="str">
        <f t="shared" si="79"/>
        <v/>
      </c>
      <c r="W801" s="66" t="str">
        <f>IFERROR(VLOOKUP($O801,'Customer List'!$A$1:$J$488,10,FALSE),"")</f>
        <v/>
      </c>
    </row>
    <row r="802" spans="1:23">
      <c r="A802" s="95" t="str">
        <f t="shared" si="76"/>
        <v/>
      </c>
      <c r="O802" s="116"/>
      <c r="P802" s="96">
        <f t="shared" si="77"/>
        <v>0</v>
      </c>
      <c r="R802" s="97"/>
      <c r="T802" s="98">
        <f t="shared" si="78"/>
        <v>0</v>
      </c>
      <c r="U802" s="99" t="str">
        <f>IFERROR(VLOOKUP($S802,References!$B$3:$C$8,2,FALSE),"")</f>
        <v/>
      </c>
      <c r="V802" s="99" t="str">
        <f t="shared" si="79"/>
        <v/>
      </c>
      <c r="W802" s="66" t="str">
        <f>IFERROR(VLOOKUP($O802,'Customer List'!$A$1:$J$488,10,FALSE),"")</f>
        <v/>
      </c>
    </row>
    <row r="803" spans="1:23">
      <c r="A803" s="95" t="str">
        <f t="shared" si="76"/>
        <v/>
      </c>
      <c r="O803" s="116"/>
      <c r="P803" s="96">
        <f t="shared" si="77"/>
        <v>0</v>
      </c>
      <c r="R803" s="97"/>
      <c r="T803" s="98">
        <f t="shared" si="78"/>
        <v>0</v>
      </c>
      <c r="U803" s="99" t="str">
        <f>IFERROR(VLOOKUP($S803,References!$B$3:$C$8,2,FALSE),"")</f>
        <v/>
      </c>
      <c r="V803" s="99" t="str">
        <f t="shared" si="79"/>
        <v/>
      </c>
      <c r="W803" s="66" t="str">
        <f>IFERROR(VLOOKUP($O803,'Customer List'!$A$1:$J$488,10,FALSE),"")</f>
        <v/>
      </c>
    </row>
    <row r="804" spans="1:23">
      <c r="A804" s="95" t="str">
        <f t="shared" si="76"/>
        <v/>
      </c>
      <c r="O804" s="116"/>
      <c r="P804" s="96">
        <f t="shared" si="77"/>
        <v>0</v>
      </c>
      <c r="R804" s="97"/>
      <c r="T804" s="98">
        <f t="shared" si="78"/>
        <v>0</v>
      </c>
      <c r="U804" s="99" t="str">
        <f>IFERROR(VLOOKUP($S804,References!$B$3:$C$8,2,FALSE),"")</f>
        <v/>
      </c>
      <c r="V804" s="99" t="str">
        <f t="shared" si="79"/>
        <v/>
      </c>
      <c r="W804" s="66" t="str">
        <f>IFERROR(VLOOKUP($O804,'Customer List'!$A$1:$J$488,10,FALSE),"")</f>
        <v/>
      </c>
    </row>
    <row r="805" spans="1:23">
      <c r="A805" s="95" t="str">
        <f t="shared" si="76"/>
        <v/>
      </c>
      <c r="O805" s="116"/>
      <c r="P805" s="96">
        <f t="shared" si="77"/>
        <v>0</v>
      </c>
      <c r="R805" s="97"/>
      <c r="T805" s="98">
        <f t="shared" si="78"/>
        <v>0</v>
      </c>
      <c r="U805" s="99" t="str">
        <f>IFERROR(VLOOKUP($S805,References!$B$3:$C$8,2,FALSE),"")</f>
        <v/>
      </c>
      <c r="V805" s="99" t="str">
        <f t="shared" si="79"/>
        <v/>
      </c>
      <c r="W805" s="66" t="str">
        <f>IFERROR(VLOOKUP($O805,'Customer List'!$A$1:$J$488,10,FALSE),"")</f>
        <v/>
      </c>
    </row>
    <row r="806" spans="1:23">
      <c r="A806" s="95" t="str">
        <f t="shared" si="76"/>
        <v/>
      </c>
      <c r="O806" s="116"/>
      <c r="P806" s="96">
        <f t="shared" si="77"/>
        <v>0</v>
      </c>
      <c r="R806" s="97"/>
      <c r="T806" s="98">
        <f t="shared" si="78"/>
        <v>0</v>
      </c>
      <c r="U806" s="99" t="str">
        <f>IFERROR(VLOOKUP($S806,References!$B$3:$C$8,2,FALSE),"")</f>
        <v/>
      </c>
      <c r="V806" s="99" t="str">
        <f t="shared" si="79"/>
        <v/>
      </c>
      <c r="W806" s="66" t="str">
        <f>IFERROR(VLOOKUP($O806,'Customer List'!$A$1:$J$488,10,FALSE),"")</f>
        <v/>
      </c>
    </row>
    <row r="807" spans="1:23">
      <c r="A807" s="95" t="str">
        <f t="shared" si="76"/>
        <v/>
      </c>
      <c r="O807" s="116"/>
      <c r="P807" s="96">
        <f t="shared" si="77"/>
        <v>0</v>
      </c>
      <c r="R807" s="97"/>
      <c r="T807" s="98">
        <f t="shared" si="78"/>
        <v>0</v>
      </c>
      <c r="U807" s="99" t="str">
        <f>IFERROR(VLOOKUP($S807,References!$B$3:$C$8,2,FALSE),"")</f>
        <v/>
      </c>
      <c r="V807" s="99" t="str">
        <f t="shared" si="79"/>
        <v/>
      </c>
      <c r="W807" s="66" t="str">
        <f>IFERROR(VLOOKUP($O807,'Customer List'!$A$1:$J$488,10,FALSE),"")</f>
        <v/>
      </c>
    </row>
    <row r="808" spans="1:23">
      <c r="A808" s="95" t="str">
        <f t="shared" si="76"/>
        <v/>
      </c>
      <c r="O808" s="116"/>
      <c r="P808" s="96">
        <f t="shared" si="77"/>
        <v>0</v>
      </c>
      <c r="R808" s="97"/>
      <c r="T808" s="98">
        <f t="shared" si="78"/>
        <v>0</v>
      </c>
      <c r="U808" s="99" t="str">
        <f>IFERROR(VLOOKUP($S808,References!$B$3:$C$8,2,FALSE),"")</f>
        <v/>
      </c>
      <c r="V808" s="99" t="str">
        <f t="shared" si="79"/>
        <v/>
      </c>
      <c r="W808" s="66" t="str">
        <f>IFERROR(VLOOKUP($O808,'Customer List'!$A$1:$J$488,10,FALSE),"")</f>
        <v/>
      </c>
    </row>
    <row r="809" spans="1:23">
      <c r="A809" s="95" t="str">
        <f t="shared" si="76"/>
        <v/>
      </c>
      <c r="O809" s="116"/>
      <c r="P809" s="96">
        <f t="shared" si="77"/>
        <v>0</v>
      </c>
      <c r="R809" s="97"/>
      <c r="T809" s="98">
        <f t="shared" si="78"/>
        <v>0</v>
      </c>
      <c r="U809" s="99" t="str">
        <f>IFERROR(VLOOKUP($S809,References!$B$3:$C$8,2,FALSE),"")</f>
        <v/>
      </c>
      <c r="V809" s="99" t="str">
        <f t="shared" si="79"/>
        <v/>
      </c>
      <c r="W809" s="66" t="str">
        <f>IFERROR(VLOOKUP($O809,'Customer List'!$A$1:$J$488,10,FALSE),"")</f>
        <v/>
      </c>
    </row>
    <row r="810" spans="1:23">
      <c r="A810" s="95" t="str">
        <f t="shared" si="76"/>
        <v/>
      </c>
      <c r="O810" s="116"/>
      <c r="P810" s="96">
        <f t="shared" si="77"/>
        <v>0</v>
      </c>
      <c r="R810" s="97"/>
      <c r="T810" s="98">
        <f t="shared" si="78"/>
        <v>0</v>
      </c>
      <c r="U810" s="99" t="str">
        <f>IFERROR(VLOOKUP($S810,References!$B$3:$C$8,2,FALSE),"")</f>
        <v/>
      </c>
      <c r="V810" s="99" t="str">
        <f t="shared" si="79"/>
        <v/>
      </c>
      <c r="W810" s="66" t="str">
        <f>IFERROR(VLOOKUP($O810,'Customer List'!$A$1:$J$488,10,FALSE),"")</f>
        <v/>
      </c>
    </row>
    <row r="811" spans="1:23">
      <c r="A811" s="95" t="str">
        <f t="shared" si="76"/>
        <v/>
      </c>
      <c r="O811" s="116"/>
      <c r="P811" s="96">
        <f t="shared" si="77"/>
        <v>0</v>
      </c>
      <c r="R811" s="97"/>
      <c r="T811" s="98">
        <f t="shared" si="78"/>
        <v>0</v>
      </c>
      <c r="U811" s="99" t="str">
        <f>IFERROR(VLOOKUP($S811,References!$B$3:$C$8,2,FALSE),"")</f>
        <v/>
      </c>
      <c r="V811" s="99" t="str">
        <f t="shared" si="79"/>
        <v/>
      </c>
      <c r="W811" s="66" t="str">
        <f>IFERROR(VLOOKUP($O811,'Customer List'!$A$1:$J$488,10,FALSE),"")</f>
        <v/>
      </c>
    </row>
    <row r="812" spans="1:23">
      <c r="A812" s="95" t="str">
        <f t="shared" si="76"/>
        <v/>
      </c>
      <c r="O812" s="116"/>
      <c r="P812" s="96">
        <f t="shared" si="77"/>
        <v>0</v>
      </c>
      <c r="R812" s="97"/>
      <c r="T812" s="98">
        <f t="shared" si="78"/>
        <v>0</v>
      </c>
      <c r="U812" s="99" t="str">
        <f>IFERROR(VLOOKUP($S812,References!$B$3:$C$8,2,FALSE),"")</f>
        <v/>
      </c>
      <c r="V812" s="99" t="str">
        <f t="shared" si="79"/>
        <v/>
      </c>
      <c r="W812" s="66" t="str">
        <f>IFERROR(VLOOKUP($O812,'Customer List'!$A$1:$J$488,10,FALSE),"")</f>
        <v/>
      </c>
    </row>
    <row r="813" spans="1:23">
      <c r="A813" s="95" t="str">
        <f t="shared" si="76"/>
        <v/>
      </c>
      <c r="O813" s="116"/>
      <c r="P813" s="96">
        <f t="shared" si="77"/>
        <v>0</v>
      </c>
      <c r="R813" s="97"/>
      <c r="T813" s="98">
        <f t="shared" si="78"/>
        <v>0</v>
      </c>
      <c r="U813" s="99" t="str">
        <f>IFERROR(VLOOKUP($S813,References!$B$3:$C$8,2,FALSE),"")</f>
        <v/>
      </c>
      <c r="V813" s="99" t="str">
        <f t="shared" si="79"/>
        <v/>
      </c>
      <c r="W813" s="66" t="str">
        <f>IFERROR(VLOOKUP($O813,'Customer List'!$A$1:$J$488,10,FALSE),"")</f>
        <v/>
      </c>
    </row>
    <row r="814" spans="1:23">
      <c r="A814" s="95" t="str">
        <f t="shared" si="76"/>
        <v/>
      </c>
      <c r="O814" s="116"/>
      <c r="P814" s="96">
        <f t="shared" si="77"/>
        <v>0</v>
      </c>
      <c r="R814" s="97"/>
      <c r="T814" s="98">
        <f t="shared" si="78"/>
        <v>0</v>
      </c>
      <c r="U814" s="99" t="str">
        <f>IFERROR(VLOOKUP($S814,References!$B$3:$C$8,2,FALSE),"")</f>
        <v/>
      </c>
      <c r="V814" s="99" t="str">
        <f t="shared" si="79"/>
        <v/>
      </c>
      <c r="W814" s="66" t="str">
        <f>IFERROR(VLOOKUP($O814,'Customer List'!$A$1:$J$488,10,FALSE),"")</f>
        <v/>
      </c>
    </row>
    <row r="815" spans="1:23">
      <c r="A815" s="95" t="str">
        <f t="shared" si="76"/>
        <v/>
      </c>
      <c r="O815" s="116"/>
      <c r="P815" s="96">
        <f t="shared" si="77"/>
        <v>0</v>
      </c>
      <c r="R815" s="97"/>
      <c r="T815" s="98">
        <f t="shared" si="78"/>
        <v>0</v>
      </c>
      <c r="U815" s="99" t="str">
        <f>IFERROR(VLOOKUP($S815,References!$B$3:$C$8,2,FALSE),"")</f>
        <v/>
      </c>
      <c r="V815" s="99" t="str">
        <f t="shared" si="79"/>
        <v/>
      </c>
      <c r="W815" s="66" t="str">
        <f>IFERROR(VLOOKUP($O815,'Customer List'!$A$1:$J$488,10,FALSE),"")</f>
        <v/>
      </c>
    </row>
    <row r="816" spans="1:23">
      <c r="A816" s="95" t="str">
        <f t="shared" si="76"/>
        <v/>
      </c>
      <c r="O816" s="116"/>
      <c r="P816" s="96">
        <f t="shared" si="77"/>
        <v>0</v>
      </c>
      <c r="R816" s="97"/>
      <c r="T816" s="98">
        <f t="shared" si="78"/>
        <v>0</v>
      </c>
      <c r="U816" s="99" t="str">
        <f>IFERROR(VLOOKUP($S816,References!$B$3:$C$8,2,FALSE),"")</f>
        <v/>
      </c>
      <c r="V816" s="99" t="str">
        <f t="shared" si="79"/>
        <v/>
      </c>
      <c r="W816" s="66" t="str">
        <f>IFERROR(VLOOKUP($O816,'Customer List'!$A$1:$J$488,10,FALSE),"")</f>
        <v/>
      </c>
    </row>
    <row r="817" spans="1:23">
      <c r="A817" s="95" t="str">
        <f t="shared" si="76"/>
        <v/>
      </c>
      <c r="O817" s="116"/>
      <c r="P817" s="96">
        <f t="shared" si="77"/>
        <v>0</v>
      </c>
      <c r="R817" s="97"/>
      <c r="T817" s="98">
        <f t="shared" si="78"/>
        <v>0</v>
      </c>
      <c r="U817" s="99" t="str">
        <f>IFERROR(VLOOKUP($S817,References!$B$3:$C$8,2,FALSE),"")</f>
        <v/>
      </c>
      <c r="V817" s="99" t="str">
        <f t="shared" si="79"/>
        <v/>
      </c>
      <c r="W817" s="66" t="str">
        <f>IFERROR(VLOOKUP($O817,'Customer List'!$A$1:$J$488,10,FALSE),"")</f>
        <v/>
      </c>
    </row>
    <row r="818" spans="1:23">
      <c r="A818" s="95" t="str">
        <f t="shared" si="76"/>
        <v/>
      </c>
      <c r="O818" s="116"/>
      <c r="P818" s="96">
        <f t="shared" si="77"/>
        <v>0</v>
      </c>
      <c r="R818" s="97"/>
      <c r="T818" s="98">
        <f t="shared" si="78"/>
        <v>0</v>
      </c>
      <c r="U818" s="99" t="str">
        <f>IFERROR(VLOOKUP($S818,References!$B$3:$C$8,2,FALSE),"")</f>
        <v/>
      </c>
      <c r="V818" s="99" t="str">
        <f t="shared" si="79"/>
        <v/>
      </c>
      <c r="W818" s="66" t="str">
        <f>IFERROR(VLOOKUP($O818,'Customer List'!$A$1:$J$488,10,FALSE),"")</f>
        <v/>
      </c>
    </row>
    <row r="819" spans="1:23">
      <c r="A819" s="95" t="str">
        <f t="shared" si="76"/>
        <v/>
      </c>
      <c r="O819" s="116"/>
      <c r="P819" s="96">
        <f t="shared" si="77"/>
        <v>0</v>
      </c>
      <c r="R819" s="97"/>
      <c r="T819" s="98">
        <f t="shared" si="78"/>
        <v>0</v>
      </c>
      <c r="U819" s="99" t="str">
        <f>IFERROR(VLOOKUP($S819,References!$B$3:$C$8,2,FALSE),"")</f>
        <v/>
      </c>
      <c r="V819" s="99" t="str">
        <f t="shared" si="79"/>
        <v/>
      </c>
      <c r="W819" s="66" t="str">
        <f>IFERROR(VLOOKUP($O819,'Customer List'!$A$1:$J$488,10,FALSE),"")</f>
        <v/>
      </c>
    </row>
    <row r="820" spans="1:23">
      <c r="A820" s="95" t="str">
        <f t="shared" si="76"/>
        <v/>
      </c>
      <c r="O820" s="116"/>
      <c r="P820" s="96">
        <f t="shared" si="77"/>
        <v>0</v>
      </c>
      <c r="R820" s="97"/>
      <c r="T820" s="98">
        <f t="shared" si="78"/>
        <v>0</v>
      </c>
      <c r="U820" s="99" t="str">
        <f>IFERROR(VLOOKUP($S820,References!$B$3:$C$8,2,FALSE),"")</f>
        <v/>
      </c>
      <c r="V820" s="99" t="str">
        <f t="shared" si="79"/>
        <v/>
      </c>
      <c r="W820" s="66" t="str">
        <f>IFERROR(VLOOKUP($O820,'Customer List'!$A$1:$J$488,10,FALSE),"")</f>
        <v/>
      </c>
    </row>
    <row r="821" spans="1:23">
      <c r="A821" s="95" t="str">
        <f t="shared" si="76"/>
        <v/>
      </c>
      <c r="O821" s="116"/>
      <c r="P821" s="96">
        <f t="shared" si="77"/>
        <v>0</v>
      </c>
      <c r="R821" s="97"/>
      <c r="T821" s="98">
        <f t="shared" si="78"/>
        <v>0</v>
      </c>
      <c r="U821" s="99" t="str">
        <f>IFERROR(VLOOKUP($S821,References!$B$3:$C$8,2,FALSE),"")</f>
        <v/>
      </c>
      <c r="V821" s="99" t="str">
        <f t="shared" si="79"/>
        <v/>
      </c>
      <c r="W821" s="66" t="str">
        <f>IFERROR(VLOOKUP($O821,'Customer List'!$A$1:$J$488,10,FALSE),"")</f>
        <v/>
      </c>
    </row>
    <row r="822" spans="1:23">
      <c r="A822" s="95" t="str">
        <f t="shared" si="76"/>
        <v/>
      </c>
      <c r="O822" s="116"/>
      <c r="P822" s="96">
        <f t="shared" si="77"/>
        <v>0</v>
      </c>
      <c r="R822" s="97"/>
      <c r="T822" s="98">
        <f t="shared" si="78"/>
        <v>0</v>
      </c>
      <c r="U822" s="99" t="str">
        <f>IFERROR(VLOOKUP($S822,References!$B$3:$C$8,2,FALSE),"")</f>
        <v/>
      </c>
      <c r="V822" s="99" t="str">
        <f t="shared" si="79"/>
        <v/>
      </c>
      <c r="W822" s="66" t="str">
        <f>IFERROR(VLOOKUP($O822,'Customer List'!$A$1:$J$488,10,FALSE),"")</f>
        <v/>
      </c>
    </row>
    <row r="823" spans="1:23">
      <c r="A823" s="95" t="str">
        <f t="shared" si="76"/>
        <v/>
      </c>
      <c r="O823" s="116"/>
      <c r="P823" s="96">
        <f t="shared" si="77"/>
        <v>0</v>
      </c>
      <c r="R823" s="97"/>
      <c r="T823" s="98">
        <f t="shared" si="78"/>
        <v>0</v>
      </c>
      <c r="U823" s="99" t="str">
        <f>IFERROR(VLOOKUP($S823,References!$B$3:$C$8,2,FALSE),"")</f>
        <v/>
      </c>
      <c r="V823" s="99" t="str">
        <f t="shared" si="79"/>
        <v/>
      </c>
      <c r="W823" s="66" t="str">
        <f>IFERROR(VLOOKUP($O823,'Customer List'!$A$1:$J$488,10,FALSE),"")</f>
        <v/>
      </c>
    </row>
    <row r="824" spans="1:23">
      <c r="A824" s="95" t="str">
        <f t="shared" si="76"/>
        <v/>
      </c>
      <c r="O824" s="116"/>
      <c r="P824" s="96">
        <f t="shared" si="77"/>
        <v>0</v>
      </c>
      <c r="R824" s="97"/>
      <c r="T824" s="98">
        <f t="shared" si="78"/>
        <v>0</v>
      </c>
      <c r="U824" s="99" t="str">
        <f>IFERROR(VLOOKUP($S824,References!$B$3:$C$8,2,FALSE),"")</f>
        <v/>
      </c>
      <c r="V824" s="99" t="str">
        <f t="shared" si="79"/>
        <v/>
      </c>
      <c r="W824" s="66" t="str">
        <f>IFERROR(VLOOKUP($O824,'Customer List'!$A$1:$J$488,10,FALSE),"")</f>
        <v/>
      </c>
    </row>
    <row r="825" spans="1:23">
      <c r="A825" s="95" t="str">
        <f t="shared" si="76"/>
        <v/>
      </c>
      <c r="O825" s="116"/>
      <c r="P825" s="96">
        <f t="shared" si="77"/>
        <v>0</v>
      </c>
      <c r="R825" s="97"/>
      <c r="T825" s="98">
        <f t="shared" si="78"/>
        <v>0</v>
      </c>
      <c r="U825" s="99" t="str">
        <f>IFERROR(VLOOKUP($S825,References!$B$3:$C$8,2,FALSE),"")</f>
        <v/>
      </c>
      <c r="V825" s="99" t="str">
        <f t="shared" si="79"/>
        <v/>
      </c>
      <c r="W825" s="66" t="str">
        <f>IFERROR(VLOOKUP($O825,'Customer List'!$A$1:$J$488,10,FALSE),"")</f>
        <v/>
      </c>
    </row>
    <row r="826" spans="1:23">
      <c r="A826" s="95" t="str">
        <f t="shared" si="76"/>
        <v/>
      </c>
      <c r="O826" s="116"/>
      <c r="P826" s="96">
        <f t="shared" si="77"/>
        <v>0</v>
      </c>
      <c r="R826" s="97"/>
      <c r="T826" s="98">
        <f t="shared" si="78"/>
        <v>0</v>
      </c>
      <c r="U826" s="99" t="str">
        <f>IFERROR(VLOOKUP($S826,References!$B$3:$C$8,2,FALSE),"")</f>
        <v/>
      </c>
      <c r="V826" s="99" t="str">
        <f t="shared" si="79"/>
        <v/>
      </c>
      <c r="W826" s="66" t="str">
        <f>IFERROR(VLOOKUP($O826,'Customer List'!$A$1:$J$488,10,FALSE),"")</f>
        <v/>
      </c>
    </row>
    <row r="827" spans="1:23">
      <c r="A827" s="95" t="str">
        <f t="shared" si="76"/>
        <v/>
      </c>
      <c r="O827" s="116"/>
      <c r="P827" s="96">
        <f t="shared" si="77"/>
        <v>0</v>
      </c>
      <c r="R827" s="97"/>
      <c r="T827" s="98">
        <f t="shared" si="78"/>
        <v>0</v>
      </c>
      <c r="U827" s="99" t="str">
        <f>IFERROR(VLOOKUP($S827,References!$B$3:$C$8,2,FALSE),"")</f>
        <v/>
      </c>
      <c r="V827" s="99" t="str">
        <f t="shared" si="79"/>
        <v/>
      </c>
      <c r="W827" s="66" t="str">
        <f>IFERROR(VLOOKUP($O827,'Customer List'!$A$1:$J$488,10,FALSE),"")</f>
        <v/>
      </c>
    </row>
    <row r="828" spans="1:23">
      <c r="A828" s="95" t="str">
        <f t="shared" si="76"/>
        <v/>
      </c>
      <c r="O828" s="116"/>
      <c r="P828" s="96">
        <f t="shared" si="77"/>
        <v>0</v>
      </c>
      <c r="R828" s="97"/>
      <c r="T828" s="98">
        <f t="shared" si="78"/>
        <v>0</v>
      </c>
      <c r="U828" s="99" t="str">
        <f>IFERROR(VLOOKUP($S828,References!$B$3:$C$8,2,FALSE),"")</f>
        <v/>
      </c>
      <c r="V828" s="99" t="str">
        <f t="shared" si="79"/>
        <v/>
      </c>
      <c r="W828" s="66" t="str">
        <f>IFERROR(VLOOKUP($O828,'Customer List'!$A$1:$J$488,10,FALSE),"")</f>
        <v/>
      </c>
    </row>
    <row r="829" spans="1:23">
      <c r="A829" s="95" t="str">
        <f t="shared" si="76"/>
        <v/>
      </c>
      <c r="O829" s="116"/>
      <c r="P829" s="96">
        <f t="shared" si="77"/>
        <v>0</v>
      </c>
      <c r="R829" s="97"/>
      <c r="T829" s="98">
        <f t="shared" si="78"/>
        <v>0</v>
      </c>
      <c r="U829" s="99" t="str">
        <f>IFERROR(VLOOKUP($S829,References!$B$3:$C$8,2,FALSE),"")</f>
        <v/>
      </c>
      <c r="V829" s="99" t="str">
        <f t="shared" si="79"/>
        <v/>
      </c>
      <c r="W829" s="66" t="str">
        <f>IFERROR(VLOOKUP($O829,'Customer List'!$A$1:$J$488,10,FALSE),"")</f>
        <v/>
      </c>
    </row>
    <row r="830" spans="1:23">
      <c r="A830" s="95" t="str">
        <f t="shared" si="76"/>
        <v/>
      </c>
      <c r="O830" s="116"/>
      <c r="P830" s="96">
        <f t="shared" si="77"/>
        <v>0</v>
      </c>
      <c r="R830" s="97"/>
      <c r="T830" s="98">
        <f t="shared" si="78"/>
        <v>0</v>
      </c>
      <c r="U830" s="99" t="str">
        <f>IFERROR(VLOOKUP($S830,References!$B$3:$C$8,2,FALSE),"")</f>
        <v/>
      </c>
      <c r="V830" s="99" t="str">
        <f t="shared" si="79"/>
        <v/>
      </c>
      <c r="W830" s="66" t="str">
        <f>IFERROR(VLOOKUP($O830,'Customer List'!$A$1:$J$488,10,FALSE),"")</f>
        <v/>
      </c>
    </row>
    <row r="831" spans="1:23">
      <c r="A831" s="95" t="str">
        <f t="shared" si="76"/>
        <v/>
      </c>
      <c r="O831" s="116"/>
      <c r="P831" s="96">
        <f t="shared" si="77"/>
        <v>0</v>
      </c>
      <c r="R831" s="97"/>
      <c r="T831" s="98">
        <f t="shared" si="78"/>
        <v>0</v>
      </c>
      <c r="U831" s="99" t="str">
        <f>IFERROR(VLOOKUP($S831,References!$B$3:$C$8,2,FALSE),"")</f>
        <v/>
      </c>
      <c r="V831" s="99" t="str">
        <f t="shared" si="79"/>
        <v/>
      </c>
      <c r="W831" s="66" t="str">
        <f>IFERROR(VLOOKUP($O831,'Customer List'!$A$1:$J$488,10,FALSE),"")</f>
        <v/>
      </c>
    </row>
    <row r="832" spans="1:23">
      <c r="A832" s="95" t="str">
        <f t="shared" si="76"/>
        <v/>
      </c>
      <c r="O832" s="116"/>
      <c r="P832" s="96">
        <f t="shared" si="77"/>
        <v>0</v>
      </c>
      <c r="R832" s="97"/>
      <c r="T832" s="98">
        <f t="shared" si="78"/>
        <v>0</v>
      </c>
      <c r="U832" s="99" t="str">
        <f>IFERROR(VLOOKUP($S832,References!$B$3:$C$8,2,FALSE),"")</f>
        <v/>
      </c>
      <c r="V832" s="99" t="str">
        <f t="shared" si="79"/>
        <v/>
      </c>
      <c r="W832" s="66" t="str">
        <f>IFERROR(VLOOKUP($O832,'Customer List'!$A$1:$J$488,10,FALSE),"")</f>
        <v/>
      </c>
    </row>
    <row r="833" spans="1:23">
      <c r="A833" s="95" t="str">
        <f t="shared" si="76"/>
        <v/>
      </c>
      <c r="O833" s="116"/>
      <c r="P833" s="96">
        <f t="shared" si="77"/>
        <v>0</v>
      </c>
      <c r="R833" s="97"/>
      <c r="T833" s="98">
        <f t="shared" si="78"/>
        <v>0</v>
      </c>
      <c r="U833" s="99" t="str">
        <f>IFERROR(VLOOKUP($S833,References!$B$3:$C$8,2,FALSE),"")</f>
        <v/>
      </c>
      <c r="V833" s="99" t="str">
        <f t="shared" si="79"/>
        <v/>
      </c>
      <c r="W833" s="66" t="str">
        <f>IFERROR(VLOOKUP($O833,'Customer List'!$A$1:$J$488,10,FALSE),"")</f>
        <v/>
      </c>
    </row>
    <row r="834" spans="1:23">
      <c r="A834" s="95" t="str">
        <f t="shared" si="76"/>
        <v/>
      </c>
      <c r="O834" s="116"/>
      <c r="P834" s="96">
        <f t="shared" si="77"/>
        <v>0</v>
      </c>
      <c r="R834" s="97"/>
      <c r="T834" s="98">
        <f t="shared" si="78"/>
        <v>0</v>
      </c>
      <c r="U834" s="99" t="str">
        <f>IFERROR(VLOOKUP($S834,References!$B$3:$C$8,2,FALSE),"")</f>
        <v/>
      </c>
      <c r="V834" s="99" t="str">
        <f t="shared" si="79"/>
        <v/>
      </c>
      <c r="W834" s="66" t="str">
        <f>IFERROR(VLOOKUP($O834,'Customer List'!$A$1:$J$488,10,FALSE),"")</f>
        <v/>
      </c>
    </row>
    <row r="835" spans="1:23">
      <c r="A835" s="95" t="str">
        <f t="shared" si="76"/>
        <v/>
      </c>
      <c r="O835" s="116"/>
      <c r="P835" s="96">
        <f t="shared" si="77"/>
        <v>0</v>
      </c>
      <c r="R835" s="97"/>
      <c r="T835" s="98">
        <f t="shared" si="78"/>
        <v>0</v>
      </c>
      <c r="U835" s="99" t="str">
        <f>IFERROR(VLOOKUP($S835,References!$B$3:$C$8,2,FALSE),"")</f>
        <v/>
      </c>
      <c r="V835" s="99" t="str">
        <f t="shared" si="79"/>
        <v/>
      </c>
      <c r="W835" s="66" t="str">
        <f>IFERROR(VLOOKUP($O835,'Customer List'!$A$1:$J$488,10,FALSE),"")</f>
        <v/>
      </c>
    </row>
    <row r="836" spans="1:23">
      <c r="A836" s="95" t="str">
        <f t="shared" si="76"/>
        <v/>
      </c>
      <c r="O836" s="116"/>
      <c r="P836" s="96">
        <f t="shared" si="77"/>
        <v>0</v>
      </c>
      <c r="R836" s="97"/>
      <c r="T836" s="98">
        <f t="shared" si="78"/>
        <v>0</v>
      </c>
      <c r="U836" s="99" t="str">
        <f>IFERROR(VLOOKUP($S836,References!$B$3:$C$8,2,FALSE),"")</f>
        <v/>
      </c>
      <c r="V836" s="99" t="str">
        <f t="shared" si="79"/>
        <v/>
      </c>
      <c r="W836" s="66" t="str">
        <f>IFERROR(VLOOKUP($O836,'Customer List'!$A$1:$J$488,10,FALSE),"")</f>
        <v/>
      </c>
    </row>
    <row r="837" spans="1:23">
      <c r="A837" s="95" t="str">
        <f t="shared" si="76"/>
        <v/>
      </c>
      <c r="O837" s="116"/>
      <c r="P837" s="96">
        <f t="shared" si="77"/>
        <v>0</v>
      </c>
      <c r="R837" s="97"/>
      <c r="T837" s="98">
        <f t="shared" si="78"/>
        <v>0</v>
      </c>
      <c r="U837" s="99" t="str">
        <f>IFERROR(VLOOKUP($S837,References!$B$3:$C$8,2,FALSE),"")</f>
        <v/>
      </c>
      <c r="V837" s="99" t="str">
        <f t="shared" si="79"/>
        <v/>
      </c>
      <c r="W837" s="66" t="str">
        <f>IFERROR(VLOOKUP($O837,'Customer List'!$A$1:$J$488,10,FALSE),"")</f>
        <v/>
      </c>
    </row>
    <row r="838" spans="1:23">
      <c r="A838" s="95" t="str">
        <f t="shared" si="76"/>
        <v/>
      </c>
      <c r="O838" s="116"/>
      <c r="P838" s="96">
        <f t="shared" si="77"/>
        <v>0</v>
      </c>
      <c r="R838" s="97"/>
      <c r="T838" s="98">
        <f t="shared" si="78"/>
        <v>0</v>
      </c>
      <c r="U838" s="99" t="str">
        <f>IFERROR(VLOOKUP($S838,References!$B$3:$C$8,2,FALSE),"")</f>
        <v/>
      </c>
      <c r="V838" s="99" t="str">
        <f t="shared" si="79"/>
        <v/>
      </c>
      <c r="W838" s="66" t="str">
        <f>IFERROR(VLOOKUP($O838,'Customer List'!$A$1:$J$488,10,FALSE),"")</f>
        <v/>
      </c>
    </row>
    <row r="839" spans="1:23">
      <c r="A839" s="95" t="str">
        <f t="shared" si="76"/>
        <v/>
      </c>
      <c r="O839" s="116"/>
      <c r="P839" s="96">
        <f t="shared" si="77"/>
        <v>0</v>
      </c>
      <c r="R839" s="97"/>
      <c r="T839" s="98">
        <f t="shared" si="78"/>
        <v>0</v>
      </c>
      <c r="U839" s="99" t="str">
        <f>IFERROR(VLOOKUP($S839,References!$B$3:$C$8,2,FALSE),"")</f>
        <v/>
      </c>
      <c r="V839" s="99" t="str">
        <f t="shared" si="79"/>
        <v/>
      </c>
      <c r="W839" s="66" t="str">
        <f>IFERROR(VLOOKUP($O839,'Customer List'!$A$1:$J$488,10,FALSE),"")</f>
        <v/>
      </c>
    </row>
    <row r="840" spans="1:23">
      <c r="A840" s="95" t="str">
        <f t="shared" si="76"/>
        <v/>
      </c>
      <c r="O840" s="116"/>
      <c r="P840" s="96">
        <f t="shared" si="77"/>
        <v>0</v>
      </c>
      <c r="R840" s="97"/>
      <c r="T840" s="98">
        <f t="shared" si="78"/>
        <v>0</v>
      </c>
      <c r="U840" s="99" t="str">
        <f>IFERROR(VLOOKUP($S840,References!$B$3:$C$8,2,FALSE),"")</f>
        <v/>
      </c>
      <c r="V840" s="99" t="str">
        <f t="shared" si="79"/>
        <v/>
      </c>
      <c r="W840" s="66" t="str">
        <f>IFERROR(VLOOKUP($O840,'Customer List'!$A$1:$J$488,10,FALSE),"")</f>
        <v/>
      </c>
    </row>
    <row r="841" spans="1:23">
      <c r="A841" s="95" t="str">
        <f t="shared" si="76"/>
        <v/>
      </c>
      <c r="O841" s="116"/>
      <c r="P841" s="96">
        <f t="shared" si="77"/>
        <v>0</v>
      </c>
      <c r="R841" s="97"/>
      <c r="T841" s="98">
        <f t="shared" si="78"/>
        <v>0</v>
      </c>
      <c r="U841" s="99" t="str">
        <f>IFERROR(VLOOKUP($S841,References!$B$3:$C$8,2,FALSE),"")</f>
        <v/>
      </c>
      <c r="V841" s="99" t="str">
        <f t="shared" si="79"/>
        <v/>
      </c>
      <c r="W841" s="66" t="str">
        <f>IFERROR(VLOOKUP($O841,'Customer List'!$A$1:$J$488,10,FALSE),"")</f>
        <v/>
      </c>
    </row>
    <row r="842" spans="1:23">
      <c r="A842" s="95" t="str">
        <f t="shared" si="76"/>
        <v/>
      </c>
      <c r="O842" s="116"/>
      <c r="P842" s="96">
        <f t="shared" si="77"/>
        <v>0</v>
      </c>
      <c r="R842" s="97"/>
      <c r="T842" s="98">
        <f t="shared" si="78"/>
        <v>0</v>
      </c>
      <c r="U842" s="99" t="str">
        <f>IFERROR(VLOOKUP($S842,References!$B$3:$C$8,2,FALSE),"")</f>
        <v/>
      </c>
      <c r="V842" s="99" t="str">
        <f t="shared" si="79"/>
        <v/>
      </c>
      <c r="W842" s="66" t="str">
        <f>IFERROR(VLOOKUP($O842,'Customer List'!$A$1:$J$488,10,FALSE),"")</f>
        <v/>
      </c>
    </row>
    <row r="843" spans="1:23">
      <c r="A843" s="95" t="str">
        <f t="shared" si="76"/>
        <v/>
      </c>
      <c r="O843" s="116"/>
      <c r="P843" s="96">
        <f t="shared" si="77"/>
        <v>0</v>
      </c>
      <c r="R843" s="97"/>
      <c r="T843" s="98">
        <f t="shared" si="78"/>
        <v>0</v>
      </c>
      <c r="U843" s="99" t="str">
        <f>IFERROR(VLOOKUP($S843,References!$B$3:$C$8,2,FALSE),"")</f>
        <v/>
      </c>
      <c r="V843" s="99" t="str">
        <f t="shared" si="79"/>
        <v/>
      </c>
      <c r="W843" s="66" t="str">
        <f>IFERROR(VLOOKUP($O843,'Customer List'!$A$1:$J$488,10,FALSE),"")</f>
        <v/>
      </c>
    </row>
    <row r="844" spans="1:23">
      <c r="A844" s="95" t="str">
        <f t="shared" si="76"/>
        <v/>
      </c>
      <c r="O844" s="116"/>
      <c r="P844" s="96">
        <f t="shared" si="77"/>
        <v>0</v>
      </c>
      <c r="R844" s="97"/>
      <c r="T844" s="98">
        <f t="shared" si="78"/>
        <v>0</v>
      </c>
      <c r="U844" s="99" t="str">
        <f>IFERROR(VLOOKUP($S844,References!$B$3:$C$8,2,FALSE),"")</f>
        <v/>
      </c>
      <c r="V844" s="99" t="str">
        <f t="shared" si="79"/>
        <v/>
      </c>
      <c r="W844" s="66" t="str">
        <f>IFERROR(VLOOKUP($O844,'Customer List'!$A$1:$J$488,10,FALSE),"")</f>
        <v/>
      </c>
    </row>
    <row r="845" spans="1:23">
      <c r="A845" s="95" t="str">
        <f t="shared" si="76"/>
        <v/>
      </c>
      <c r="O845" s="116"/>
      <c r="P845" s="96">
        <f t="shared" si="77"/>
        <v>0</v>
      </c>
      <c r="R845" s="97"/>
      <c r="T845" s="98">
        <f t="shared" si="78"/>
        <v>0</v>
      </c>
      <c r="U845" s="99" t="str">
        <f>IFERROR(VLOOKUP($S845,References!$B$3:$C$8,2,FALSE),"")</f>
        <v/>
      </c>
      <c r="V845" s="99" t="str">
        <f t="shared" si="79"/>
        <v/>
      </c>
      <c r="W845" s="66" t="str">
        <f>IFERROR(VLOOKUP($O845,'Customer List'!$A$1:$J$488,10,FALSE),"")</f>
        <v/>
      </c>
    </row>
    <row r="846" spans="1:23">
      <c r="A846" s="95" t="str">
        <f t="shared" si="76"/>
        <v/>
      </c>
      <c r="O846" s="116"/>
      <c r="P846" s="96">
        <f t="shared" si="77"/>
        <v>0</v>
      </c>
      <c r="R846" s="97"/>
      <c r="T846" s="98">
        <f t="shared" si="78"/>
        <v>0</v>
      </c>
      <c r="U846" s="99" t="str">
        <f>IFERROR(VLOOKUP($S846,References!$B$3:$C$8,2,FALSE),"")</f>
        <v/>
      </c>
      <c r="V846" s="99" t="str">
        <f t="shared" si="79"/>
        <v/>
      </c>
      <c r="W846" s="66" t="str">
        <f>IFERROR(VLOOKUP($O846,'Customer List'!$A$1:$J$488,10,FALSE),"")</f>
        <v/>
      </c>
    </row>
    <row r="847" spans="1:23">
      <c r="A847" s="95" t="str">
        <f t="shared" ref="A847:A910" si="80">O847&amp;S847</f>
        <v/>
      </c>
      <c r="O847" s="116"/>
      <c r="P847" s="96">
        <f t="shared" si="77"/>
        <v>0</v>
      </c>
      <c r="R847" s="97"/>
      <c r="T847" s="98">
        <f t="shared" si="78"/>
        <v>0</v>
      </c>
      <c r="U847" s="99" t="str">
        <f>IFERROR(VLOOKUP($S847,References!$B$3:$C$8,2,FALSE),"")</f>
        <v/>
      </c>
      <c r="V847" s="99" t="str">
        <f t="shared" si="79"/>
        <v/>
      </c>
      <c r="W847" s="66" t="str">
        <f>IFERROR(VLOOKUP($O847,'Customer List'!$A$1:$J$488,10,FALSE),"")</f>
        <v/>
      </c>
    </row>
    <row r="848" spans="1:23">
      <c r="A848" s="95" t="str">
        <f t="shared" si="80"/>
        <v/>
      </c>
      <c r="O848" s="116"/>
      <c r="R848" s="97"/>
      <c r="T848" s="98">
        <f t="shared" ref="T848:T911" si="81">IF(S848="50 - Cleaning Fee",1,HOUR($R848)+MINUTE(R848)/60)</f>
        <v>0</v>
      </c>
      <c r="U848" s="99" t="str">
        <f>IFERROR(VLOOKUP($S848,References!$B$3:$C$8,2,FALSE),"")</f>
        <v/>
      </c>
      <c r="V848" s="99" t="str">
        <f t="shared" ref="V848:V911" si="82">IF(T848&gt;=8,400,(IFERROR(T848*U848,"")))</f>
        <v/>
      </c>
      <c r="W848" s="66" t="str">
        <f>IFERROR(VLOOKUP($O848,'Customer List'!$A$1:$J$488,10,FALSE),"")</f>
        <v/>
      </c>
    </row>
    <row r="849" spans="1:23">
      <c r="A849" s="95" t="str">
        <f t="shared" si="80"/>
        <v/>
      </c>
      <c r="O849" s="116"/>
      <c r="R849" s="97"/>
      <c r="T849" s="98">
        <f t="shared" si="81"/>
        <v>0</v>
      </c>
      <c r="U849" s="99" t="str">
        <f>IFERROR(VLOOKUP($S849,References!$B$3:$C$8,2,FALSE),"")</f>
        <v/>
      </c>
      <c r="V849" s="99" t="str">
        <f t="shared" si="82"/>
        <v/>
      </c>
      <c r="W849" s="66" t="str">
        <f>IFERROR(VLOOKUP($O849,'Customer List'!$A$1:$J$488,10,FALSE),"")</f>
        <v/>
      </c>
    </row>
    <row r="850" spans="1:23">
      <c r="A850" s="95" t="str">
        <f t="shared" si="80"/>
        <v/>
      </c>
      <c r="O850" s="116"/>
      <c r="R850" s="97"/>
      <c r="T850" s="98">
        <f t="shared" si="81"/>
        <v>0</v>
      </c>
      <c r="U850" s="99" t="str">
        <f>IFERROR(VLOOKUP($S850,References!$B$3:$C$8,2,FALSE),"")</f>
        <v/>
      </c>
      <c r="V850" s="99" t="str">
        <f t="shared" si="82"/>
        <v/>
      </c>
      <c r="W850" s="66" t="str">
        <f>IFERROR(VLOOKUP($O850,'Customer List'!$A$1:$J$488,10,FALSE),"")</f>
        <v/>
      </c>
    </row>
    <row r="851" spans="1:23">
      <c r="A851" s="95" t="str">
        <f t="shared" si="80"/>
        <v/>
      </c>
      <c r="O851" s="116"/>
      <c r="R851" s="97"/>
      <c r="T851" s="98">
        <f t="shared" si="81"/>
        <v>0</v>
      </c>
      <c r="U851" s="99" t="str">
        <f>IFERROR(VLOOKUP($S851,References!$B$3:$C$8,2,FALSE),"")</f>
        <v/>
      </c>
      <c r="V851" s="99" t="str">
        <f t="shared" si="82"/>
        <v/>
      </c>
      <c r="W851" s="66" t="str">
        <f>IFERROR(VLOOKUP($O851,'Customer List'!$A$1:$J$488,10,FALSE),"")</f>
        <v/>
      </c>
    </row>
    <row r="852" spans="1:23">
      <c r="A852" s="95" t="str">
        <f t="shared" si="80"/>
        <v/>
      </c>
      <c r="O852" s="116"/>
      <c r="R852" s="97"/>
      <c r="T852" s="98">
        <f t="shared" si="81"/>
        <v>0</v>
      </c>
      <c r="U852" s="99" t="str">
        <f>IFERROR(VLOOKUP($S852,References!$B$3:$C$8,2,FALSE),"")</f>
        <v/>
      </c>
      <c r="V852" s="99" t="str">
        <f t="shared" si="82"/>
        <v/>
      </c>
      <c r="W852" s="66" t="str">
        <f>IFERROR(VLOOKUP($O852,'Customer List'!$A$1:$J$488,10,FALSE),"")</f>
        <v/>
      </c>
    </row>
    <row r="853" spans="1:23">
      <c r="A853" s="95" t="str">
        <f t="shared" si="80"/>
        <v/>
      </c>
      <c r="O853" s="116"/>
      <c r="R853" s="97"/>
      <c r="T853" s="98">
        <f t="shared" si="81"/>
        <v>0</v>
      </c>
      <c r="U853" s="99" t="str">
        <f>IFERROR(VLOOKUP($S853,References!$B$3:$C$8,2,FALSE),"")</f>
        <v/>
      </c>
      <c r="V853" s="99" t="str">
        <f t="shared" si="82"/>
        <v/>
      </c>
      <c r="W853" s="66" t="str">
        <f>IFERROR(VLOOKUP($O853,'Customer List'!$A$1:$J$488,10,FALSE),"")</f>
        <v/>
      </c>
    </row>
    <row r="854" spans="1:23">
      <c r="A854" s="95" t="str">
        <f t="shared" si="80"/>
        <v/>
      </c>
      <c r="O854" s="116"/>
      <c r="R854" s="97"/>
      <c r="T854" s="98">
        <f t="shared" si="81"/>
        <v>0</v>
      </c>
      <c r="U854" s="99" t="str">
        <f>IFERROR(VLOOKUP($S854,References!$B$3:$C$8,2,FALSE),"")</f>
        <v/>
      </c>
      <c r="V854" s="99" t="str">
        <f t="shared" si="82"/>
        <v/>
      </c>
      <c r="W854" s="66" t="str">
        <f>IFERROR(VLOOKUP($O854,'Customer List'!$A$1:$J$488,10,FALSE),"")</f>
        <v/>
      </c>
    </row>
    <row r="855" spans="1:23">
      <c r="A855" s="95" t="str">
        <f t="shared" si="80"/>
        <v/>
      </c>
      <c r="O855" s="116"/>
      <c r="R855" s="97"/>
      <c r="T855" s="98">
        <f t="shared" si="81"/>
        <v>0</v>
      </c>
      <c r="U855" s="99" t="str">
        <f>IFERROR(VLOOKUP($S855,References!$B$3:$C$8,2,FALSE),"")</f>
        <v/>
      </c>
      <c r="V855" s="99" t="str">
        <f t="shared" si="82"/>
        <v/>
      </c>
      <c r="W855" s="66" t="str">
        <f>IFERROR(VLOOKUP($O855,'Customer List'!$A$1:$J$488,10,FALSE),"")</f>
        <v/>
      </c>
    </row>
    <row r="856" spans="1:23">
      <c r="A856" s="95" t="str">
        <f t="shared" si="80"/>
        <v/>
      </c>
      <c r="O856" s="116"/>
      <c r="R856" s="97"/>
      <c r="T856" s="98">
        <f t="shared" si="81"/>
        <v>0</v>
      </c>
      <c r="U856" s="99" t="str">
        <f>IFERROR(VLOOKUP($S856,References!$B$3:$C$8,2,FALSE),"")</f>
        <v/>
      </c>
      <c r="V856" s="99" t="str">
        <f t="shared" si="82"/>
        <v/>
      </c>
      <c r="W856" s="66" t="str">
        <f>IFERROR(VLOOKUP($O856,'Customer List'!$A$1:$J$488,10,FALSE),"")</f>
        <v/>
      </c>
    </row>
    <row r="857" spans="1:23">
      <c r="A857" s="95" t="str">
        <f t="shared" si="80"/>
        <v/>
      </c>
      <c r="O857" s="116"/>
      <c r="R857" s="97"/>
      <c r="T857" s="98">
        <f t="shared" si="81"/>
        <v>0</v>
      </c>
      <c r="U857" s="99" t="str">
        <f>IFERROR(VLOOKUP($S857,References!$B$3:$C$8,2,FALSE),"")</f>
        <v/>
      </c>
      <c r="V857" s="99" t="str">
        <f t="shared" si="82"/>
        <v/>
      </c>
      <c r="W857" s="66" t="str">
        <f>IFERROR(VLOOKUP($O857,'Customer List'!$A$1:$J$488,10,FALSE),"")</f>
        <v/>
      </c>
    </row>
    <row r="858" spans="1:23">
      <c r="A858" s="95" t="str">
        <f t="shared" si="80"/>
        <v/>
      </c>
      <c r="O858" s="116"/>
      <c r="R858" s="97"/>
      <c r="T858" s="98">
        <f t="shared" si="81"/>
        <v>0</v>
      </c>
      <c r="U858" s="99" t="str">
        <f>IFERROR(VLOOKUP($S858,References!$B$3:$C$8,2,FALSE),"")</f>
        <v/>
      </c>
      <c r="V858" s="99" t="str">
        <f t="shared" si="82"/>
        <v/>
      </c>
      <c r="W858" s="66" t="str">
        <f>IFERROR(VLOOKUP($O858,'Customer List'!$A$1:$J$488,10,FALSE),"")</f>
        <v/>
      </c>
    </row>
    <row r="859" spans="1:23">
      <c r="A859" s="95" t="str">
        <f t="shared" si="80"/>
        <v/>
      </c>
      <c r="O859" s="116"/>
      <c r="R859" s="97"/>
      <c r="T859" s="98">
        <f t="shared" si="81"/>
        <v>0</v>
      </c>
      <c r="U859" s="99" t="str">
        <f>IFERROR(VLOOKUP($S859,References!$B$3:$C$8,2,FALSE),"")</f>
        <v/>
      </c>
      <c r="V859" s="99" t="str">
        <f t="shared" si="82"/>
        <v/>
      </c>
      <c r="W859" s="66" t="str">
        <f>IFERROR(VLOOKUP($O859,'Customer List'!$A$1:$J$488,10,FALSE),"")</f>
        <v/>
      </c>
    </row>
    <row r="860" spans="1:23">
      <c r="A860" s="95" t="str">
        <f t="shared" si="80"/>
        <v/>
      </c>
      <c r="O860" s="116"/>
      <c r="R860" s="97"/>
      <c r="T860" s="98">
        <f t="shared" si="81"/>
        <v>0</v>
      </c>
      <c r="U860" s="99" t="str">
        <f>IFERROR(VLOOKUP($S860,References!$B$3:$C$8,2,FALSE),"")</f>
        <v/>
      </c>
      <c r="V860" s="99" t="str">
        <f t="shared" si="82"/>
        <v/>
      </c>
      <c r="W860" s="66" t="str">
        <f>IFERROR(VLOOKUP($O860,'Customer List'!$A$1:$J$488,10,FALSE),"")</f>
        <v/>
      </c>
    </row>
    <row r="861" spans="1:23">
      <c r="A861" s="95" t="str">
        <f t="shared" si="80"/>
        <v/>
      </c>
      <c r="O861" s="116"/>
      <c r="R861" s="97"/>
      <c r="T861" s="98">
        <f t="shared" si="81"/>
        <v>0</v>
      </c>
      <c r="U861" s="99" t="str">
        <f>IFERROR(VLOOKUP($S861,References!$B$3:$C$8,2,FALSE),"")</f>
        <v/>
      </c>
      <c r="V861" s="99" t="str">
        <f t="shared" si="82"/>
        <v/>
      </c>
      <c r="W861" s="66" t="str">
        <f>IFERROR(VLOOKUP($O861,'Customer List'!$A$1:$J$488,10,FALSE),"")</f>
        <v/>
      </c>
    </row>
    <row r="862" spans="1:23">
      <c r="A862" s="95" t="str">
        <f t="shared" si="80"/>
        <v/>
      </c>
      <c r="O862" s="116"/>
      <c r="R862" s="97"/>
      <c r="T862" s="98">
        <f t="shared" si="81"/>
        <v>0</v>
      </c>
      <c r="U862" s="99" t="str">
        <f>IFERROR(VLOOKUP($S862,References!$B$3:$C$8,2,FALSE),"")</f>
        <v/>
      </c>
      <c r="V862" s="99" t="str">
        <f t="shared" si="82"/>
        <v/>
      </c>
      <c r="W862" s="66" t="str">
        <f>IFERROR(VLOOKUP($O862,'Customer List'!$A$1:$J$488,10,FALSE),"")</f>
        <v/>
      </c>
    </row>
    <row r="863" spans="1:23">
      <c r="A863" s="95" t="str">
        <f t="shared" si="80"/>
        <v/>
      </c>
      <c r="O863" s="116"/>
      <c r="R863" s="97"/>
      <c r="T863" s="98">
        <f t="shared" si="81"/>
        <v>0</v>
      </c>
      <c r="U863" s="99" t="str">
        <f>IFERROR(VLOOKUP($S863,References!$B$3:$C$8,2,FALSE),"")</f>
        <v/>
      </c>
      <c r="V863" s="99" t="str">
        <f t="shared" si="82"/>
        <v/>
      </c>
      <c r="W863" s="66" t="str">
        <f>IFERROR(VLOOKUP($O863,'Customer List'!$A$1:$J$488,10,FALSE),"")</f>
        <v/>
      </c>
    </row>
    <row r="864" spans="1:23">
      <c r="A864" s="95" t="str">
        <f t="shared" si="80"/>
        <v/>
      </c>
      <c r="O864" s="116"/>
      <c r="R864" s="97"/>
      <c r="T864" s="98">
        <f t="shared" si="81"/>
        <v>0</v>
      </c>
      <c r="U864" s="99" t="str">
        <f>IFERROR(VLOOKUP($S864,References!$B$3:$C$8,2,FALSE),"")</f>
        <v/>
      </c>
      <c r="V864" s="99" t="str">
        <f t="shared" si="82"/>
        <v/>
      </c>
      <c r="W864" s="66" t="str">
        <f>IFERROR(VLOOKUP($O864,'Customer List'!$A$1:$J$488,10,FALSE),"")</f>
        <v/>
      </c>
    </row>
    <row r="865" spans="1:23">
      <c r="A865" s="95" t="str">
        <f t="shared" si="80"/>
        <v/>
      </c>
      <c r="O865" s="116"/>
      <c r="R865" s="97"/>
      <c r="T865" s="98">
        <f t="shared" si="81"/>
        <v>0</v>
      </c>
      <c r="U865" s="99" t="str">
        <f>IFERROR(VLOOKUP($S865,References!$B$3:$C$8,2,FALSE),"")</f>
        <v/>
      </c>
      <c r="V865" s="99" t="str">
        <f t="shared" si="82"/>
        <v/>
      </c>
      <c r="W865" s="66" t="str">
        <f>IFERROR(VLOOKUP($O865,'Customer List'!$A$1:$J$488,10,FALSE),"")</f>
        <v/>
      </c>
    </row>
    <row r="866" spans="1:23">
      <c r="A866" s="95" t="str">
        <f t="shared" si="80"/>
        <v/>
      </c>
      <c r="O866" s="116"/>
      <c r="R866" s="97"/>
      <c r="T866" s="98">
        <f t="shared" si="81"/>
        <v>0</v>
      </c>
      <c r="U866" s="99" t="str">
        <f>IFERROR(VLOOKUP($S866,References!$B$3:$C$8,2,FALSE),"")</f>
        <v/>
      </c>
      <c r="V866" s="99" t="str">
        <f t="shared" si="82"/>
        <v/>
      </c>
      <c r="W866" s="66" t="str">
        <f>IFERROR(VLOOKUP($O866,'Customer List'!$A$1:$J$488,10,FALSE),"")</f>
        <v/>
      </c>
    </row>
    <row r="867" spans="1:23">
      <c r="A867" s="95" t="str">
        <f t="shared" si="80"/>
        <v/>
      </c>
      <c r="O867" s="116"/>
      <c r="R867" s="97"/>
      <c r="T867" s="98">
        <f t="shared" si="81"/>
        <v>0</v>
      </c>
      <c r="U867" s="99" t="str">
        <f>IFERROR(VLOOKUP($S867,References!$B$3:$C$8,2,FALSE),"")</f>
        <v/>
      </c>
      <c r="V867" s="99" t="str">
        <f t="shared" si="82"/>
        <v/>
      </c>
      <c r="W867" s="66" t="str">
        <f>IFERROR(VLOOKUP($O867,'Customer List'!$A$1:$J$488,10,FALSE),"")</f>
        <v/>
      </c>
    </row>
    <row r="868" spans="1:23">
      <c r="A868" s="95" t="str">
        <f t="shared" si="80"/>
        <v/>
      </c>
      <c r="O868" s="116"/>
      <c r="R868" s="97"/>
      <c r="T868" s="98">
        <f t="shared" si="81"/>
        <v>0</v>
      </c>
      <c r="U868" s="99" t="str">
        <f>IFERROR(VLOOKUP($S868,References!$B$3:$C$8,2,FALSE),"")</f>
        <v/>
      </c>
      <c r="V868" s="99" t="str">
        <f t="shared" si="82"/>
        <v/>
      </c>
      <c r="W868" s="66" t="str">
        <f>IFERROR(VLOOKUP($O868,'Customer List'!$A$1:$J$488,10,FALSE),"")</f>
        <v/>
      </c>
    </row>
    <row r="869" spans="1:23">
      <c r="A869" s="95" t="str">
        <f t="shared" si="80"/>
        <v/>
      </c>
      <c r="O869" s="116"/>
      <c r="R869" s="97"/>
      <c r="T869" s="98">
        <f t="shared" si="81"/>
        <v>0</v>
      </c>
      <c r="U869" s="99" t="str">
        <f>IFERROR(VLOOKUP($S869,References!$B$3:$C$8,2,FALSE),"")</f>
        <v/>
      </c>
      <c r="V869" s="99" t="str">
        <f t="shared" si="82"/>
        <v/>
      </c>
      <c r="W869" s="66" t="str">
        <f>IFERROR(VLOOKUP($O869,'Customer List'!$A$1:$J$488,10,FALSE),"")</f>
        <v/>
      </c>
    </row>
    <row r="870" spans="1:23">
      <c r="A870" s="95" t="str">
        <f t="shared" si="80"/>
        <v/>
      </c>
      <c r="O870" s="116"/>
      <c r="R870" s="97"/>
      <c r="T870" s="98">
        <f t="shared" si="81"/>
        <v>0</v>
      </c>
      <c r="U870" s="99" t="str">
        <f>IFERROR(VLOOKUP($S870,References!$B$3:$C$8,2,FALSE),"")</f>
        <v/>
      </c>
      <c r="V870" s="99" t="str">
        <f t="shared" si="82"/>
        <v/>
      </c>
      <c r="W870" s="66" t="str">
        <f>IFERROR(VLOOKUP($O870,'Customer List'!$A$1:$J$488,10,FALSE),"")</f>
        <v/>
      </c>
    </row>
    <row r="871" spans="1:23">
      <c r="A871" s="95" t="str">
        <f t="shared" si="80"/>
        <v/>
      </c>
      <c r="O871" s="116"/>
      <c r="R871" s="97"/>
      <c r="T871" s="98">
        <f t="shared" si="81"/>
        <v>0</v>
      </c>
      <c r="U871" s="99" t="str">
        <f>IFERROR(VLOOKUP($S871,References!$B$3:$C$8,2,FALSE),"")</f>
        <v/>
      </c>
      <c r="V871" s="99" t="str">
        <f t="shared" si="82"/>
        <v/>
      </c>
      <c r="W871" s="66" t="str">
        <f>IFERROR(VLOOKUP($O871,'Customer List'!$A$1:$J$488,10,FALSE),"")</f>
        <v/>
      </c>
    </row>
    <row r="872" spans="1:23">
      <c r="A872" s="95" t="str">
        <f t="shared" si="80"/>
        <v/>
      </c>
      <c r="O872" s="116"/>
      <c r="R872" s="97"/>
      <c r="T872" s="98">
        <f t="shared" si="81"/>
        <v>0</v>
      </c>
      <c r="U872" s="99" t="str">
        <f>IFERROR(VLOOKUP($S872,References!$B$3:$C$8,2,FALSE),"")</f>
        <v/>
      </c>
      <c r="V872" s="99" t="str">
        <f t="shared" si="82"/>
        <v/>
      </c>
      <c r="W872" s="66" t="str">
        <f>IFERROR(VLOOKUP($O872,'Customer List'!$A$1:$J$488,10,FALSE),"")</f>
        <v/>
      </c>
    </row>
    <row r="873" spans="1:23">
      <c r="A873" s="95" t="str">
        <f t="shared" si="80"/>
        <v/>
      </c>
      <c r="O873" s="116"/>
      <c r="R873" s="97"/>
      <c r="T873" s="98">
        <f t="shared" si="81"/>
        <v>0</v>
      </c>
      <c r="U873" s="99" t="str">
        <f>IFERROR(VLOOKUP($S873,References!$B$3:$C$8,2,FALSE),"")</f>
        <v/>
      </c>
      <c r="V873" s="99" t="str">
        <f t="shared" si="82"/>
        <v/>
      </c>
      <c r="W873" s="66" t="str">
        <f>IFERROR(VLOOKUP($O873,'Customer List'!$A$1:$J$488,10,FALSE),"")</f>
        <v/>
      </c>
    </row>
    <row r="874" spans="1:23">
      <c r="A874" s="95" t="str">
        <f t="shared" si="80"/>
        <v/>
      </c>
      <c r="O874" s="116"/>
      <c r="R874" s="97"/>
      <c r="T874" s="98">
        <f t="shared" si="81"/>
        <v>0</v>
      </c>
      <c r="U874" s="99" t="str">
        <f>IFERROR(VLOOKUP($S874,References!$B$3:$C$8,2,FALSE),"")</f>
        <v/>
      </c>
      <c r="V874" s="99" t="str">
        <f t="shared" si="82"/>
        <v/>
      </c>
      <c r="W874" s="66" t="str">
        <f>IFERROR(VLOOKUP($O874,'Customer List'!$A$1:$J$488,10,FALSE),"")</f>
        <v/>
      </c>
    </row>
    <row r="875" spans="1:23">
      <c r="A875" s="95" t="str">
        <f t="shared" si="80"/>
        <v/>
      </c>
      <c r="O875" s="116"/>
      <c r="R875" s="97"/>
      <c r="T875" s="98">
        <f t="shared" si="81"/>
        <v>0</v>
      </c>
      <c r="U875" s="99" t="str">
        <f>IFERROR(VLOOKUP($S875,References!$B$3:$C$8,2,FALSE),"")</f>
        <v/>
      </c>
      <c r="V875" s="99" t="str">
        <f t="shared" si="82"/>
        <v/>
      </c>
      <c r="W875" s="66" t="str">
        <f>IFERROR(VLOOKUP($O875,'Customer List'!$A$1:$J$488,10,FALSE),"")</f>
        <v/>
      </c>
    </row>
    <row r="876" spans="1:23">
      <c r="A876" s="95" t="str">
        <f t="shared" si="80"/>
        <v/>
      </c>
      <c r="O876" s="116"/>
      <c r="R876" s="97"/>
      <c r="T876" s="98">
        <f t="shared" si="81"/>
        <v>0</v>
      </c>
      <c r="U876" s="99" t="str">
        <f>IFERROR(VLOOKUP($S876,References!$B$3:$C$8,2,FALSE),"")</f>
        <v/>
      </c>
      <c r="V876" s="99" t="str">
        <f t="shared" si="82"/>
        <v/>
      </c>
      <c r="W876" s="66" t="str">
        <f>IFERROR(VLOOKUP($O876,'Customer List'!$A$1:$J$488,10,FALSE),"")</f>
        <v/>
      </c>
    </row>
    <row r="877" spans="1:23">
      <c r="A877" s="95" t="str">
        <f t="shared" si="80"/>
        <v/>
      </c>
      <c r="O877" s="116"/>
      <c r="R877" s="97"/>
      <c r="T877" s="98">
        <f t="shared" si="81"/>
        <v>0</v>
      </c>
      <c r="U877" s="99" t="str">
        <f>IFERROR(VLOOKUP($S877,References!$B$3:$C$8,2,FALSE),"")</f>
        <v/>
      </c>
      <c r="V877" s="99" t="str">
        <f t="shared" si="82"/>
        <v/>
      </c>
      <c r="W877" s="66" t="str">
        <f>IFERROR(VLOOKUP($O877,'Customer List'!$A$1:$J$488,10,FALSE),"")</f>
        <v/>
      </c>
    </row>
    <row r="878" spans="1:23">
      <c r="A878" s="95" t="str">
        <f t="shared" si="80"/>
        <v/>
      </c>
      <c r="O878" s="116"/>
      <c r="R878" s="97"/>
      <c r="T878" s="98">
        <f t="shared" si="81"/>
        <v>0</v>
      </c>
      <c r="U878" s="99" t="str">
        <f>IFERROR(VLOOKUP($S878,References!$B$3:$C$8,2,FALSE),"")</f>
        <v/>
      </c>
      <c r="V878" s="99" t="str">
        <f t="shared" si="82"/>
        <v/>
      </c>
      <c r="W878" s="66" t="str">
        <f>IFERROR(VLOOKUP($O878,'Customer List'!$A$1:$J$488,10,FALSE),"")</f>
        <v/>
      </c>
    </row>
    <row r="879" spans="1:23">
      <c r="A879" s="95" t="str">
        <f t="shared" si="80"/>
        <v/>
      </c>
      <c r="O879" s="116"/>
      <c r="R879" s="97"/>
      <c r="T879" s="98">
        <f t="shared" si="81"/>
        <v>0</v>
      </c>
      <c r="U879" s="99" t="str">
        <f>IFERROR(VLOOKUP($S879,References!$B$3:$C$8,2,FALSE),"")</f>
        <v/>
      </c>
      <c r="V879" s="99" t="str">
        <f t="shared" si="82"/>
        <v/>
      </c>
      <c r="W879" s="66" t="str">
        <f>IFERROR(VLOOKUP($O879,'Customer List'!$A$1:$J$488,10,FALSE),"")</f>
        <v/>
      </c>
    </row>
    <row r="880" spans="1:23">
      <c r="A880" s="95" t="str">
        <f t="shared" si="80"/>
        <v/>
      </c>
      <c r="O880" s="116"/>
      <c r="R880" s="97"/>
      <c r="T880" s="98">
        <f t="shared" si="81"/>
        <v>0</v>
      </c>
      <c r="U880" s="99" t="str">
        <f>IFERROR(VLOOKUP($S880,References!$B$3:$C$8,2,FALSE),"")</f>
        <v/>
      </c>
      <c r="V880" s="99" t="str">
        <f t="shared" si="82"/>
        <v/>
      </c>
      <c r="W880" s="66" t="str">
        <f>IFERROR(VLOOKUP($O880,'Customer List'!$A$1:$J$488,10,FALSE),"")</f>
        <v/>
      </c>
    </row>
    <row r="881" spans="1:23">
      <c r="A881" s="95" t="str">
        <f t="shared" si="80"/>
        <v/>
      </c>
      <c r="O881" s="116"/>
      <c r="R881" s="97"/>
      <c r="T881" s="98">
        <f t="shared" si="81"/>
        <v>0</v>
      </c>
      <c r="U881" s="99" t="str">
        <f>IFERROR(VLOOKUP($S881,References!$B$3:$C$8,2,FALSE),"")</f>
        <v/>
      </c>
      <c r="V881" s="99" t="str">
        <f t="shared" si="82"/>
        <v/>
      </c>
      <c r="W881" s="66" t="str">
        <f>IFERROR(VLOOKUP($O881,'Customer List'!$A$1:$J$488,10,FALSE),"")</f>
        <v/>
      </c>
    </row>
    <row r="882" spans="1:23">
      <c r="A882" s="95" t="str">
        <f t="shared" si="80"/>
        <v/>
      </c>
      <c r="O882" s="116"/>
      <c r="R882" s="97"/>
      <c r="T882" s="98">
        <f t="shared" si="81"/>
        <v>0</v>
      </c>
      <c r="U882" s="99" t="str">
        <f>IFERROR(VLOOKUP($S882,References!$B$3:$C$8,2,FALSE),"")</f>
        <v/>
      </c>
      <c r="V882" s="99" t="str">
        <f t="shared" si="82"/>
        <v/>
      </c>
      <c r="W882" s="66" t="str">
        <f>IFERROR(VLOOKUP($O882,'Customer List'!$A$1:$J$488,10,FALSE),"")</f>
        <v/>
      </c>
    </row>
    <row r="883" spans="1:23">
      <c r="A883" s="95" t="str">
        <f t="shared" si="80"/>
        <v/>
      </c>
      <c r="O883" s="116"/>
      <c r="R883" s="97"/>
      <c r="T883" s="98">
        <f t="shared" si="81"/>
        <v>0</v>
      </c>
      <c r="U883" s="99" t="str">
        <f>IFERROR(VLOOKUP($S883,References!$B$3:$C$8,2,FALSE),"")</f>
        <v/>
      </c>
      <c r="V883" s="99" t="str">
        <f t="shared" si="82"/>
        <v/>
      </c>
      <c r="W883" s="66" t="str">
        <f>IFERROR(VLOOKUP($O883,'Customer List'!$A$1:$J$488,10,FALSE),"")</f>
        <v/>
      </c>
    </row>
    <row r="884" spans="1:23">
      <c r="A884" s="95" t="str">
        <f t="shared" si="80"/>
        <v/>
      </c>
      <c r="O884" s="116"/>
      <c r="R884" s="97"/>
      <c r="T884" s="98">
        <f t="shared" si="81"/>
        <v>0</v>
      </c>
      <c r="U884" s="99" t="str">
        <f>IFERROR(VLOOKUP($S884,References!$B$3:$C$8,2,FALSE),"")</f>
        <v/>
      </c>
      <c r="V884" s="99" t="str">
        <f t="shared" si="82"/>
        <v/>
      </c>
      <c r="W884" s="66" t="str">
        <f>IFERROR(VLOOKUP($O884,'Customer List'!$A$1:$J$488,10,FALSE),"")</f>
        <v/>
      </c>
    </row>
    <row r="885" spans="1:23">
      <c r="A885" s="95" t="str">
        <f t="shared" si="80"/>
        <v/>
      </c>
      <c r="O885" s="116"/>
      <c r="R885" s="97"/>
      <c r="T885" s="98">
        <f t="shared" si="81"/>
        <v>0</v>
      </c>
      <c r="U885" s="99" t="str">
        <f>IFERROR(VLOOKUP($S885,References!$B$3:$C$8,2,FALSE),"")</f>
        <v/>
      </c>
      <c r="V885" s="99" t="str">
        <f t="shared" si="82"/>
        <v/>
      </c>
      <c r="W885" s="66" t="str">
        <f>IFERROR(VLOOKUP($O885,'Customer List'!$A$1:$J$488,10,FALSE),"")</f>
        <v/>
      </c>
    </row>
    <row r="886" spans="1:23">
      <c r="A886" s="95" t="str">
        <f t="shared" si="80"/>
        <v/>
      </c>
      <c r="O886" s="116"/>
      <c r="R886" s="97"/>
      <c r="T886" s="98">
        <f t="shared" si="81"/>
        <v>0</v>
      </c>
      <c r="U886" s="99" t="str">
        <f>IFERROR(VLOOKUP($S886,References!$B$3:$C$8,2,FALSE),"")</f>
        <v/>
      </c>
      <c r="V886" s="99" t="str">
        <f t="shared" si="82"/>
        <v/>
      </c>
      <c r="W886" s="66" t="str">
        <f>IFERROR(VLOOKUP($O886,'Customer List'!$A$1:$J$488,10,FALSE),"")</f>
        <v/>
      </c>
    </row>
    <row r="887" spans="1:23">
      <c r="A887" s="95" t="str">
        <f t="shared" si="80"/>
        <v/>
      </c>
      <c r="O887" s="116"/>
      <c r="R887" s="97"/>
      <c r="T887" s="98">
        <f t="shared" si="81"/>
        <v>0</v>
      </c>
      <c r="U887" s="99" t="str">
        <f>IFERROR(VLOOKUP($S887,References!$B$3:$C$8,2,FALSE),"")</f>
        <v/>
      </c>
      <c r="V887" s="99" t="str">
        <f t="shared" si="82"/>
        <v/>
      </c>
      <c r="W887" s="66" t="str">
        <f>IFERROR(VLOOKUP($O887,'Customer List'!$A$1:$J$488,10,FALSE),"")</f>
        <v/>
      </c>
    </row>
    <row r="888" spans="1:23">
      <c r="A888" s="95" t="str">
        <f t="shared" si="80"/>
        <v/>
      </c>
      <c r="O888" s="116"/>
      <c r="R888" s="97"/>
      <c r="T888" s="98">
        <f t="shared" si="81"/>
        <v>0</v>
      </c>
      <c r="U888" s="99" t="str">
        <f>IFERROR(VLOOKUP($S888,References!$B$3:$C$8,2,FALSE),"")</f>
        <v/>
      </c>
      <c r="V888" s="99" t="str">
        <f t="shared" si="82"/>
        <v/>
      </c>
      <c r="W888" s="66" t="str">
        <f>IFERROR(VLOOKUP($O888,'Customer List'!$A$1:$J$488,10,FALSE),"")</f>
        <v/>
      </c>
    </row>
    <row r="889" spans="1:23">
      <c r="A889" s="95" t="str">
        <f t="shared" si="80"/>
        <v/>
      </c>
      <c r="O889" s="116"/>
      <c r="R889" s="97"/>
      <c r="T889" s="98">
        <f t="shared" si="81"/>
        <v>0</v>
      </c>
      <c r="U889" s="99" t="str">
        <f>IFERROR(VLOOKUP($S889,References!$B$3:$C$8,2,FALSE),"")</f>
        <v/>
      </c>
      <c r="V889" s="99" t="str">
        <f t="shared" si="82"/>
        <v/>
      </c>
      <c r="W889" s="66" t="str">
        <f>IFERROR(VLOOKUP($O889,'Customer List'!$A$1:$J$488,10,FALSE),"")</f>
        <v/>
      </c>
    </row>
    <row r="890" spans="1:23">
      <c r="A890" s="95" t="str">
        <f t="shared" si="80"/>
        <v/>
      </c>
      <c r="O890" s="116"/>
      <c r="R890" s="97"/>
      <c r="T890" s="98">
        <f t="shared" si="81"/>
        <v>0</v>
      </c>
      <c r="U890" s="99" t="str">
        <f>IFERROR(VLOOKUP($S890,References!$B$3:$C$8,2,FALSE),"")</f>
        <v/>
      </c>
      <c r="V890" s="99" t="str">
        <f t="shared" si="82"/>
        <v/>
      </c>
      <c r="W890" s="66" t="str">
        <f>IFERROR(VLOOKUP($O890,'Customer List'!$A$1:$J$488,10,FALSE),"")</f>
        <v/>
      </c>
    </row>
    <row r="891" spans="1:23">
      <c r="A891" s="95" t="str">
        <f t="shared" si="80"/>
        <v/>
      </c>
      <c r="O891" s="116"/>
      <c r="R891" s="97"/>
      <c r="T891" s="98">
        <f t="shared" si="81"/>
        <v>0</v>
      </c>
      <c r="U891" s="99" t="str">
        <f>IFERROR(VLOOKUP($S891,References!$B$3:$C$8,2,FALSE),"")</f>
        <v/>
      </c>
      <c r="V891" s="99" t="str">
        <f t="shared" si="82"/>
        <v/>
      </c>
      <c r="W891" s="66" t="str">
        <f>IFERROR(VLOOKUP($O891,'Customer List'!$A$1:$J$488,10,FALSE),"")</f>
        <v/>
      </c>
    </row>
    <row r="892" spans="1:23">
      <c r="A892" s="95" t="str">
        <f t="shared" si="80"/>
        <v/>
      </c>
      <c r="O892" s="116"/>
      <c r="R892" s="97"/>
      <c r="T892" s="98">
        <f t="shared" si="81"/>
        <v>0</v>
      </c>
      <c r="U892" s="99" t="str">
        <f>IFERROR(VLOOKUP($S892,References!$B$3:$C$8,2,FALSE),"")</f>
        <v/>
      </c>
      <c r="V892" s="99" t="str">
        <f t="shared" si="82"/>
        <v/>
      </c>
      <c r="W892" s="66" t="str">
        <f>IFERROR(VLOOKUP($O892,'Customer List'!$A$1:$J$488,10,FALSE),"")</f>
        <v/>
      </c>
    </row>
    <row r="893" spans="1:23">
      <c r="A893" s="95" t="str">
        <f t="shared" si="80"/>
        <v/>
      </c>
      <c r="O893" s="116"/>
      <c r="R893" s="97"/>
      <c r="T893" s="98">
        <f t="shared" si="81"/>
        <v>0</v>
      </c>
      <c r="U893" s="99" t="str">
        <f>IFERROR(VLOOKUP($S893,References!$B$3:$C$8,2,FALSE),"")</f>
        <v/>
      </c>
      <c r="V893" s="99" t="str">
        <f t="shared" si="82"/>
        <v/>
      </c>
      <c r="W893" s="66" t="str">
        <f>IFERROR(VLOOKUP($O893,'Customer List'!$A$1:$J$488,10,FALSE),"")</f>
        <v/>
      </c>
    </row>
    <row r="894" spans="1:23">
      <c r="A894" s="95" t="str">
        <f t="shared" si="80"/>
        <v/>
      </c>
      <c r="O894" s="116"/>
      <c r="R894" s="97"/>
      <c r="T894" s="98">
        <f t="shared" si="81"/>
        <v>0</v>
      </c>
      <c r="U894" s="99" t="str">
        <f>IFERROR(VLOOKUP($S894,References!$B$3:$C$8,2,FALSE),"")</f>
        <v/>
      </c>
      <c r="V894" s="99" t="str">
        <f t="shared" si="82"/>
        <v/>
      </c>
      <c r="W894" s="66" t="str">
        <f>IFERROR(VLOOKUP($O894,'Customer List'!$A$1:$J$488,10,FALSE),"")</f>
        <v/>
      </c>
    </row>
    <row r="895" spans="1:23">
      <c r="A895" s="95" t="str">
        <f t="shared" si="80"/>
        <v/>
      </c>
      <c r="O895" s="116"/>
      <c r="R895" s="97"/>
      <c r="T895" s="98">
        <f t="shared" si="81"/>
        <v>0</v>
      </c>
      <c r="U895" s="99" t="str">
        <f>IFERROR(VLOOKUP($S895,References!$B$3:$C$8,2,FALSE),"")</f>
        <v/>
      </c>
      <c r="V895" s="99" t="str">
        <f t="shared" si="82"/>
        <v/>
      </c>
      <c r="W895" s="66" t="str">
        <f>IFERROR(VLOOKUP($O895,'Customer List'!$A$1:$J$488,10,FALSE),"")</f>
        <v/>
      </c>
    </row>
    <row r="896" spans="1:23">
      <c r="A896" s="95" t="str">
        <f t="shared" si="80"/>
        <v/>
      </c>
      <c r="O896" s="116"/>
      <c r="R896" s="97"/>
      <c r="T896" s="98">
        <f t="shared" si="81"/>
        <v>0</v>
      </c>
      <c r="U896" s="99" t="str">
        <f>IFERROR(VLOOKUP($S896,References!$B$3:$C$8,2,FALSE),"")</f>
        <v/>
      </c>
      <c r="V896" s="99" t="str">
        <f t="shared" si="82"/>
        <v/>
      </c>
      <c r="W896" s="66" t="str">
        <f>IFERROR(VLOOKUP($O896,'Customer List'!$A$1:$J$488,10,FALSE),"")</f>
        <v/>
      </c>
    </row>
    <row r="897" spans="1:23">
      <c r="A897" s="95" t="str">
        <f t="shared" si="80"/>
        <v/>
      </c>
      <c r="O897" s="116"/>
      <c r="R897" s="97"/>
      <c r="T897" s="98">
        <f t="shared" si="81"/>
        <v>0</v>
      </c>
      <c r="U897" s="99" t="str">
        <f>IFERROR(VLOOKUP($S897,References!$B$3:$C$8,2,FALSE),"")</f>
        <v/>
      </c>
      <c r="V897" s="99" t="str">
        <f t="shared" si="82"/>
        <v/>
      </c>
      <c r="W897" s="66" t="str">
        <f>IFERROR(VLOOKUP($O897,'Customer List'!$A$1:$J$488,10,FALSE),"")</f>
        <v/>
      </c>
    </row>
    <row r="898" spans="1:23">
      <c r="A898" s="95" t="str">
        <f t="shared" si="80"/>
        <v/>
      </c>
      <c r="O898" s="116"/>
      <c r="R898" s="97"/>
      <c r="T898" s="98">
        <f t="shared" si="81"/>
        <v>0</v>
      </c>
      <c r="U898" s="99" t="str">
        <f>IFERROR(VLOOKUP($S898,References!$B$3:$C$8,2,FALSE),"")</f>
        <v/>
      </c>
      <c r="V898" s="99" t="str">
        <f t="shared" si="82"/>
        <v/>
      </c>
      <c r="W898" s="66" t="str">
        <f>IFERROR(VLOOKUP($O898,'Customer List'!$A$1:$J$488,10,FALSE),"")</f>
        <v/>
      </c>
    </row>
    <row r="899" spans="1:23">
      <c r="A899" s="95" t="str">
        <f t="shared" si="80"/>
        <v/>
      </c>
      <c r="O899" s="116"/>
      <c r="R899" s="97"/>
      <c r="T899" s="98">
        <f t="shared" si="81"/>
        <v>0</v>
      </c>
      <c r="U899" s="99" t="str">
        <f>IFERROR(VLOOKUP($S899,References!$B$3:$C$8,2,FALSE),"")</f>
        <v/>
      </c>
      <c r="V899" s="99" t="str">
        <f t="shared" si="82"/>
        <v/>
      </c>
      <c r="W899" s="66" t="str">
        <f>IFERROR(VLOOKUP($O899,'Customer List'!$A$1:$J$488,10,FALSE),"")</f>
        <v/>
      </c>
    </row>
    <row r="900" spans="1:23">
      <c r="A900" s="95" t="str">
        <f t="shared" si="80"/>
        <v/>
      </c>
      <c r="O900" s="116"/>
      <c r="R900" s="97"/>
      <c r="T900" s="98">
        <f t="shared" si="81"/>
        <v>0</v>
      </c>
      <c r="U900" s="99" t="str">
        <f>IFERROR(VLOOKUP($S900,References!$B$3:$C$8,2,FALSE),"")</f>
        <v/>
      </c>
      <c r="V900" s="99" t="str">
        <f t="shared" si="82"/>
        <v/>
      </c>
      <c r="W900" s="66" t="str">
        <f>IFERROR(VLOOKUP($O900,'Customer List'!$A$1:$J$488,10,FALSE),"")</f>
        <v/>
      </c>
    </row>
    <row r="901" spans="1:23">
      <c r="A901" s="95" t="str">
        <f t="shared" si="80"/>
        <v/>
      </c>
      <c r="O901" s="116"/>
      <c r="R901" s="97"/>
      <c r="T901" s="98">
        <f t="shared" si="81"/>
        <v>0</v>
      </c>
      <c r="U901" s="99" t="str">
        <f>IFERROR(VLOOKUP($S901,References!$B$3:$C$8,2,FALSE),"")</f>
        <v/>
      </c>
      <c r="V901" s="99" t="str">
        <f t="shared" si="82"/>
        <v/>
      </c>
      <c r="W901" s="66" t="str">
        <f>IFERROR(VLOOKUP($O901,'Customer List'!$A$1:$J$488,10,FALSE),"")</f>
        <v/>
      </c>
    </row>
    <row r="902" spans="1:23">
      <c r="A902" s="95" t="str">
        <f t="shared" si="80"/>
        <v/>
      </c>
      <c r="O902" s="116"/>
      <c r="R902" s="97"/>
      <c r="T902" s="98">
        <f t="shared" si="81"/>
        <v>0</v>
      </c>
      <c r="U902" s="99" t="str">
        <f>IFERROR(VLOOKUP($S902,References!$B$3:$C$8,2,FALSE),"")</f>
        <v/>
      </c>
      <c r="V902" s="99" t="str">
        <f t="shared" si="82"/>
        <v/>
      </c>
      <c r="W902" s="66" t="str">
        <f>IFERROR(VLOOKUP($O902,'Customer List'!$A$1:$J$488,10,FALSE),"")</f>
        <v/>
      </c>
    </row>
    <row r="903" spans="1:23">
      <c r="A903" s="95" t="str">
        <f t="shared" si="80"/>
        <v/>
      </c>
      <c r="O903" s="116"/>
      <c r="R903" s="97"/>
      <c r="T903" s="98">
        <f t="shared" si="81"/>
        <v>0</v>
      </c>
      <c r="U903" s="99" t="str">
        <f>IFERROR(VLOOKUP($S903,References!$B$3:$C$8,2,FALSE),"")</f>
        <v/>
      </c>
      <c r="V903" s="99" t="str">
        <f t="shared" si="82"/>
        <v/>
      </c>
      <c r="W903" s="66" t="str">
        <f>IFERROR(VLOOKUP($O903,'Customer List'!$A$1:$J$488,10,FALSE),"")</f>
        <v/>
      </c>
    </row>
    <row r="904" spans="1:23">
      <c r="A904" s="95" t="str">
        <f t="shared" si="80"/>
        <v/>
      </c>
      <c r="O904" s="116"/>
      <c r="R904" s="97"/>
      <c r="T904" s="98">
        <f t="shared" si="81"/>
        <v>0</v>
      </c>
      <c r="U904" s="99" t="str">
        <f>IFERROR(VLOOKUP($S904,References!$B$3:$C$8,2,FALSE),"")</f>
        <v/>
      </c>
      <c r="V904" s="99" t="str">
        <f t="shared" si="82"/>
        <v/>
      </c>
      <c r="W904" s="66" t="str">
        <f>IFERROR(VLOOKUP($O904,'Customer List'!$A$1:$J$488,10,FALSE),"")</f>
        <v/>
      </c>
    </row>
    <row r="905" spans="1:23">
      <c r="A905" s="95" t="str">
        <f t="shared" si="80"/>
        <v/>
      </c>
      <c r="O905" s="116"/>
      <c r="R905" s="97"/>
      <c r="T905" s="98">
        <f t="shared" si="81"/>
        <v>0</v>
      </c>
      <c r="U905" s="99" t="str">
        <f>IFERROR(VLOOKUP($S905,References!$B$3:$C$8,2,FALSE),"")</f>
        <v/>
      </c>
      <c r="V905" s="99" t="str">
        <f t="shared" si="82"/>
        <v/>
      </c>
      <c r="W905" s="66" t="str">
        <f>IFERROR(VLOOKUP($O905,'Customer List'!$A$1:$J$488,10,FALSE),"")</f>
        <v/>
      </c>
    </row>
    <row r="906" spans="1:23">
      <c r="A906" s="95" t="str">
        <f t="shared" si="80"/>
        <v/>
      </c>
      <c r="O906" s="116"/>
      <c r="R906" s="97"/>
      <c r="T906" s="98">
        <f t="shared" si="81"/>
        <v>0</v>
      </c>
      <c r="U906" s="99" t="str">
        <f>IFERROR(VLOOKUP($S906,References!$B$3:$C$8,2,FALSE),"")</f>
        <v/>
      </c>
      <c r="V906" s="99" t="str">
        <f t="shared" si="82"/>
        <v/>
      </c>
      <c r="W906" s="66" t="str">
        <f>IFERROR(VLOOKUP($O906,'Customer List'!$A$1:$J$488,10,FALSE),"")</f>
        <v/>
      </c>
    </row>
    <row r="907" spans="1:23">
      <c r="A907" s="95" t="str">
        <f t="shared" si="80"/>
        <v/>
      </c>
      <c r="O907" s="116"/>
      <c r="R907" s="97"/>
      <c r="T907" s="98">
        <f t="shared" si="81"/>
        <v>0</v>
      </c>
      <c r="U907" s="99" t="str">
        <f>IFERROR(VLOOKUP($S907,References!$B$3:$C$8,2,FALSE),"")</f>
        <v/>
      </c>
      <c r="V907" s="99" t="str">
        <f t="shared" si="82"/>
        <v/>
      </c>
      <c r="W907" s="66" t="str">
        <f>IFERROR(VLOOKUP($O907,'Customer List'!$A$1:$J$488,10,FALSE),"")</f>
        <v/>
      </c>
    </row>
    <row r="908" spans="1:23">
      <c r="A908" s="95" t="str">
        <f t="shared" si="80"/>
        <v/>
      </c>
      <c r="O908" s="116"/>
      <c r="R908" s="97"/>
      <c r="T908" s="98">
        <f t="shared" si="81"/>
        <v>0</v>
      </c>
      <c r="U908" s="99" t="str">
        <f>IFERROR(VLOOKUP($S908,References!$B$3:$C$8,2,FALSE),"")</f>
        <v/>
      </c>
      <c r="V908" s="99" t="str">
        <f t="shared" si="82"/>
        <v/>
      </c>
      <c r="W908" s="66" t="str">
        <f>IFERROR(VLOOKUP($O908,'Customer List'!$A$1:$J$488,10,FALSE),"")</f>
        <v/>
      </c>
    </row>
    <row r="909" spans="1:23">
      <c r="A909" s="95" t="str">
        <f t="shared" si="80"/>
        <v/>
      </c>
      <c r="O909" s="116"/>
      <c r="R909" s="97"/>
      <c r="T909" s="98">
        <f t="shared" si="81"/>
        <v>0</v>
      </c>
      <c r="U909" s="99" t="str">
        <f>IFERROR(VLOOKUP($S909,References!$B$3:$C$8,2,FALSE),"")</f>
        <v/>
      </c>
      <c r="V909" s="99" t="str">
        <f t="shared" si="82"/>
        <v/>
      </c>
      <c r="W909" s="66" t="str">
        <f>IFERROR(VLOOKUP($O909,'Customer List'!$A$1:$J$488,10,FALSE),"")</f>
        <v/>
      </c>
    </row>
    <row r="910" spans="1:23">
      <c r="A910" s="95" t="str">
        <f t="shared" si="80"/>
        <v/>
      </c>
      <c r="O910" s="116"/>
      <c r="R910" s="97"/>
      <c r="T910" s="98">
        <f t="shared" si="81"/>
        <v>0</v>
      </c>
      <c r="U910" s="99" t="str">
        <f>IFERROR(VLOOKUP($S910,References!$B$3:$C$8,2,FALSE),"")</f>
        <v/>
      </c>
      <c r="V910" s="99" t="str">
        <f t="shared" si="82"/>
        <v/>
      </c>
      <c r="W910" s="66" t="str">
        <f>IFERROR(VLOOKUP($O910,'Customer List'!$A$1:$J$488,10,FALSE),"")</f>
        <v/>
      </c>
    </row>
    <row r="911" spans="1:23">
      <c r="A911" s="95" t="str">
        <f t="shared" ref="A911:A974" si="83">O911&amp;S911</f>
        <v/>
      </c>
      <c r="O911" s="116"/>
      <c r="R911" s="97"/>
      <c r="T911" s="98">
        <f t="shared" si="81"/>
        <v>0</v>
      </c>
      <c r="U911" s="99" t="str">
        <f>IFERROR(VLOOKUP($S911,References!$B$3:$C$8,2,FALSE),"")</f>
        <v/>
      </c>
      <c r="V911" s="99" t="str">
        <f t="shared" si="82"/>
        <v/>
      </c>
      <c r="W911" s="66" t="str">
        <f>IFERROR(VLOOKUP($O911,'Customer List'!$A$1:$J$488,10,FALSE),"")</f>
        <v/>
      </c>
    </row>
    <row r="912" spans="1:23">
      <c r="A912" s="95" t="str">
        <f t="shared" si="83"/>
        <v/>
      </c>
      <c r="O912" s="116"/>
      <c r="R912" s="97"/>
      <c r="T912" s="98">
        <f t="shared" ref="T912:T975" si="84">IF(S912="50 - Cleaning Fee",1,HOUR($R912)+MINUTE(R912)/60)</f>
        <v>0</v>
      </c>
      <c r="U912" s="99" t="str">
        <f>IFERROR(VLOOKUP($S912,References!$B$3:$C$8,2,FALSE),"")</f>
        <v/>
      </c>
      <c r="V912" s="99" t="str">
        <f t="shared" ref="V912:V975" si="85">IF(T912&gt;=8,400,(IFERROR(T912*U912,"")))</f>
        <v/>
      </c>
      <c r="W912" s="66" t="str">
        <f>IFERROR(VLOOKUP($O912,'Customer List'!$A$1:$J$488,10,FALSE),"")</f>
        <v/>
      </c>
    </row>
    <row r="913" spans="1:23">
      <c r="A913" s="95" t="str">
        <f t="shared" si="83"/>
        <v/>
      </c>
      <c r="O913" s="116"/>
      <c r="R913" s="97"/>
      <c r="T913" s="98">
        <f t="shared" si="84"/>
        <v>0</v>
      </c>
      <c r="U913" s="99" t="str">
        <f>IFERROR(VLOOKUP($S913,References!$B$3:$C$8,2,FALSE),"")</f>
        <v/>
      </c>
      <c r="V913" s="99" t="str">
        <f t="shared" si="85"/>
        <v/>
      </c>
      <c r="W913" s="66" t="str">
        <f>IFERROR(VLOOKUP($O913,'Customer List'!$A$1:$J$488,10,FALSE),"")</f>
        <v/>
      </c>
    </row>
    <row r="914" spans="1:23">
      <c r="A914" s="95" t="str">
        <f t="shared" si="83"/>
        <v/>
      </c>
      <c r="O914" s="116"/>
      <c r="R914" s="97"/>
      <c r="T914" s="98">
        <f t="shared" si="84"/>
        <v>0</v>
      </c>
      <c r="U914" s="99" t="str">
        <f>IFERROR(VLOOKUP($S914,References!$B$3:$C$8,2,FALSE),"")</f>
        <v/>
      </c>
      <c r="V914" s="99" t="str">
        <f t="shared" si="85"/>
        <v/>
      </c>
      <c r="W914" s="66" t="str">
        <f>IFERROR(VLOOKUP($O914,'Customer List'!$A$1:$J$488,10,FALSE),"")</f>
        <v/>
      </c>
    </row>
    <row r="915" spans="1:23">
      <c r="A915" s="95" t="str">
        <f t="shared" si="83"/>
        <v/>
      </c>
      <c r="O915" s="116"/>
      <c r="R915" s="97"/>
      <c r="T915" s="98">
        <f t="shared" si="84"/>
        <v>0</v>
      </c>
      <c r="U915" s="99" t="str">
        <f>IFERROR(VLOOKUP($S915,References!$B$3:$C$8,2,FALSE),"")</f>
        <v/>
      </c>
      <c r="V915" s="99" t="str">
        <f t="shared" si="85"/>
        <v/>
      </c>
      <c r="W915" s="66" t="str">
        <f>IFERROR(VLOOKUP($O915,'Customer List'!$A$1:$J$488,10,FALSE),"")</f>
        <v/>
      </c>
    </row>
    <row r="916" spans="1:23">
      <c r="A916" s="95" t="str">
        <f t="shared" si="83"/>
        <v/>
      </c>
      <c r="O916" s="116"/>
      <c r="R916" s="97"/>
      <c r="T916" s="98">
        <f t="shared" si="84"/>
        <v>0</v>
      </c>
      <c r="U916" s="99" t="str">
        <f>IFERROR(VLOOKUP($S916,References!$B$3:$C$8,2,FALSE),"")</f>
        <v/>
      </c>
      <c r="V916" s="99" t="str">
        <f t="shared" si="85"/>
        <v/>
      </c>
      <c r="W916" s="66" t="str">
        <f>IFERROR(VLOOKUP($O916,'Customer List'!$A$1:$J$488,10,FALSE),"")</f>
        <v/>
      </c>
    </row>
    <row r="917" spans="1:23">
      <c r="A917" s="95" t="str">
        <f t="shared" si="83"/>
        <v/>
      </c>
      <c r="O917" s="116"/>
      <c r="R917" s="97"/>
      <c r="T917" s="98">
        <f t="shared" si="84"/>
        <v>0</v>
      </c>
      <c r="U917" s="99" t="str">
        <f>IFERROR(VLOOKUP($S917,References!$B$3:$C$8,2,FALSE),"")</f>
        <v/>
      </c>
      <c r="V917" s="99" t="str">
        <f t="shared" si="85"/>
        <v/>
      </c>
      <c r="W917" s="66" t="str">
        <f>IFERROR(VLOOKUP($O917,'Customer List'!$A$1:$J$488,10,FALSE),"")</f>
        <v/>
      </c>
    </row>
    <row r="918" spans="1:23">
      <c r="A918" s="95" t="str">
        <f t="shared" si="83"/>
        <v/>
      </c>
      <c r="O918" s="116"/>
      <c r="R918" s="97"/>
      <c r="T918" s="98">
        <f t="shared" si="84"/>
        <v>0</v>
      </c>
      <c r="U918" s="99" t="str">
        <f>IFERROR(VLOOKUP($S918,References!$B$3:$C$8,2,FALSE),"")</f>
        <v/>
      </c>
      <c r="V918" s="99" t="str">
        <f t="shared" si="85"/>
        <v/>
      </c>
      <c r="W918" s="66" t="str">
        <f>IFERROR(VLOOKUP($O918,'Customer List'!$A$1:$J$488,10,FALSE),"")</f>
        <v/>
      </c>
    </row>
    <row r="919" spans="1:23">
      <c r="A919" s="95" t="str">
        <f t="shared" si="83"/>
        <v/>
      </c>
      <c r="O919" s="116"/>
      <c r="R919" s="97"/>
      <c r="T919" s="98">
        <f t="shared" si="84"/>
        <v>0</v>
      </c>
      <c r="U919" s="99" t="str">
        <f>IFERROR(VLOOKUP($S919,References!$B$3:$C$8,2,FALSE),"")</f>
        <v/>
      </c>
      <c r="V919" s="99" t="str">
        <f t="shared" si="85"/>
        <v/>
      </c>
      <c r="W919" s="66" t="str">
        <f>IFERROR(VLOOKUP($O919,'Customer List'!$A$1:$J$488,10,FALSE),"")</f>
        <v/>
      </c>
    </row>
    <row r="920" spans="1:23">
      <c r="A920" s="95" t="str">
        <f t="shared" si="83"/>
        <v/>
      </c>
      <c r="O920" s="116"/>
      <c r="R920" s="97"/>
      <c r="T920" s="98">
        <f t="shared" si="84"/>
        <v>0</v>
      </c>
      <c r="U920" s="99" t="str">
        <f>IFERROR(VLOOKUP($S920,References!$B$3:$C$8,2,FALSE),"")</f>
        <v/>
      </c>
      <c r="V920" s="99" t="str">
        <f t="shared" si="85"/>
        <v/>
      </c>
      <c r="W920" s="66" t="str">
        <f>IFERROR(VLOOKUP($O920,'Customer List'!$A$1:$J$488,10,FALSE),"")</f>
        <v/>
      </c>
    </row>
    <row r="921" spans="1:23">
      <c r="A921" s="95" t="str">
        <f t="shared" si="83"/>
        <v/>
      </c>
      <c r="O921" s="116"/>
      <c r="R921" s="97"/>
      <c r="T921" s="98">
        <f t="shared" si="84"/>
        <v>0</v>
      </c>
      <c r="U921" s="99" t="str">
        <f>IFERROR(VLOOKUP($S921,References!$B$3:$C$8,2,FALSE),"")</f>
        <v/>
      </c>
      <c r="V921" s="99" t="str">
        <f t="shared" si="85"/>
        <v/>
      </c>
      <c r="W921" s="66" t="str">
        <f>IFERROR(VLOOKUP($O921,'Customer List'!$A$1:$J$488,10,FALSE),"")</f>
        <v/>
      </c>
    </row>
    <row r="922" spans="1:23">
      <c r="A922" s="95" t="str">
        <f t="shared" si="83"/>
        <v/>
      </c>
      <c r="O922" s="116"/>
      <c r="R922" s="97"/>
      <c r="T922" s="98">
        <f t="shared" si="84"/>
        <v>0</v>
      </c>
      <c r="U922" s="99" t="str">
        <f>IFERROR(VLOOKUP($S922,References!$B$3:$C$8,2,FALSE),"")</f>
        <v/>
      </c>
      <c r="V922" s="99" t="str">
        <f t="shared" si="85"/>
        <v/>
      </c>
      <c r="W922" s="66" t="str">
        <f>IFERROR(VLOOKUP($O922,'Customer List'!$A$1:$J$488,10,FALSE),"")</f>
        <v/>
      </c>
    </row>
    <row r="923" spans="1:23">
      <c r="A923" s="95" t="str">
        <f t="shared" si="83"/>
        <v/>
      </c>
      <c r="O923" s="116"/>
      <c r="R923" s="97"/>
      <c r="T923" s="98">
        <f t="shared" si="84"/>
        <v>0</v>
      </c>
      <c r="U923" s="99" t="str">
        <f>IFERROR(VLOOKUP($S923,References!$B$3:$C$8,2,FALSE),"")</f>
        <v/>
      </c>
      <c r="V923" s="99" t="str">
        <f t="shared" si="85"/>
        <v/>
      </c>
      <c r="W923" s="66" t="str">
        <f>IFERROR(VLOOKUP($O923,'Customer List'!$A$1:$J$488,10,FALSE),"")</f>
        <v/>
      </c>
    </row>
    <row r="924" spans="1:23">
      <c r="A924" s="95" t="str">
        <f t="shared" si="83"/>
        <v/>
      </c>
      <c r="O924" s="116"/>
      <c r="R924" s="97"/>
      <c r="T924" s="98">
        <f t="shared" si="84"/>
        <v>0</v>
      </c>
      <c r="U924" s="99" t="str">
        <f>IFERROR(VLOOKUP($S924,References!$B$3:$C$8,2,FALSE),"")</f>
        <v/>
      </c>
      <c r="V924" s="99" t="str">
        <f t="shared" si="85"/>
        <v/>
      </c>
      <c r="W924" s="66" t="str">
        <f>IFERROR(VLOOKUP($O924,'Customer List'!$A$1:$J$488,10,FALSE),"")</f>
        <v/>
      </c>
    </row>
    <row r="925" spans="1:23">
      <c r="A925" s="95" t="str">
        <f t="shared" si="83"/>
        <v/>
      </c>
      <c r="O925" s="116"/>
      <c r="R925" s="97"/>
      <c r="T925" s="98">
        <f t="shared" si="84"/>
        <v>0</v>
      </c>
      <c r="U925" s="99" t="str">
        <f>IFERROR(VLOOKUP($S925,References!$B$3:$C$8,2,FALSE),"")</f>
        <v/>
      </c>
      <c r="V925" s="99" t="str">
        <f t="shared" si="85"/>
        <v/>
      </c>
      <c r="W925" s="66" t="str">
        <f>IFERROR(VLOOKUP($O925,'Customer List'!$A$1:$J$488,10,FALSE),"")</f>
        <v/>
      </c>
    </row>
    <row r="926" spans="1:23">
      <c r="A926" s="95" t="str">
        <f t="shared" si="83"/>
        <v/>
      </c>
      <c r="O926" s="116"/>
      <c r="R926" s="97"/>
      <c r="T926" s="98">
        <f t="shared" si="84"/>
        <v>0</v>
      </c>
      <c r="U926" s="99" t="str">
        <f>IFERROR(VLOOKUP($S926,References!$B$3:$C$8,2,FALSE),"")</f>
        <v/>
      </c>
      <c r="V926" s="99" t="str">
        <f t="shared" si="85"/>
        <v/>
      </c>
      <c r="W926" s="66" t="str">
        <f>IFERROR(VLOOKUP($O926,'Customer List'!$A$1:$J$488,10,FALSE),"")</f>
        <v/>
      </c>
    </row>
    <row r="927" spans="1:23">
      <c r="A927" s="95" t="str">
        <f t="shared" si="83"/>
        <v/>
      </c>
      <c r="O927" s="116"/>
      <c r="R927" s="97"/>
      <c r="T927" s="98">
        <f t="shared" si="84"/>
        <v>0</v>
      </c>
      <c r="U927" s="99" t="str">
        <f>IFERROR(VLOOKUP($S927,References!$B$3:$C$8,2,FALSE),"")</f>
        <v/>
      </c>
      <c r="V927" s="99" t="str">
        <f t="shared" si="85"/>
        <v/>
      </c>
      <c r="W927" s="66" t="str">
        <f>IFERROR(VLOOKUP($O927,'Customer List'!$A$1:$J$488,10,FALSE),"")</f>
        <v/>
      </c>
    </row>
    <row r="928" spans="1:23">
      <c r="A928" s="95" t="str">
        <f t="shared" si="83"/>
        <v/>
      </c>
      <c r="O928" s="116"/>
      <c r="R928" s="97"/>
      <c r="T928" s="98">
        <f t="shared" si="84"/>
        <v>0</v>
      </c>
      <c r="U928" s="99" t="str">
        <f>IFERROR(VLOOKUP($S928,References!$B$3:$C$8,2,FALSE),"")</f>
        <v/>
      </c>
      <c r="V928" s="99" t="str">
        <f t="shared" si="85"/>
        <v/>
      </c>
      <c r="W928" s="66" t="str">
        <f>IFERROR(VLOOKUP($O928,'Customer List'!$A$1:$J$488,10,FALSE),"")</f>
        <v/>
      </c>
    </row>
    <row r="929" spans="1:23">
      <c r="A929" s="95" t="str">
        <f t="shared" si="83"/>
        <v/>
      </c>
      <c r="O929" s="116"/>
      <c r="R929" s="97"/>
      <c r="T929" s="98">
        <f t="shared" si="84"/>
        <v>0</v>
      </c>
      <c r="U929" s="99" t="str">
        <f>IFERROR(VLOOKUP($S929,References!$B$3:$C$8,2,FALSE),"")</f>
        <v/>
      </c>
      <c r="V929" s="99" t="str">
        <f t="shared" si="85"/>
        <v/>
      </c>
      <c r="W929" s="66" t="str">
        <f>IFERROR(VLOOKUP($O929,'Customer List'!$A$1:$J$488,10,FALSE),"")</f>
        <v/>
      </c>
    </row>
    <row r="930" spans="1:23">
      <c r="A930" s="95" t="str">
        <f t="shared" si="83"/>
        <v/>
      </c>
      <c r="O930" s="116"/>
      <c r="R930" s="97"/>
      <c r="T930" s="98">
        <f t="shared" si="84"/>
        <v>0</v>
      </c>
      <c r="U930" s="99" t="str">
        <f>IFERROR(VLOOKUP($S930,References!$B$3:$C$8,2,FALSE),"")</f>
        <v/>
      </c>
      <c r="V930" s="99" t="str">
        <f t="shared" si="85"/>
        <v/>
      </c>
      <c r="W930" s="66" t="str">
        <f>IFERROR(VLOOKUP($O930,'Customer List'!$A$1:$J$488,10,FALSE),"")</f>
        <v/>
      </c>
    </row>
    <row r="931" spans="1:23">
      <c r="A931" s="95" t="str">
        <f t="shared" si="83"/>
        <v/>
      </c>
      <c r="O931" s="116"/>
      <c r="R931" s="97"/>
      <c r="T931" s="98">
        <f t="shared" si="84"/>
        <v>0</v>
      </c>
      <c r="U931" s="99" t="str">
        <f>IFERROR(VLOOKUP($S931,References!$B$3:$C$8,2,FALSE),"")</f>
        <v/>
      </c>
      <c r="V931" s="99" t="str">
        <f t="shared" si="85"/>
        <v/>
      </c>
      <c r="W931" s="66" t="str">
        <f>IFERROR(VLOOKUP($O931,'Customer List'!$A$1:$J$488,10,FALSE),"")</f>
        <v/>
      </c>
    </row>
    <row r="932" spans="1:23">
      <c r="A932" s="95" t="str">
        <f t="shared" si="83"/>
        <v/>
      </c>
      <c r="O932" s="116"/>
      <c r="R932" s="97"/>
      <c r="T932" s="98">
        <f t="shared" si="84"/>
        <v>0</v>
      </c>
      <c r="U932" s="99" t="str">
        <f>IFERROR(VLOOKUP($S932,References!$B$3:$C$8,2,FALSE),"")</f>
        <v/>
      </c>
      <c r="V932" s="99" t="str">
        <f t="shared" si="85"/>
        <v/>
      </c>
      <c r="W932" s="66" t="str">
        <f>IFERROR(VLOOKUP($O932,'Customer List'!$A$1:$J$488,10,FALSE),"")</f>
        <v/>
      </c>
    </row>
    <row r="933" spans="1:23">
      <c r="A933" s="95" t="str">
        <f t="shared" si="83"/>
        <v/>
      </c>
      <c r="O933" s="116"/>
      <c r="R933" s="97"/>
      <c r="T933" s="98">
        <f t="shared" si="84"/>
        <v>0</v>
      </c>
      <c r="U933" s="99" t="str">
        <f>IFERROR(VLOOKUP($S933,References!$B$3:$C$8,2,FALSE),"")</f>
        <v/>
      </c>
      <c r="V933" s="99" t="str">
        <f t="shared" si="85"/>
        <v/>
      </c>
      <c r="W933" s="66" t="str">
        <f>IFERROR(VLOOKUP($O933,'Customer List'!$A$1:$J$488,10,FALSE),"")</f>
        <v/>
      </c>
    </row>
    <row r="934" spans="1:23">
      <c r="A934" s="95" t="str">
        <f t="shared" si="83"/>
        <v/>
      </c>
      <c r="O934" s="116"/>
      <c r="R934" s="97"/>
      <c r="T934" s="98">
        <f t="shared" si="84"/>
        <v>0</v>
      </c>
      <c r="U934" s="99" t="str">
        <f>IFERROR(VLOOKUP($S934,References!$B$3:$C$8,2,FALSE),"")</f>
        <v/>
      </c>
      <c r="V934" s="99" t="str">
        <f t="shared" si="85"/>
        <v/>
      </c>
      <c r="W934" s="66" t="str">
        <f>IFERROR(VLOOKUP($O934,'Customer List'!$A$1:$J$488,10,FALSE),"")</f>
        <v/>
      </c>
    </row>
    <row r="935" spans="1:23">
      <c r="A935" s="95" t="str">
        <f t="shared" si="83"/>
        <v/>
      </c>
      <c r="O935" s="116"/>
      <c r="R935" s="97"/>
      <c r="T935" s="98">
        <f t="shared" si="84"/>
        <v>0</v>
      </c>
      <c r="U935" s="99" t="str">
        <f>IFERROR(VLOOKUP($S935,References!$B$3:$C$8,2,FALSE),"")</f>
        <v/>
      </c>
      <c r="V935" s="99" t="str">
        <f t="shared" si="85"/>
        <v/>
      </c>
      <c r="W935" s="66" t="str">
        <f>IFERROR(VLOOKUP($O935,'Customer List'!$A$1:$J$488,10,FALSE),"")</f>
        <v/>
      </c>
    </row>
    <row r="936" spans="1:23">
      <c r="A936" s="95" t="str">
        <f t="shared" si="83"/>
        <v/>
      </c>
      <c r="O936" s="116"/>
      <c r="R936" s="97"/>
      <c r="T936" s="98">
        <f t="shared" si="84"/>
        <v>0</v>
      </c>
      <c r="U936" s="99" t="str">
        <f>IFERROR(VLOOKUP($S936,References!$B$3:$C$8,2,FALSE),"")</f>
        <v/>
      </c>
      <c r="V936" s="99" t="str">
        <f t="shared" si="85"/>
        <v/>
      </c>
      <c r="W936" s="66" t="str">
        <f>IFERROR(VLOOKUP($O936,'Customer List'!$A$1:$J$488,10,FALSE),"")</f>
        <v/>
      </c>
    </row>
    <row r="937" spans="1:23">
      <c r="A937" s="95" t="str">
        <f t="shared" si="83"/>
        <v/>
      </c>
      <c r="O937" s="116"/>
      <c r="R937" s="97"/>
      <c r="T937" s="98">
        <f t="shared" si="84"/>
        <v>0</v>
      </c>
      <c r="U937" s="99" t="str">
        <f>IFERROR(VLOOKUP($S937,References!$B$3:$C$8,2,FALSE),"")</f>
        <v/>
      </c>
      <c r="V937" s="99" t="str">
        <f t="shared" si="85"/>
        <v/>
      </c>
      <c r="W937" s="66" t="str">
        <f>IFERROR(VLOOKUP($O937,'Customer List'!$A$1:$J$488,10,FALSE),"")</f>
        <v/>
      </c>
    </row>
    <row r="938" spans="1:23">
      <c r="A938" s="95" t="str">
        <f t="shared" si="83"/>
        <v/>
      </c>
      <c r="O938" s="116"/>
      <c r="R938" s="97"/>
      <c r="T938" s="98">
        <f t="shared" si="84"/>
        <v>0</v>
      </c>
      <c r="U938" s="99" t="str">
        <f>IFERROR(VLOOKUP($S938,References!$B$3:$C$8,2,FALSE),"")</f>
        <v/>
      </c>
      <c r="V938" s="99" t="str">
        <f t="shared" si="85"/>
        <v/>
      </c>
      <c r="W938" s="66" t="str">
        <f>IFERROR(VLOOKUP($O938,'Customer List'!$A$1:$J$488,10,FALSE),"")</f>
        <v/>
      </c>
    </row>
    <row r="939" spans="1:23">
      <c r="A939" s="95" t="str">
        <f t="shared" si="83"/>
        <v/>
      </c>
      <c r="O939" s="116"/>
      <c r="R939" s="97"/>
      <c r="T939" s="98">
        <f t="shared" si="84"/>
        <v>0</v>
      </c>
      <c r="U939" s="99" t="str">
        <f>IFERROR(VLOOKUP($S939,References!$B$3:$C$8,2,FALSE),"")</f>
        <v/>
      </c>
      <c r="V939" s="99" t="str">
        <f t="shared" si="85"/>
        <v/>
      </c>
      <c r="W939" s="66" t="str">
        <f>IFERROR(VLOOKUP($O939,'Customer List'!$A$1:$J$488,10,FALSE),"")</f>
        <v/>
      </c>
    </row>
    <row r="940" spans="1:23">
      <c r="A940" s="95" t="str">
        <f t="shared" si="83"/>
        <v/>
      </c>
      <c r="O940" s="116"/>
      <c r="R940" s="97"/>
      <c r="T940" s="98">
        <f t="shared" si="84"/>
        <v>0</v>
      </c>
      <c r="U940" s="99" t="str">
        <f>IFERROR(VLOOKUP($S940,References!$B$3:$C$8,2,FALSE),"")</f>
        <v/>
      </c>
      <c r="V940" s="99" t="str">
        <f t="shared" si="85"/>
        <v/>
      </c>
      <c r="W940" s="66" t="str">
        <f>IFERROR(VLOOKUP($O940,'Customer List'!$A$1:$J$488,10,FALSE),"")</f>
        <v/>
      </c>
    </row>
    <row r="941" spans="1:23">
      <c r="A941" s="95" t="str">
        <f t="shared" si="83"/>
        <v/>
      </c>
      <c r="O941" s="116"/>
      <c r="R941" s="97"/>
      <c r="T941" s="98">
        <f t="shared" si="84"/>
        <v>0</v>
      </c>
      <c r="U941" s="99" t="str">
        <f>IFERROR(VLOOKUP($S941,References!$B$3:$C$8,2,FALSE),"")</f>
        <v/>
      </c>
      <c r="V941" s="99" t="str">
        <f t="shared" si="85"/>
        <v/>
      </c>
      <c r="W941" s="66" t="str">
        <f>IFERROR(VLOOKUP($O941,'Customer List'!$A$1:$J$488,10,FALSE),"")</f>
        <v/>
      </c>
    </row>
    <row r="942" spans="1:23">
      <c r="A942" s="95" t="str">
        <f t="shared" si="83"/>
        <v/>
      </c>
      <c r="O942" s="116"/>
      <c r="R942" s="97"/>
      <c r="T942" s="98">
        <f t="shared" si="84"/>
        <v>0</v>
      </c>
      <c r="U942" s="99" t="str">
        <f>IFERROR(VLOOKUP($S942,References!$B$3:$C$8,2,FALSE),"")</f>
        <v/>
      </c>
      <c r="V942" s="99" t="str">
        <f t="shared" si="85"/>
        <v/>
      </c>
      <c r="W942" s="66" t="str">
        <f>IFERROR(VLOOKUP($O942,'Customer List'!$A$1:$J$488,10,FALSE),"")</f>
        <v/>
      </c>
    </row>
    <row r="943" spans="1:23">
      <c r="A943" s="95" t="str">
        <f t="shared" si="83"/>
        <v/>
      </c>
      <c r="O943" s="116"/>
      <c r="R943" s="97"/>
      <c r="T943" s="98">
        <f t="shared" si="84"/>
        <v>0</v>
      </c>
      <c r="U943" s="99" t="str">
        <f>IFERROR(VLOOKUP($S943,References!$B$3:$C$8,2,FALSE),"")</f>
        <v/>
      </c>
      <c r="V943" s="99" t="str">
        <f t="shared" si="85"/>
        <v/>
      </c>
      <c r="W943" s="66" t="str">
        <f>IFERROR(VLOOKUP($O943,'Customer List'!$A$1:$J$488,10,FALSE),"")</f>
        <v/>
      </c>
    </row>
    <row r="944" spans="1:23">
      <c r="A944" s="95" t="str">
        <f t="shared" si="83"/>
        <v/>
      </c>
      <c r="O944" s="116"/>
      <c r="R944" s="97"/>
      <c r="T944" s="98">
        <f t="shared" si="84"/>
        <v>0</v>
      </c>
      <c r="U944" s="99" t="str">
        <f>IFERROR(VLOOKUP($S944,References!$B$3:$C$8,2,FALSE),"")</f>
        <v/>
      </c>
      <c r="V944" s="99" t="str">
        <f t="shared" si="85"/>
        <v/>
      </c>
      <c r="W944" s="66" t="str">
        <f>IFERROR(VLOOKUP($O944,'Customer List'!$A$1:$J$488,10,FALSE),"")</f>
        <v/>
      </c>
    </row>
    <row r="945" spans="1:23">
      <c r="A945" s="95" t="str">
        <f t="shared" si="83"/>
        <v/>
      </c>
      <c r="O945" s="116"/>
      <c r="R945" s="97"/>
      <c r="T945" s="98">
        <f t="shared" si="84"/>
        <v>0</v>
      </c>
      <c r="U945" s="99" t="str">
        <f>IFERROR(VLOOKUP($S945,References!$B$3:$C$8,2,FALSE),"")</f>
        <v/>
      </c>
      <c r="V945" s="99" t="str">
        <f t="shared" si="85"/>
        <v/>
      </c>
      <c r="W945" s="66" t="str">
        <f>IFERROR(VLOOKUP($O945,'Customer List'!$A$1:$J$488,10,FALSE),"")</f>
        <v/>
      </c>
    </row>
    <row r="946" spans="1:23">
      <c r="A946" s="95" t="str">
        <f t="shared" si="83"/>
        <v/>
      </c>
      <c r="O946" s="116"/>
      <c r="R946" s="97"/>
      <c r="T946" s="98">
        <f t="shared" si="84"/>
        <v>0</v>
      </c>
      <c r="U946" s="99" t="str">
        <f>IFERROR(VLOOKUP($S946,References!$B$3:$C$8,2,FALSE),"")</f>
        <v/>
      </c>
      <c r="V946" s="99" t="str">
        <f t="shared" si="85"/>
        <v/>
      </c>
      <c r="W946" s="66" t="str">
        <f>IFERROR(VLOOKUP($O946,'Customer List'!$A$1:$J$488,10,FALSE),"")</f>
        <v/>
      </c>
    </row>
    <row r="947" spans="1:23">
      <c r="A947" s="95" t="str">
        <f t="shared" si="83"/>
        <v/>
      </c>
      <c r="O947" s="116"/>
      <c r="R947" s="97"/>
      <c r="T947" s="98">
        <f t="shared" si="84"/>
        <v>0</v>
      </c>
      <c r="U947" s="99" t="str">
        <f>IFERROR(VLOOKUP($S947,References!$B$3:$C$8,2,FALSE),"")</f>
        <v/>
      </c>
      <c r="V947" s="99" t="str">
        <f t="shared" si="85"/>
        <v/>
      </c>
      <c r="W947" s="66" t="str">
        <f>IFERROR(VLOOKUP($O947,'Customer List'!$A$1:$J$488,10,FALSE),"")</f>
        <v/>
      </c>
    </row>
    <row r="948" spans="1:23">
      <c r="A948" s="95" t="str">
        <f t="shared" si="83"/>
        <v/>
      </c>
      <c r="O948" s="116"/>
      <c r="R948" s="97"/>
      <c r="T948" s="98">
        <f t="shared" si="84"/>
        <v>0</v>
      </c>
      <c r="U948" s="99" t="str">
        <f>IFERROR(VLOOKUP($S948,References!$B$3:$C$8,2,FALSE),"")</f>
        <v/>
      </c>
      <c r="V948" s="99" t="str">
        <f t="shared" si="85"/>
        <v/>
      </c>
      <c r="W948" s="66" t="str">
        <f>IFERROR(VLOOKUP($O948,'Customer List'!$A$1:$J$488,10,FALSE),"")</f>
        <v/>
      </c>
    </row>
    <row r="949" spans="1:23">
      <c r="A949" s="95" t="str">
        <f t="shared" si="83"/>
        <v/>
      </c>
      <c r="O949" s="116"/>
      <c r="R949" s="97"/>
      <c r="T949" s="98">
        <f t="shared" si="84"/>
        <v>0</v>
      </c>
      <c r="U949" s="99" t="str">
        <f>IFERROR(VLOOKUP($S949,References!$B$3:$C$8,2,FALSE),"")</f>
        <v/>
      </c>
      <c r="V949" s="99" t="str">
        <f t="shared" si="85"/>
        <v/>
      </c>
      <c r="W949" s="66" t="str">
        <f>IFERROR(VLOOKUP($O949,'Customer List'!$A$1:$J$488,10,FALSE),"")</f>
        <v/>
      </c>
    </row>
    <row r="950" spans="1:23">
      <c r="A950" s="95" t="str">
        <f t="shared" si="83"/>
        <v/>
      </c>
      <c r="O950" s="116"/>
      <c r="R950" s="97"/>
      <c r="T950" s="98">
        <f t="shared" si="84"/>
        <v>0</v>
      </c>
      <c r="U950" s="99" t="str">
        <f>IFERROR(VLOOKUP($S950,References!$B$3:$C$8,2,FALSE),"")</f>
        <v/>
      </c>
      <c r="V950" s="99" t="str">
        <f t="shared" si="85"/>
        <v/>
      </c>
      <c r="W950" s="66" t="str">
        <f>IFERROR(VLOOKUP($O950,'Customer List'!$A$1:$J$488,10,FALSE),"")</f>
        <v/>
      </c>
    </row>
    <row r="951" spans="1:23">
      <c r="A951" s="95" t="str">
        <f t="shared" si="83"/>
        <v/>
      </c>
      <c r="O951" s="116"/>
      <c r="R951" s="97"/>
      <c r="T951" s="98">
        <f t="shared" si="84"/>
        <v>0</v>
      </c>
      <c r="U951" s="99" t="str">
        <f>IFERROR(VLOOKUP($S951,References!$B$3:$C$8,2,FALSE),"")</f>
        <v/>
      </c>
      <c r="V951" s="99" t="str">
        <f t="shared" si="85"/>
        <v/>
      </c>
      <c r="W951" s="66" t="str">
        <f>IFERROR(VLOOKUP($O951,'Customer List'!$A$1:$J$488,10,FALSE),"")</f>
        <v/>
      </c>
    </row>
    <row r="952" spans="1:23">
      <c r="A952" s="95" t="str">
        <f t="shared" si="83"/>
        <v/>
      </c>
      <c r="O952" s="116"/>
      <c r="R952" s="97"/>
      <c r="T952" s="98">
        <f t="shared" si="84"/>
        <v>0</v>
      </c>
      <c r="U952" s="99" t="str">
        <f>IFERROR(VLOOKUP($S952,References!$B$3:$C$8,2,FALSE),"")</f>
        <v/>
      </c>
      <c r="V952" s="99" t="str">
        <f t="shared" si="85"/>
        <v/>
      </c>
      <c r="W952" s="66" t="str">
        <f>IFERROR(VLOOKUP($O952,'Customer List'!$A$1:$J$488,10,FALSE),"")</f>
        <v/>
      </c>
    </row>
    <row r="953" spans="1:23">
      <c r="A953" s="95" t="str">
        <f t="shared" si="83"/>
        <v/>
      </c>
      <c r="O953" s="116"/>
      <c r="R953" s="97"/>
      <c r="T953" s="98">
        <f t="shared" si="84"/>
        <v>0</v>
      </c>
      <c r="U953" s="99" t="str">
        <f>IFERROR(VLOOKUP($S953,References!$B$3:$C$8,2,FALSE),"")</f>
        <v/>
      </c>
      <c r="V953" s="99" t="str">
        <f t="shared" si="85"/>
        <v/>
      </c>
      <c r="W953" s="66" t="str">
        <f>IFERROR(VLOOKUP($O953,'Customer List'!$A$1:$J$488,10,FALSE),"")</f>
        <v/>
      </c>
    </row>
    <row r="954" spans="1:23">
      <c r="A954" s="95" t="str">
        <f t="shared" si="83"/>
        <v/>
      </c>
      <c r="O954" s="116"/>
      <c r="R954" s="97"/>
      <c r="T954" s="98">
        <f t="shared" si="84"/>
        <v>0</v>
      </c>
      <c r="U954" s="99" t="str">
        <f>IFERROR(VLOOKUP($S954,References!$B$3:$C$8,2,FALSE),"")</f>
        <v/>
      </c>
      <c r="V954" s="99" t="str">
        <f t="shared" si="85"/>
        <v/>
      </c>
      <c r="W954" s="66" t="str">
        <f>IFERROR(VLOOKUP($O954,'Customer List'!$A$1:$J$488,10,FALSE),"")</f>
        <v/>
      </c>
    </row>
    <row r="955" spans="1:23">
      <c r="A955" s="95" t="str">
        <f t="shared" si="83"/>
        <v/>
      </c>
      <c r="O955" s="116"/>
      <c r="R955" s="97"/>
      <c r="T955" s="98">
        <f t="shared" si="84"/>
        <v>0</v>
      </c>
      <c r="U955" s="99" t="str">
        <f>IFERROR(VLOOKUP($S955,References!$B$3:$C$8,2,FALSE),"")</f>
        <v/>
      </c>
      <c r="V955" s="99" t="str">
        <f t="shared" si="85"/>
        <v/>
      </c>
      <c r="W955" s="66" t="str">
        <f>IFERROR(VLOOKUP($O955,'Customer List'!$A$1:$J$488,10,FALSE),"")</f>
        <v/>
      </c>
    </row>
    <row r="956" spans="1:23">
      <c r="A956" s="95" t="str">
        <f t="shared" si="83"/>
        <v/>
      </c>
      <c r="O956" s="116"/>
      <c r="R956" s="97"/>
      <c r="T956" s="98">
        <f t="shared" si="84"/>
        <v>0</v>
      </c>
      <c r="U956" s="99" t="str">
        <f>IFERROR(VLOOKUP($S956,References!$B$3:$C$8,2,FALSE),"")</f>
        <v/>
      </c>
      <c r="V956" s="99" t="str">
        <f t="shared" si="85"/>
        <v/>
      </c>
      <c r="W956" s="66" t="str">
        <f>IFERROR(VLOOKUP($O956,'Customer List'!$A$1:$J$488,10,FALSE),"")</f>
        <v/>
      </c>
    </row>
    <row r="957" spans="1:23">
      <c r="A957" s="95" t="str">
        <f t="shared" si="83"/>
        <v/>
      </c>
      <c r="O957" s="116"/>
      <c r="R957" s="97"/>
      <c r="T957" s="98">
        <f t="shared" si="84"/>
        <v>0</v>
      </c>
      <c r="U957" s="99" t="str">
        <f>IFERROR(VLOOKUP($S957,References!$B$3:$C$8,2,FALSE),"")</f>
        <v/>
      </c>
      <c r="V957" s="99" t="str">
        <f t="shared" si="85"/>
        <v/>
      </c>
      <c r="W957" s="66" t="str">
        <f>IFERROR(VLOOKUP($O957,'Customer List'!$A$1:$J$488,10,FALSE),"")</f>
        <v/>
      </c>
    </row>
    <row r="958" spans="1:23">
      <c r="A958" s="95" t="str">
        <f t="shared" si="83"/>
        <v/>
      </c>
      <c r="O958" s="116"/>
      <c r="R958" s="97"/>
      <c r="T958" s="98">
        <f t="shared" si="84"/>
        <v>0</v>
      </c>
      <c r="U958" s="99" t="str">
        <f>IFERROR(VLOOKUP($S958,References!$B$3:$C$8,2,FALSE),"")</f>
        <v/>
      </c>
      <c r="V958" s="99" t="str">
        <f t="shared" si="85"/>
        <v/>
      </c>
      <c r="W958" s="66" t="str">
        <f>IFERROR(VLOOKUP($O958,'Customer List'!$A$1:$J$488,10,FALSE),"")</f>
        <v/>
      </c>
    </row>
    <row r="959" spans="1:23">
      <c r="A959" s="95" t="str">
        <f t="shared" si="83"/>
        <v/>
      </c>
      <c r="O959" s="116"/>
      <c r="R959" s="97"/>
      <c r="T959" s="98">
        <f t="shared" si="84"/>
        <v>0</v>
      </c>
      <c r="U959" s="99" t="str">
        <f>IFERROR(VLOOKUP($S959,References!$B$3:$C$8,2,FALSE),"")</f>
        <v/>
      </c>
      <c r="V959" s="99" t="str">
        <f t="shared" si="85"/>
        <v/>
      </c>
      <c r="W959" s="66" t="str">
        <f>IFERROR(VLOOKUP($O959,'Customer List'!$A$1:$J$488,10,FALSE),"")</f>
        <v/>
      </c>
    </row>
    <row r="960" spans="1:23">
      <c r="A960" s="95" t="str">
        <f t="shared" si="83"/>
        <v/>
      </c>
      <c r="O960" s="116"/>
      <c r="R960" s="97"/>
      <c r="T960" s="98">
        <f t="shared" si="84"/>
        <v>0</v>
      </c>
      <c r="U960" s="99" t="str">
        <f>IFERROR(VLOOKUP($S960,References!$B$3:$C$8,2,FALSE),"")</f>
        <v/>
      </c>
      <c r="V960" s="99" t="str">
        <f t="shared" si="85"/>
        <v/>
      </c>
      <c r="W960" s="66" t="str">
        <f>IFERROR(VLOOKUP($O960,'Customer List'!$A$1:$J$488,10,FALSE),"")</f>
        <v/>
      </c>
    </row>
    <row r="961" spans="1:23">
      <c r="A961" s="95" t="str">
        <f t="shared" si="83"/>
        <v/>
      </c>
      <c r="O961" s="116"/>
      <c r="R961" s="97"/>
      <c r="T961" s="98">
        <f t="shared" si="84"/>
        <v>0</v>
      </c>
      <c r="U961" s="99" t="str">
        <f>IFERROR(VLOOKUP($S961,References!$B$3:$C$8,2,FALSE),"")</f>
        <v/>
      </c>
      <c r="V961" s="99" t="str">
        <f t="shared" si="85"/>
        <v/>
      </c>
      <c r="W961" s="66" t="str">
        <f>IFERROR(VLOOKUP($O961,'Customer List'!$A$1:$J$488,10,FALSE),"")</f>
        <v/>
      </c>
    </row>
    <row r="962" spans="1:23">
      <c r="A962" s="95" t="str">
        <f t="shared" si="83"/>
        <v/>
      </c>
      <c r="O962" s="116"/>
      <c r="R962" s="97"/>
      <c r="T962" s="98">
        <f t="shared" si="84"/>
        <v>0</v>
      </c>
      <c r="U962" s="99" t="str">
        <f>IFERROR(VLOOKUP($S962,References!$B$3:$C$8,2,FALSE),"")</f>
        <v/>
      </c>
      <c r="V962" s="99" t="str">
        <f t="shared" si="85"/>
        <v/>
      </c>
      <c r="W962" s="66" t="str">
        <f>IFERROR(VLOOKUP($O962,'Customer List'!$A$1:$J$488,10,FALSE),"")</f>
        <v/>
      </c>
    </row>
    <row r="963" spans="1:23">
      <c r="A963" s="95" t="str">
        <f t="shared" si="83"/>
        <v/>
      </c>
      <c r="O963" s="116"/>
      <c r="R963" s="97"/>
      <c r="T963" s="98">
        <f t="shared" si="84"/>
        <v>0</v>
      </c>
      <c r="U963" s="99" t="str">
        <f>IFERROR(VLOOKUP($S963,References!$B$3:$C$8,2,FALSE),"")</f>
        <v/>
      </c>
      <c r="V963" s="99" t="str">
        <f t="shared" si="85"/>
        <v/>
      </c>
      <c r="W963" s="66" t="str">
        <f>IFERROR(VLOOKUP($O963,'Customer List'!$A$1:$J$488,10,FALSE),"")</f>
        <v/>
      </c>
    </row>
    <row r="964" spans="1:23">
      <c r="A964" s="95" t="str">
        <f t="shared" si="83"/>
        <v/>
      </c>
      <c r="O964" s="116"/>
      <c r="R964" s="97"/>
      <c r="T964" s="98">
        <f t="shared" si="84"/>
        <v>0</v>
      </c>
      <c r="U964" s="99" t="str">
        <f>IFERROR(VLOOKUP($S964,References!$B$3:$C$8,2,FALSE),"")</f>
        <v/>
      </c>
      <c r="V964" s="99" t="str">
        <f t="shared" si="85"/>
        <v/>
      </c>
      <c r="W964" s="66" t="str">
        <f>IFERROR(VLOOKUP($O964,'Customer List'!$A$1:$J$488,10,FALSE),"")</f>
        <v/>
      </c>
    </row>
    <row r="965" spans="1:23">
      <c r="A965" s="95" t="str">
        <f t="shared" si="83"/>
        <v/>
      </c>
      <c r="O965" s="116"/>
      <c r="R965" s="97"/>
      <c r="T965" s="98">
        <f t="shared" si="84"/>
        <v>0</v>
      </c>
      <c r="U965" s="99" t="str">
        <f>IFERROR(VLOOKUP($S965,References!$B$3:$C$8,2,FALSE),"")</f>
        <v/>
      </c>
      <c r="V965" s="99" t="str">
        <f t="shared" si="85"/>
        <v/>
      </c>
      <c r="W965" s="66" t="str">
        <f>IFERROR(VLOOKUP($O965,'Customer List'!$A$1:$J$488,10,FALSE),"")</f>
        <v/>
      </c>
    </row>
    <row r="966" spans="1:23">
      <c r="A966" s="95" t="str">
        <f t="shared" si="83"/>
        <v/>
      </c>
      <c r="O966" s="116"/>
      <c r="R966" s="97"/>
      <c r="T966" s="98">
        <f t="shared" si="84"/>
        <v>0</v>
      </c>
      <c r="U966" s="99" t="str">
        <f>IFERROR(VLOOKUP($S966,References!$B$3:$C$8,2,FALSE),"")</f>
        <v/>
      </c>
      <c r="V966" s="99" t="str">
        <f t="shared" si="85"/>
        <v/>
      </c>
      <c r="W966" s="66" t="str">
        <f>IFERROR(VLOOKUP($O966,'Customer List'!$A$1:$J$488,10,FALSE),"")</f>
        <v/>
      </c>
    </row>
    <row r="967" spans="1:23">
      <c r="A967" s="95" t="str">
        <f t="shared" si="83"/>
        <v/>
      </c>
      <c r="O967" s="116"/>
      <c r="R967" s="97"/>
      <c r="T967" s="98">
        <f t="shared" si="84"/>
        <v>0</v>
      </c>
      <c r="U967" s="99" t="str">
        <f>IFERROR(VLOOKUP($S967,References!$B$3:$C$8,2,FALSE),"")</f>
        <v/>
      </c>
      <c r="V967" s="99" t="str">
        <f t="shared" si="85"/>
        <v/>
      </c>
      <c r="W967" s="66" t="str">
        <f>IFERROR(VLOOKUP($O967,'Customer List'!$A$1:$J$488,10,FALSE),"")</f>
        <v/>
      </c>
    </row>
    <row r="968" spans="1:23">
      <c r="A968" s="95" t="str">
        <f t="shared" si="83"/>
        <v/>
      </c>
      <c r="O968" s="116"/>
      <c r="R968" s="97"/>
      <c r="T968" s="98">
        <f t="shared" si="84"/>
        <v>0</v>
      </c>
      <c r="U968" s="99" t="str">
        <f>IFERROR(VLOOKUP($S968,References!$B$3:$C$8,2,FALSE),"")</f>
        <v/>
      </c>
      <c r="V968" s="99" t="str">
        <f t="shared" si="85"/>
        <v/>
      </c>
      <c r="W968" s="66" t="str">
        <f>IFERROR(VLOOKUP($O968,'Customer List'!$A$1:$J$488,10,FALSE),"")</f>
        <v/>
      </c>
    </row>
    <row r="969" spans="1:23">
      <c r="A969" s="95" t="str">
        <f t="shared" si="83"/>
        <v/>
      </c>
      <c r="O969" s="116"/>
      <c r="R969" s="97"/>
      <c r="T969" s="98">
        <f t="shared" si="84"/>
        <v>0</v>
      </c>
      <c r="U969" s="99" t="str">
        <f>IFERROR(VLOOKUP($S969,References!$B$3:$C$8,2,FALSE),"")</f>
        <v/>
      </c>
      <c r="V969" s="99" t="str">
        <f t="shared" si="85"/>
        <v/>
      </c>
      <c r="W969" s="66" t="str">
        <f>IFERROR(VLOOKUP($O969,'Customer List'!$A$1:$J$488,10,FALSE),"")</f>
        <v/>
      </c>
    </row>
    <row r="970" spans="1:23">
      <c r="A970" s="95" t="str">
        <f t="shared" si="83"/>
        <v/>
      </c>
      <c r="O970" s="116"/>
      <c r="R970" s="97"/>
      <c r="T970" s="98">
        <f t="shared" si="84"/>
        <v>0</v>
      </c>
      <c r="U970" s="99" t="str">
        <f>IFERROR(VLOOKUP($S970,References!$B$3:$C$8,2,FALSE),"")</f>
        <v/>
      </c>
      <c r="V970" s="99" t="str">
        <f t="shared" si="85"/>
        <v/>
      </c>
      <c r="W970" s="66" t="str">
        <f>IFERROR(VLOOKUP($O970,'Customer List'!$A$1:$J$488,10,FALSE),"")</f>
        <v/>
      </c>
    </row>
    <row r="971" spans="1:23">
      <c r="A971" s="95" t="str">
        <f t="shared" si="83"/>
        <v/>
      </c>
      <c r="O971" s="116"/>
      <c r="R971" s="97"/>
      <c r="T971" s="98">
        <f t="shared" si="84"/>
        <v>0</v>
      </c>
      <c r="U971" s="99" t="str">
        <f>IFERROR(VLOOKUP($S971,References!$B$3:$C$8,2,FALSE),"")</f>
        <v/>
      </c>
      <c r="V971" s="99" t="str">
        <f t="shared" si="85"/>
        <v/>
      </c>
      <c r="W971" s="66" t="str">
        <f>IFERROR(VLOOKUP($O971,'Customer List'!$A$1:$J$488,10,FALSE),"")</f>
        <v/>
      </c>
    </row>
    <row r="972" spans="1:23">
      <c r="A972" s="95" t="str">
        <f t="shared" si="83"/>
        <v/>
      </c>
      <c r="O972" s="116"/>
      <c r="R972" s="97"/>
      <c r="T972" s="98">
        <f t="shared" si="84"/>
        <v>0</v>
      </c>
      <c r="U972" s="99" t="str">
        <f>IFERROR(VLOOKUP($S972,References!$B$3:$C$8,2,FALSE),"")</f>
        <v/>
      </c>
      <c r="V972" s="99" t="str">
        <f t="shared" si="85"/>
        <v/>
      </c>
      <c r="W972" s="66" t="str">
        <f>IFERROR(VLOOKUP($O972,'Customer List'!$A$1:$J$488,10,FALSE),"")</f>
        <v/>
      </c>
    </row>
    <row r="973" spans="1:23">
      <c r="A973" s="95" t="str">
        <f t="shared" si="83"/>
        <v/>
      </c>
      <c r="O973" s="116"/>
      <c r="R973" s="97"/>
      <c r="T973" s="98">
        <f t="shared" si="84"/>
        <v>0</v>
      </c>
      <c r="U973" s="99" t="str">
        <f>IFERROR(VLOOKUP($S973,References!$B$3:$C$8,2,FALSE),"")</f>
        <v/>
      </c>
      <c r="V973" s="99" t="str">
        <f t="shared" si="85"/>
        <v/>
      </c>
      <c r="W973" s="66" t="str">
        <f>IFERROR(VLOOKUP($O973,'Customer List'!$A$1:$J$488,10,FALSE),"")</f>
        <v/>
      </c>
    </row>
    <row r="974" spans="1:23">
      <c r="A974" s="95" t="str">
        <f t="shared" si="83"/>
        <v/>
      </c>
      <c r="O974" s="116"/>
      <c r="R974" s="97"/>
      <c r="T974" s="98">
        <f t="shared" si="84"/>
        <v>0</v>
      </c>
      <c r="U974" s="99" t="str">
        <f>IFERROR(VLOOKUP($S974,References!$B$3:$C$8,2,FALSE),"")</f>
        <v/>
      </c>
      <c r="V974" s="99" t="str">
        <f t="shared" si="85"/>
        <v/>
      </c>
      <c r="W974" s="66" t="str">
        <f>IFERROR(VLOOKUP($O974,'Customer List'!$A$1:$J$488,10,FALSE),"")</f>
        <v/>
      </c>
    </row>
    <row r="975" spans="1:23">
      <c r="A975" s="95" t="str">
        <f t="shared" ref="A975:A1010" si="86">O975&amp;S975</f>
        <v/>
      </c>
      <c r="O975" s="116"/>
      <c r="R975" s="97"/>
      <c r="T975" s="98">
        <f t="shared" si="84"/>
        <v>0</v>
      </c>
      <c r="U975" s="99" t="str">
        <f>IFERROR(VLOOKUP($S975,References!$B$3:$C$8,2,FALSE),"")</f>
        <v/>
      </c>
      <c r="V975" s="99" t="str">
        <f t="shared" si="85"/>
        <v/>
      </c>
      <c r="W975" s="66" t="str">
        <f>IFERROR(VLOOKUP($O975,'Customer List'!$A$1:$J$488,10,FALSE),"")</f>
        <v/>
      </c>
    </row>
    <row r="976" spans="1:23">
      <c r="A976" s="95" t="str">
        <f t="shared" si="86"/>
        <v/>
      </c>
      <c r="O976" s="112"/>
      <c r="R976" s="97"/>
      <c r="T976" s="98">
        <f t="shared" ref="T976:T1039" si="87">IF(S976="50 - Cleaning Fee",1,HOUR($R976)+MINUTE(R976)/60)</f>
        <v>0</v>
      </c>
      <c r="U976" s="99" t="str">
        <f>IFERROR(VLOOKUP($S976,References!$B$3:$C$8,2,FALSE),"")</f>
        <v/>
      </c>
      <c r="V976" s="99" t="str">
        <f t="shared" ref="V976:V1039" si="88">IF(T976&gt;=8,400,(IFERROR(T976*U976,"")))</f>
        <v/>
      </c>
      <c r="W976" s="66" t="str">
        <f>IFERROR(VLOOKUP($O976,'Customer List'!$A$1:$J$488,10,FALSE),"")</f>
        <v/>
      </c>
    </row>
    <row r="977" spans="1:23">
      <c r="A977" s="95" t="str">
        <f t="shared" si="86"/>
        <v/>
      </c>
      <c r="O977" s="112"/>
      <c r="R977" s="97"/>
      <c r="T977" s="98">
        <f t="shared" si="87"/>
        <v>0</v>
      </c>
      <c r="U977" s="99" t="str">
        <f>IFERROR(VLOOKUP($S977,References!$B$3:$C$8,2,FALSE),"")</f>
        <v/>
      </c>
      <c r="V977" s="99" t="str">
        <f t="shared" si="88"/>
        <v/>
      </c>
      <c r="W977" s="66" t="str">
        <f>IFERROR(VLOOKUP($O977,'Customer List'!$A$1:$J$488,10,FALSE),"")</f>
        <v/>
      </c>
    </row>
    <row r="978" spans="1:23">
      <c r="A978" s="95" t="str">
        <f t="shared" si="86"/>
        <v/>
      </c>
      <c r="O978" s="112"/>
      <c r="R978" s="97"/>
      <c r="T978" s="98">
        <f t="shared" si="87"/>
        <v>0</v>
      </c>
      <c r="U978" s="99" t="str">
        <f>IFERROR(VLOOKUP($S978,References!$B$3:$C$8,2,FALSE),"")</f>
        <v/>
      </c>
      <c r="V978" s="99" t="str">
        <f t="shared" si="88"/>
        <v/>
      </c>
      <c r="W978" s="66" t="str">
        <f>IFERROR(VLOOKUP($O978,'Customer List'!$A$1:$J$488,10,FALSE),"")</f>
        <v/>
      </c>
    </row>
    <row r="979" spans="1:23">
      <c r="A979" s="95" t="str">
        <f t="shared" si="86"/>
        <v/>
      </c>
      <c r="O979" s="112"/>
      <c r="R979" s="97"/>
      <c r="T979" s="98">
        <f t="shared" si="87"/>
        <v>0</v>
      </c>
      <c r="U979" s="99" t="str">
        <f>IFERROR(VLOOKUP($S979,References!$B$3:$C$8,2,FALSE),"")</f>
        <v/>
      </c>
      <c r="V979" s="99" t="str">
        <f t="shared" si="88"/>
        <v/>
      </c>
      <c r="W979" s="66" t="str">
        <f>IFERROR(VLOOKUP($O979,'Customer List'!$A$1:$J$488,10,FALSE),"")</f>
        <v/>
      </c>
    </row>
    <row r="980" spans="1:23">
      <c r="A980" s="95" t="str">
        <f t="shared" si="86"/>
        <v/>
      </c>
      <c r="O980" s="112"/>
      <c r="R980" s="97"/>
      <c r="T980" s="98">
        <f t="shared" si="87"/>
        <v>0</v>
      </c>
      <c r="U980" s="99" t="str">
        <f>IFERROR(VLOOKUP($S980,References!$B$3:$C$8,2,FALSE),"")</f>
        <v/>
      </c>
      <c r="V980" s="99" t="str">
        <f t="shared" si="88"/>
        <v/>
      </c>
      <c r="W980" s="66" t="str">
        <f>IFERROR(VLOOKUP($O980,'Customer List'!$A$1:$J$488,10,FALSE),"")</f>
        <v/>
      </c>
    </row>
    <row r="981" spans="1:23">
      <c r="A981" s="95" t="str">
        <f t="shared" si="86"/>
        <v/>
      </c>
      <c r="O981" s="112"/>
      <c r="R981" s="97"/>
      <c r="T981" s="98">
        <f t="shared" si="87"/>
        <v>0</v>
      </c>
      <c r="U981" s="99" t="str">
        <f>IFERROR(VLOOKUP($S981,References!$B$3:$C$8,2,FALSE),"")</f>
        <v/>
      </c>
      <c r="V981" s="99" t="str">
        <f t="shared" si="88"/>
        <v/>
      </c>
      <c r="W981" s="66" t="str">
        <f>IFERROR(VLOOKUP($O981,'Customer List'!$A$1:$J$488,10,FALSE),"")</f>
        <v/>
      </c>
    </row>
    <row r="982" spans="1:23">
      <c r="A982" s="95" t="str">
        <f t="shared" si="86"/>
        <v/>
      </c>
      <c r="O982" s="112"/>
      <c r="R982" s="97"/>
      <c r="T982" s="98">
        <f t="shared" si="87"/>
        <v>0</v>
      </c>
      <c r="U982" s="99" t="str">
        <f>IFERROR(VLOOKUP($S982,References!$B$3:$C$8,2,FALSE),"")</f>
        <v/>
      </c>
      <c r="V982" s="99" t="str">
        <f t="shared" si="88"/>
        <v/>
      </c>
      <c r="W982" s="66" t="str">
        <f>IFERROR(VLOOKUP($O982,'Customer List'!$A$1:$J$488,10,FALSE),"")</f>
        <v/>
      </c>
    </row>
    <row r="983" spans="1:23">
      <c r="A983" s="95" t="str">
        <f t="shared" si="86"/>
        <v/>
      </c>
      <c r="O983" s="112"/>
      <c r="R983" s="97"/>
      <c r="T983" s="98">
        <f t="shared" si="87"/>
        <v>0</v>
      </c>
      <c r="U983" s="99" t="str">
        <f>IFERROR(VLOOKUP($S983,References!$B$3:$C$8,2,FALSE),"")</f>
        <v/>
      </c>
      <c r="V983" s="99" t="str">
        <f t="shared" si="88"/>
        <v/>
      </c>
      <c r="W983" s="66" t="str">
        <f>IFERROR(VLOOKUP($O983,'Customer List'!$A$1:$J$488,10,FALSE),"")</f>
        <v/>
      </c>
    </row>
    <row r="984" spans="1:23">
      <c r="A984" s="95" t="str">
        <f t="shared" si="86"/>
        <v/>
      </c>
      <c r="O984" s="112"/>
      <c r="R984" s="97"/>
      <c r="T984" s="98">
        <f t="shared" si="87"/>
        <v>0</v>
      </c>
      <c r="U984" s="99" t="str">
        <f>IFERROR(VLOOKUP($S984,References!$B$3:$C$8,2,FALSE),"")</f>
        <v/>
      </c>
      <c r="V984" s="99" t="str">
        <f t="shared" si="88"/>
        <v/>
      </c>
      <c r="W984" s="66" t="str">
        <f>IFERROR(VLOOKUP($O984,'Customer List'!$A$1:$J$488,10,FALSE),"")</f>
        <v/>
      </c>
    </row>
    <row r="985" spans="1:23">
      <c r="A985" s="95" t="str">
        <f t="shared" si="86"/>
        <v/>
      </c>
      <c r="O985" s="112"/>
      <c r="R985" s="97"/>
      <c r="T985" s="98">
        <f t="shared" si="87"/>
        <v>0</v>
      </c>
      <c r="U985" s="99" t="str">
        <f>IFERROR(VLOOKUP($S985,References!$B$3:$C$8,2,FALSE),"")</f>
        <v/>
      </c>
      <c r="V985" s="99" t="str">
        <f t="shared" si="88"/>
        <v/>
      </c>
      <c r="W985" s="66" t="str">
        <f>IFERROR(VLOOKUP($O985,'Customer List'!$A$1:$J$488,10,FALSE),"")</f>
        <v/>
      </c>
    </row>
    <row r="986" spans="1:23">
      <c r="A986" s="95" t="str">
        <f t="shared" si="86"/>
        <v/>
      </c>
      <c r="O986" s="112"/>
      <c r="R986" s="97"/>
      <c r="T986" s="98">
        <f t="shared" si="87"/>
        <v>0</v>
      </c>
      <c r="U986" s="99" t="str">
        <f>IFERROR(VLOOKUP($S986,References!$B$3:$C$8,2,FALSE),"")</f>
        <v/>
      </c>
      <c r="V986" s="99" t="str">
        <f t="shared" si="88"/>
        <v/>
      </c>
      <c r="W986" s="66" t="str">
        <f>IFERROR(VLOOKUP($O986,'Customer List'!$A$1:$J$488,10,FALSE),"")</f>
        <v/>
      </c>
    </row>
    <row r="987" spans="1:23">
      <c r="A987" s="95" t="str">
        <f t="shared" si="86"/>
        <v/>
      </c>
      <c r="O987" s="112"/>
      <c r="R987" s="97"/>
      <c r="T987" s="98">
        <f t="shared" si="87"/>
        <v>0</v>
      </c>
      <c r="U987" s="99" t="str">
        <f>IFERROR(VLOOKUP($S987,References!$B$3:$C$8,2,FALSE),"")</f>
        <v/>
      </c>
      <c r="V987" s="99" t="str">
        <f t="shared" si="88"/>
        <v/>
      </c>
      <c r="W987" s="66" t="str">
        <f>IFERROR(VLOOKUP($O987,'Customer List'!$A$1:$J$488,10,FALSE),"")</f>
        <v/>
      </c>
    </row>
    <row r="988" spans="1:23">
      <c r="A988" s="95" t="str">
        <f t="shared" si="86"/>
        <v/>
      </c>
      <c r="O988" s="112"/>
      <c r="R988" s="97"/>
      <c r="T988" s="98">
        <f t="shared" si="87"/>
        <v>0</v>
      </c>
      <c r="U988" s="99" t="str">
        <f>IFERROR(VLOOKUP($S988,References!$B$3:$C$8,2,FALSE),"")</f>
        <v/>
      </c>
      <c r="V988" s="99" t="str">
        <f t="shared" si="88"/>
        <v/>
      </c>
      <c r="W988" s="66" t="str">
        <f>IFERROR(VLOOKUP($O988,'Customer List'!$A$1:$J$488,10,FALSE),"")</f>
        <v/>
      </c>
    </row>
    <row r="989" spans="1:23">
      <c r="A989" s="95" t="str">
        <f t="shared" si="86"/>
        <v/>
      </c>
      <c r="O989" s="112"/>
      <c r="R989" s="97"/>
      <c r="T989" s="98">
        <f t="shared" si="87"/>
        <v>0</v>
      </c>
      <c r="U989" s="99" t="str">
        <f>IFERROR(VLOOKUP($S989,References!$B$3:$C$8,2,FALSE),"")</f>
        <v/>
      </c>
      <c r="V989" s="99" t="str">
        <f t="shared" si="88"/>
        <v/>
      </c>
      <c r="W989" s="66" t="str">
        <f>IFERROR(VLOOKUP($O989,'Customer List'!$A$1:$J$488,10,FALSE),"")</f>
        <v/>
      </c>
    </row>
    <row r="990" spans="1:23">
      <c r="A990" s="95" t="str">
        <f t="shared" si="86"/>
        <v/>
      </c>
      <c r="O990" s="112"/>
      <c r="R990" s="97"/>
      <c r="T990" s="98">
        <f t="shared" si="87"/>
        <v>0</v>
      </c>
      <c r="U990" s="99" t="str">
        <f>IFERROR(VLOOKUP($S990,References!$B$3:$C$8,2,FALSE),"")</f>
        <v/>
      </c>
      <c r="V990" s="99" t="str">
        <f t="shared" si="88"/>
        <v/>
      </c>
      <c r="W990" s="66" t="str">
        <f>IFERROR(VLOOKUP($O990,'Customer List'!$A$1:$J$488,10,FALSE),"")</f>
        <v/>
      </c>
    </row>
    <row r="991" spans="1:23">
      <c r="A991" s="95" t="str">
        <f t="shared" si="86"/>
        <v/>
      </c>
      <c r="O991" s="112"/>
      <c r="R991" s="97"/>
      <c r="T991" s="98">
        <f t="shared" si="87"/>
        <v>0</v>
      </c>
      <c r="U991" s="99" t="str">
        <f>IFERROR(VLOOKUP($S991,References!$B$3:$C$8,2,FALSE),"")</f>
        <v/>
      </c>
      <c r="V991" s="99" t="str">
        <f t="shared" si="88"/>
        <v/>
      </c>
      <c r="W991" s="66" t="str">
        <f>IFERROR(VLOOKUP($O991,'Customer List'!$A$1:$J$488,10,FALSE),"")</f>
        <v/>
      </c>
    </row>
    <row r="992" spans="1:23">
      <c r="A992" s="95" t="str">
        <f t="shared" si="86"/>
        <v/>
      </c>
      <c r="O992" s="112"/>
      <c r="R992" s="97"/>
      <c r="T992" s="98">
        <f t="shared" si="87"/>
        <v>0</v>
      </c>
      <c r="U992" s="99" t="str">
        <f>IFERROR(VLOOKUP($S992,References!$B$3:$C$8,2,FALSE),"")</f>
        <v/>
      </c>
      <c r="V992" s="99" t="str">
        <f t="shared" si="88"/>
        <v/>
      </c>
      <c r="W992" s="66" t="str">
        <f>IFERROR(VLOOKUP($O992,'Customer List'!$A$1:$J$488,10,FALSE),"")</f>
        <v/>
      </c>
    </row>
    <row r="993" spans="1:23">
      <c r="A993" s="95" t="str">
        <f t="shared" si="86"/>
        <v/>
      </c>
      <c r="O993" s="112"/>
      <c r="R993" s="97"/>
      <c r="T993" s="98">
        <f t="shared" si="87"/>
        <v>0</v>
      </c>
      <c r="U993" s="99" t="str">
        <f>IFERROR(VLOOKUP($S993,References!$B$3:$C$8,2,FALSE),"")</f>
        <v/>
      </c>
      <c r="V993" s="99" t="str">
        <f t="shared" si="88"/>
        <v/>
      </c>
      <c r="W993" s="66" t="str">
        <f>IFERROR(VLOOKUP($O993,'Customer List'!$A$1:$J$488,10,FALSE),"")</f>
        <v/>
      </c>
    </row>
    <row r="994" spans="1:23">
      <c r="A994" s="95" t="str">
        <f t="shared" si="86"/>
        <v/>
      </c>
      <c r="O994" s="112"/>
      <c r="R994" s="97"/>
      <c r="T994" s="98">
        <f t="shared" si="87"/>
        <v>0</v>
      </c>
      <c r="U994" s="99" t="str">
        <f>IFERROR(VLOOKUP($S994,References!$B$3:$C$8,2,FALSE),"")</f>
        <v/>
      </c>
      <c r="V994" s="99" t="str">
        <f t="shared" si="88"/>
        <v/>
      </c>
      <c r="W994" s="66" t="str">
        <f>IFERROR(VLOOKUP($O994,'Customer List'!$A$1:$J$488,10,FALSE),"")</f>
        <v/>
      </c>
    </row>
    <row r="995" spans="1:23">
      <c r="A995" s="95" t="str">
        <f t="shared" si="86"/>
        <v/>
      </c>
      <c r="R995" s="97"/>
      <c r="T995" s="98">
        <f t="shared" si="87"/>
        <v>0</v>
      </c>
      <c r="U995" s="99" t="str">
        <f>IFERROR(VLOOKUP($S995,References!$B$3:$C$8,2,FALSE),"")</f>
        <v/>
      </c>
      <c r="V995" s="99" t="str">
        <f t="shared" si="88"/>
        <v/>
      </c>
      <c r="W995" s="66" t="str">
        <f>IFERROR(VLOOKUP($O995,'Customer List'!$A$1:$J$488,10,FALSE),"")</f>
        <v/>
      </c>
    </row>
    <row r="996" spans="1:23">
      <c r="A996" s="95" t="str">
        <f t="shared" si="86"/>
        <v/>
      </c>
      <c r="R996" s="97"/>
      <c r="T996" s="98">
        <f t="shared" si="87"/>
        <v>0</v>
      </c>
      <c r="U996" s="99" t="str">
        <f>IFERROR(VLOOKUP($S996,References!$B$3:$C$8,2,FALSE),"")</f>
        <v/>
      </c>
      <c r="V996" s="99" t="str">
        <f t="shared" si="88"/>
        <v/>
      </c>
      <c r="W996" s="66" t="str">
        <f>IFERROR(VLOOKUP($O996,'Customer List'!$A$1:$J$488,10,FALSE),"")</f>
        <v/>
      </c>
    </row>
    <row r="997" spans="1:23">
      <c r="A997" s="95" t="str">
        <f t="shared" si="86"/>
        <v/>
      </c>
      <c r="R997" s="97"/>
      <c r="T997" s="98">
        <f t="shared" si="87"/>
        <v>0</v>
      </c>
      <c r="U997" s="99" t="str">
        <f>IFERROR(VLOOKUP($S997,References!$B$3:$C$8,2,FALSE),"")</f>
        <v/>
      </c>
      <c r="V997" s="99" t="str">
        <f t="shared" si="88"/>
        <v/>
      </c>
      <c r="W997" s="66" t="str">
        <f>IFERROR(VLOOKUP($O997,'Customer List'!$A$1:$J$488,10,FALSE),"")</f>
        <v/>
      </c>
    </row>
    <row r="998" spans="1:23">
      <c r="A998" s="95" t="str">
        <f t="shared" si="86"/>
        <v/>
      </c>
      <c r="R998" s="97"/>
      <c r="T998" s="98">
        <f t="shared" si="87"/>
        <v>0</v>
      </c>
      <c r="U998" s="99" t="str">
        <f>IFERROR(VLOOKUP($S998,References!$B$3:$C$8,2,FALSE),"")</f>
        <v/>
      </c>
      <c r="V998" s="99" t="str">
        <f t="shared" si="88"/>
        <v/>
      </c>
      <c r="W998" s="66" t="str">
        <f>IFERROR(VLOOKUP($O998,'Customer List'!$A$1:$J$488,10,FALSE),"")</f>
        <v/>
      </c>
    </row>
    <row r="999" spans="1:23">
      <c r="A999" s="95" t="str">
        <f t="shared" si="86"/>
        <v/>
      </c>
      <c r="R999" s="97"/>
      <c r="T999" s="98">
        <f t="shared" si="87"/>
        <v>0</v>
      </c>
      <c r="U999" s="99" t="str">
        <f>IFERROR(VLOOKUP($S999,References!$B$3:$C$8,2,FALSE),"")</f>
        <v/>
      </c>
      <c r="V999" s="99" t="str">
        <f t="shared" si="88"/>
        <v/>
      </c>
      <c r="W999" s="66" t="str">
        <f>IFERROR(VLOOKUP($O999,'Customer List'!$A$1:$J$488,10,FALSE),"")</f>
        <v/>
      </c>
    </row>
    <row r="1000" spans="1:23">
      <c r="A1000" s="95" t="str">
        <f t="shared" si="86"/>
        <v/>
      </c>
      <c r="R1000" s="97"/>
      <c r="T1000" s="98">
        <f t="shared" si="87"/>
        <v>0</v>
      </c>
      <c r="U1000" s="99" t="str">
        <f>IFERROR(VLOOKUP($S1000,References!$B$3:$C$8,2,FALSE),"")</f>
        <v/>
      </c>
      <c r="V1000" s="99" t="str">
        <f t="shared" si="88"/>
        <v/>
      </c>
      <c r="W1000" s="66" t="str">
        <f>IFERROR(VLOOKUP($O1000,'Customer List'!$A$1:$J$488,10,FALSE),"")</f>
        <v/>
      </c>
    </row>
    <row r="1001" spans="1:23">
      <c r="A1001" s="95" t="str">
        <f t="shared" si="86"/>
        <v/>
      </c>
      <c r="R1001" s="97"/>
      <c r="T1001" s="98">
        <f t="shared" si="87"/>
        <v>0</v>
      </c>
      <c r="U1001" s="99" t="str">
        <f>IFERROR(VLOOKUP($S1001,References!$B$3:$C$8,2,FALSE),"")</f>
        <v/>
      </c>
      <c r="V1001" s="99" t="str">
        <f t="shared" si="88"/>
        <v/>
      </c>
      <c r="W1001" s="66" t="str">
        <f>IFERROR(VLOOKUP($O1001,'Customer List'!$A$1:$J$488,10,FALSE),"")</f>
        <v/>
      </c>
    </row>
    <row r="1002" spans="1:23">
      <c r="A1002" s="95" t="str">
        <f t="shared" si="86"/>
        <v/>
      </c>
      <c r="R1002" s="97"/>
      <c r="T1002" s="98">
        <f t="shared" si="87"/>
        <v>0</v>
      </c>
      <c r="U1002" s="99" t="str">
        <f>IFERROR(VLOOKUP($S1002,References!$B$3:$C$8,2,FALSE),"")</f>
        <v/>
      </c>
      <c r="V1002" s="99" t="str">
        <f t="shared" si="88"/>
        <v/>
      </c>
      <c r="W1002" s="66" t="str">
        <f>IFERROR(VLOOKUP($O1002,'Customer List'!$A$1:$J$488,10,FALSE),"")</f>
        <v/>
      </c>
    </row>
    <row r="1003" spans="1:23">
      <c r="A1003" s="95" t="str">
        <f t="shared" si="86"/>
        <v/>
      </c>
      <c r="R1003" s="97"/>
      <c r="T1003" s="98">
        <f t="shared" si="87"/>
        <v>0</v>
      </c>
      <c r="U1003" s="99" t="str">
        <f>IFERROR(VLOOKUP($S1003,References!$B$3:$C$8,2,FALSE),"")</f>
        <v/>
      </c>
      <c r="V1003" s="99" t="str">
        <f t="shared" si="88"/>
        <v/>
      </c>
      <c r="W1003" s="66" t="str">
        <f>IFERROR(VLOOKUP($O1003,'Customer List'!$A$1:$J$488,10,FALSE),"")</f>
        <v/>
      </c>
    </row>
    <row r="1004" spans="1:23">
      <c r="A1004" s="95" t="str">
        <f t="shared" si="86"/>
        <v/>
      </c>
      <c r="R1004" s="97"/>
      <c r="T1004" s="98">
        <f t="shared" si="87"/>
        <v>0</v>
      </c>
      <c r="U1004" s="99" t="str">
        <f>IFERROR(VLOOKUP($S1004,References!$B$3:$C$8,2,FALSE),"")</f>
        <v/>
      </c>
      <c r="V1004" s="99" t="str">
        <f t="shared" si="88"/>
        <v/>
      </c>
      <c r="W1004" s="66" t="str">
        <f>IFERROR(VLOOKUP($O1004,'Customer List'!$A$1:$J$488,10,FALSE),"")</f>
        <v/>
      </c>
    </row>
    <row r="1005" spans="1:23">
      <c r="A1005" s="95" t="str">
        <f t="shared" si="86"/>
        <v/>
      </c>
      <c r="R1005" s="97"/>
      <c r="T1005" s="98">
        <f t="shared" si="87"/>
        <v>0</v>
      </c>
      <c r="U1005" s="99" t="str">
        <f>IFERROR(VLOOKUP($S1005,References!$B$3:$C$8,2,FALSE),"")</f>
        <v/>
      </c>
      <c r="V1005" s="99" t="str">
        <f t="shared" si="88"/>
        <v/>
      </c>
      <c r="W1005" s="66" t="str">
        <f>IFERROR(VLOOKUP($O1005,'Customer List'!$A$1:$J$488,10,FALSE),"")</f>
        <v/>
      </c>
    </row>
    <row r="1006" spans="1:23">
      <c r="A1006" s="95" t="str">
        <f t="shared" si="86"/>
        <v/>
      </c>
      <c r="R1006" s="97"/>
      <c r="T1006" s="98">
        <f t="shared" si="87"/>
        <v>0</v>
      </c>
      <c r="U1006" s="99" t="str">
        <f>IFERROR(VLOOKUP($S1006,References!$B$3:$C$8,2,FALSE),"")</f>
        <v/>
      </c>
      <c r="V1006" s="99" t="str">
        <f t="shared" si="88"/>
        <v/>
      </c>
      <c r="W1006" s="66" t="str">
        <f>IFERROR(VLOOKUP($O1006,'Customer List'!$A$1:$J$488,10,FALSE),"")</f>
        <v/>
      </c>
    </row>
    <row r="1007" spans="1:23">
      <c r="A1007" s="95" t="str">
        <f t="shared" si="86"/>
        <v/>
      </c>
      <c r="R1007" s="97"/>
      <c r="T1007" s="98">
        <f t="shared" si="87"/>
        <v>0</v>
      </c>
      <c r="U1007" s="99" t="str">
        <f>IFERROR(VLOOKUP($S1007,References!$B$3:$C$8,2,FALSE),"")</f>
        <v/>
      </c>
      <c r="V1007" s="99" t="str">
        <f t="shared" si="88"/>
        <v/>
      </c>
      <c r="W1007" s="66" t="str">
        <f>IFERROR(VLOOKUP($O1007,'Customer List'!$A$1:$J$488,10,FALSE),"")</f>
        <v/>
      </c>
    </row>
    <row r="1008" spans="1:23">
      <c r="A1008" s="95" t="str">
        <f t="shared" si="86"/>
        <v/>
      </c>
      <c r="R1008" s="97"/>
      <c r="T1008" s="98">
        <f t="shared" si="87"/>
        <v>0</v>
      </c>
      <c r="U1008" s="99" t="str">
        <f>IFERROR(VLOOKUP($S1008,References!$B$3:$C$8,2,FALSE),"")</f>
        <v/>
      </c>
      <c r="V1008" s="99" t="str">
        <f t="shared" si="88"/>
        <v/>
      </c>
      <c r="W1008" s="66" t="str">
        <f>IFERROR(VLOOKUP($O1008,'Customer List'!$A$1:$J$488,10,FALSE),"")</f>
        <v/>
      </c>
    </row>
    <row r="1009" spans="1:23">
      <c r="A1009" s="95" t="str">
        <f t="shared" si="86"/>
        <v/>
      </c>
      <c r="R1009" s="97"/>
      <c r="T1009" s="98">
        <f t="shared" si="87"/>
        <v>0</v>
      </c>
      <c r="U1009" s="99" t="str">
        <f>IFERROR(VLOOKUP($S1009,References!$B$3:$C$8,2,FALSE),"")</f>
        <v/>
      </c>
      <c r="V1009" s="99" t="str">
        <f t="shared" si="88"/>
        <v/>
      </c>
      <c r="W1009" s="66" t="str">
        <f>IFERROR(VLOOKUP($O1009,'Customer List'!$A$1:$J$488,10,FALSE),"")</f>
        <v/>
      </c>
    </row>
    <row r="1010" spans="1:23">
      <c r="A1010" s="95" t="str">
        <f t="shared" si="86"/>
        <v/>
      </c>
      <c r="R1010" s="97"/>
      <c r="T1010" s="98">
        <f t="shared" si="87"/>
        <v>0</v>
      </c>
      <c r="U1010" s="99" t="str">
        <f>IFERROR(VLOOKUP($S1010,References!$B$3:$C$8,2,FALSE),"")</f>
        <v/>
      </c>
      <c r="V1010" s="99" t="str">
        <f t="shared" si="88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87"/>
        <v>0</v>
      </c>
      <c r="U1011" s="99" t="str">
        <f>IFERROR(VLOOKUP($S1011,References!$B$3:$C$8,2,FALSE),"")</f>
        <v/>
      </c>
      <c r="V1011" s="99" t="str">
        <f t="shared" si="88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87"/>
        <v>0</v>
      </c>
      <c r="U1012" s="99" t="str">
        <f>IFERROR(VLOOKUP($S1012,References!$B$3:$C$8,2,FALSE),"")</f>
        <v/>
      </c>
      <c r="V1012" s="99" t="str">
        <f t="shared" si="88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87"/>
        <v>0</v>
      </c>
      <c r="U1013" s="99" t="str">
        <f>IFERROR(VLOOKUP($S1013,References!$B$3:$C$8,2,FALSE),"")</f>
        <v/>
      </c>
      <c r="V1013" s="99" t="str">
        <f t="shared" si="88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87"/>
        <v>0</v>
      </c>
      <c r="U1014" s="99" t="str">
        <f>IFERROR(VLOOKUP($S1014,References!$B$3:$C$8,2,FALSE),"")</f>
        <v/>
      </c>
      <c r="V1014" s="99" t="str">
        <f t="shared" si="88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87"/>
        <v>0</v>
      </c>
      <c r="U1015" s="99" t="str">
        <f>IFERROR(VLOOKUP($S1015,References!$B$3:$C$8,2,FALSE),"")</f>
        <v/>
      </c>
      <c r="V1015" s="99" t="str">
        <f t="shared" si="88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87"/>
        <v>0</v>
      </c>
      <c r="U1016" s="99" t="str">
        <f>IFERROR(VLOOKUP($S1016,References!$B$3:$C$8,2,FALSE),"")</f>
        <v/>
      </c>
      <c r="V1016" s="99" t="str">
        <f t="shared" si="88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87"/>
        <v>0</v>
      </c>
      <c r="U1017" s="99" t="str">
        <f>IFERROR(VLOOKUP($S1017,References!$B$3:$C$8,2,FALSE),"")</f>
        <v/>
      </c>
      <c r="V1017" s="99" t="str">
        <f t="shared" si="88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87"/>
        <v>0</v>
      </c>
      <c r="U1018" s="99" t="str">
        <f>IFERROR(VLOOKUP($S1018,References!$B$3:$C$8,2,FALSE),"")</f>
        <v/>
      </c>
      <c r="V1018" s="99" t="str">
        <f t="shared" si="88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87"/>
        <v>0</v>
      </c>
      <c r="U1019" s="99" t="str">
        <f>IFERROR(VLOOKUP($S1019,References!$B$3:$C$8,2,FALSE),"")</f>
        <v/>
      </c>
      <c r="V1019" s="99" t="str">
        <f t="shared" si="88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87"/>
        <v>0</v>
      </c>
      <c r="U1020" s="99" t="str">
        <f>IFERROR(VLOOKUP($S1020,References!$B$3:$C$8,2,FALSE),"")</f>
        <v/>
      </c>
      <c r="V1020" s="99" t="str">
        <f t="shared" si="88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87"/>
        <v>0</v>
      </c>
      <c r="U1021" s="99" t="str">
        <f>IFERROR(VLOOKUP($S1021,References!$B$3:$C$8,2,FALSE),"")</f>
        <v/>
      </c>
      <c r="V1021" s="99" t="str">
        <f t="shared" si="88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87"/>
        <v>0</v>
      </c>
      <c r="U1022" s="99" t="str">
        <f>IFERROR(VLOOKUP($S1022,References!$B$3:$C$8,2,FALSE),"")</f>
        <v/>
      </c>
      <c r="V1022" s="99" t="str">
        <f t="shared" si="88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87"/>
        <v>0</v>
      </c>
      <c r="U1023" s="99" t="str">
        <f>IFERROR(VLOOKUP($S1023,References!$B$3:$C$8,2,FALSE),"")</f>
        <v/>
      </c>
      <c r="V1023" s="99" t="str">
        <f t="shared" si="88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87"/>
        <v>0</v>
      </c>
      <c r="U1024" s="99" t="str">
        <f>IFERROR(VLOOKUP($S1024,References!$B$3:$C$8,2,FALSE),"")</f>
        <v/>
      </c>
      <c r="V1024" s="99" t="str">
        <f t="shared" si="88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87"/>
        <v>0</v>
      </c>
      <c r="U1025" s="99" t="str">
        <f>IFERROR(VLOOKUP($S1025,References!$B$3:$C$8,2,FALSE),"")</f>
        <v/>
      </c>
      <c r="V1025" s="99" t="str">
        <f t="shared" si="88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87"/>
        <v>0</v>
      </c>
      <c r="U1026" s="99" t="str">
        <f>IFERROR(VLOOKUP($S1026,References!$B$3:$C$8,2,FALSE),"")</f>
        <v/>
      </c>
      <c r="V1026" s="99" t="str">
        <f t="shared" si="88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87"/>
        <v>0</v>
      </c>
      <c r="U1027" s="99" t="str">
        <f>IFERROR(VLOOKUP($S1027,References!$B$3:$C$8,2,FALSE),"")</f>
        <v/>
      </c>
      <c r="V1027" s="99" t="str">
        <f t="shared" si="88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87"/>
        <v>0</v>
      </c>
      <c r="U1028" s="99" t="str">
        <f>IFERROR(VLOOKUP($S1028,References!$B$3:$C$8,2,FALSE),"")</f>
        <v/>
      </c>
      <c r="V1028" s="99" t="str">
        <f t="shared" si="88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87"/>
        <v>0</v>
      </c>
      <c r="U1029" s="99" t="str">
        <f>IFERROR(VLOOKUP($S1029,References!$B$3:$C$8,2,FALSE),"")</f>
        <v/>
      </c>
      <c r="V1029" s="99" t="str">
        <f t="shared" si="88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87"/>
        <v>0</v>
      </c>
      <c r="U1030" s="99" t="str">
        <f>IFERROR(VLOOKUP($S1030,References!$B$3:$C$8,2,FALSE),"")</f>
        <v/>
      </c>
      <c r="V1030" s="99" t="str">
        <f t="shared" si="88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87"/>
        <v>0</v>
      </c>
      <c r="U1031" s="99" t="str">
        <f>IFERROR(VLOOKUP($S1031,References!$B$3:$C$8,2,FALSE),"")</f>
        <v/>
      </c>
      <c r="V1031" s="99" t="str">
        <f t="shared" si="88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87"/>
        <v>0</v>
      </c>
      <c r="U1032" s="99" t="str">
        <f>IFERROR(VLOOKUP($S1032,References!$B$3:$C$8,2,FALSE),"")</f>
        <v/>
      </c>
      <c r="V1032" s="99" t="str">
        <f t="shared" si="88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87"/>
        <v>0</v>
      </c>
      <c r="U1033" s="99" t="str">
        <f>IFERROR(VLOOKUP($S1033,References!$B$3:$C$8,2,FALSE),"")</f>
        <v/>
      </c>
      <c r="V1033" s="99" t="str">
        <f t="shared" si="88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87"/>
        <v>0</v>
      </c>
      <c r="U1034" s="99" t="str">
        <f>IFERROR(VLOOKUP($S1034,References!$B$3:$C$8,2,FALSE),"")</f>
        <v/>
      </c>
      <c r="V1034" s="99" t="str">
        <f t="shared" si="88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87"/>
        <v>0</v>
      </c>
      <c r="U1035" s="99" t="str">
        <f>IFERROR(VLOOKUP($S1035,References!$B$3:$C$8,2,FALSE),"")</f>
        <v/>
      </c>
      <c r="V1035" s="99" t="str">
        <f t="shared" si="88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87"/>
        <v>0</v>
      </c>
      <c r="U1036" s="99" t="str">
        <f>IFERROR(VLOOKUP($S1036,References!$B$3:$C$8,2,FALSE),"")</f>
        <v/>
      </c>
      <c r="V1036" s="99" t="str">
        <f t="shared" si="88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87"/>
        <v>0</v>
      </c>
      <c r="U1037" s="99" t="str">
        <f>IFERROR(VLOOKUP($S1037,References!$B$3:$C$8,2,FALSE),"")</f>
        <v/>
      </c>
      <c r="V1037" s="99" t="str">
        <f t="shared" si="88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87"/>
        <v>0</v>
      </c>
      <c r="U1038" s="99" t="str">
        <f>IFERROR(VLOOKUP($S1038,References!$B$3:$C$8,2,FALSE),"")</f>
        <v/>
      </c>
      <c r="V1038" s="99" t="str">
        <f t="shared" si="88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si="87"/>
        <v>0</v>
      </c>
      <c r="U1039" s="99" t="str">
        <f>IFERROR(VLOOKUP($S1039,References!$B$3:$C$8,2,FALSE),"")</f>
        <v/>
      </c>
      <c r="V1039" s="99" t="str">
        <f t="shared" si="88"/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ref="T1040:T1103" si="89">IF(S1040="50 - Cleaning Fee",1,HOUR($R1040)+MINUTE(R1040)/60)</f>
        <v>0</v>
      </c>
      <c r="U1040" s="99" t="str">
        <f>IFERROR(VLOOKUP($S1040,References!$B$3:$C$8,2,FALSE),"")</f>
        <v/>
      </c>
      <c r="V1040" s="99" t="str">
        <f t="shared" ref="V1040:V1077" si="90">IF(T1040&gt;=8,400,(IFERROR(T1040*U1040,"")))</f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89"/>
        <v>0</v>
      </c>
      <c r="U1041" s="99" t="str">
        <f>IFERROR(VLOOKUP($S1041,References!$B$3:$C$8,2,FALSE),"")</f>
        <v/>
      </c>
      <c r="V1041" s="99" t="str">
        <f t="shared" si="90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89"/>
        <v>0</v>
      </c>
      <c r="U1042" s="99" t="str">
        <f>IFERROR(VLOOKUP($S1042,References!$B$3:$C$8,2,FALSE),"")</f>
        <v/>
      </c>
      <c r="V1042" s="99" t="str">
        <f t="shared" si="90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89"/>
        <v>0</v>
      </c>
      <c r="U1043" s="99" t="str">
        <f>IFERROR(VLOOKUP($S1043,References!$B$3:$C$8,2,FALSE),"")</f>
        <v/>
      </c>
      <c r="V1043" s="99" t="str">
        <f t="shared" si="90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89"/>
        <v>0</v>
      </c>
      <c r="U1044" s="99" t="str">
        <f>IFERROR(VLOOKUP($S1044,References!$B$3:$C$8,2,FALSE),"")</f>
        <v/>
      </c>
      <c r="V1044" s="99" t="str">
        <f t="shared" si="90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89"/>
        <v>0</v>
      </c>
      <c r="U1045" s="99" t="str">
        <f>IFERROR(VLOOKUP($S1045,References!$B$3:$C$8,2,FALSE),"")</f>
        <v/>
      </c>
      <c r="V1045" s="99" t="str">
        <f t="shared" si="90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89"/>
        <v>0</v>
      </c>
      <c r="U1046" s="99" t="str">
        <f>IFERROR(VLOOKUP($S1046,References!$B$3:$C$8,2,FALSE),"")</f>
        <v/>
      </c>
      <c r="V1046" s="99" t="str">
        <f t="shared" si="90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89"/>
        <v>0</v>
      </c>
      <c r="U1047" s="99" t="str">
        <f>IFERROR(VLOOKUP($S1047,References!$B$3:$C$8,2,FALSE),"")</f>
        <v/>
      </c>
      <c r="V1047" s="99" t="str">
        <f t="shared" si="90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89"/>
        <v>0</v>
      </c>
      <c r="U1048" s="99" t="str">
        <f>IFERROR(VLOOKUP($S1048,References!$B$3:$C$8,2,FALSE),"")</f>
        <v/>
      </c>
      <c r="V1048" s="99" t="str">
        <f t="shared" si="90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89"/>
        <v>0</v>
      </c>
      <c r="U1049" s="99" t="str">
        <f>IFERROR(VLOOKUP($S1049,References!$B$3:$C$8,2,FALSE),"")</f>
        <v/>
      </c>
      <c r="V1049" s="99" t="str">
        <f t="shared" si="90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89"/>
        <v>0</v>
      </c>
      <c r="U1050" s="99" t="str">
        <f>IFERROR(VLOOKUP($S1050,References!$B$3:$C$8,2,FALSE),"")</f>
        <v/>
      </c>
      <c r="V1050" s="99" t="str">
        <f t="shared" si="90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89"/>
        <v>0</v>
      </c>
      <c r="U1051" s="99" t="str">
        <f>IFERROR(VLOOKUP($S1051,References!$B$3:$C$8,2,FALSE),"")</f>
        <v/>
      </c>
      <c r="V1051" s="99" t="str">
        <f t="shared" si="90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89"/>
        <v>0</v>
      </c>
      <c r="U1052" s="99" t="str">
        <f>IFERROR(VLOOKUP($S1052,References!$B$3:$C$8,2,FALSE),"")</f>
        <v/>
      </c>
      <c r="V1052" s="99" t="str">
        <f t="shared" si="90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89"/>
        <v>0</v>
      </c>
      <c r="U1053" s="99" t="str">
        <f>IFERROR(VLOOKUP($S1053,References!$B$3:$C$8,2,FALSE),"")</f>
        <v/>
      </c>
      <c r="V1053" s="99" t="str">
        <f t="shared" si="90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89"/>
        <v>0</v>
      </c>
      <c r="U1054" s="99" t="str">
        <f>IFERROR(VLOOKUP($S1054,References!$B$3:$C$8,2,FALSE),"")</f>
        <v/>
      </c>
      <c r="V1054" s="99" t="str">
        <f t="shared" si="90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89"/>
        <v>0</v>
      </c>
      <c r="U1055" s="99" t="str">
        <f>IFERROR(VLOOKUP($S1055,References!$B$3:$C$8,2,FALSE),"")</f>
        <v/>
      </c>
      <c r="V1055" s="99" t="str">
        <f t="shared" si="90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89"/>
        <v>0</v>
      </c>
      <c r="U1056" s="99" t="str">
        <f>IFERROR(VLOOKUP($S1056,References!$B$3:$C$8,2,FALSE),"")</f>
        <v/>
      </c>
      <c r="V1056" s="99" t="str">
        <f t="shared" si="90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89"/>
        <v>0</v>
      </c>
      <c r="U1057" s="99" t="str">
        <f>IFERROR(VLOOKUP($S1057,References!$B$3:$C$8,2,FALSE),"")</f>
        <v/>
      </c>
      <c r="V1057" s="99" t="str">
        <f t="shared" si="90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89"/>
        <v>0</v>
      </c>
      <c r="U1058" s="99" t="str">
        <f>IFERROR(VLOOKUP($S1058,References!$B$3:$C$8,2,FALSE),"")</f>
        <v/>
      </c>
      <c r="V1058" s="99" t="str">
        <f t="shared" si="90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89"/>
        <v>0</v>
      </c>
      <c r="U1059" s="99" t="str">
        <f>IFERROR(VLOOKUP($S1059,References!$B$3:$C$8,2,FALSE),"")</f>
        <v/>
      </c>
      <c r="V1059" s="99" t="str">
        <f t="shared" si="90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89"/>
        <v>0</v>
      </c>
      <c r="U1060" s="99" t="str">
        <f>IFERROR(VLOOKUP($S1060,References!$B$3:$C$8,2,FALSE),"")</f>
        <v/>
      </c>
      <c r="V1060" s="99" t="str">
        <f t="shared" si="90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89"/>
        <v>0</v>
      </c>
      <c r="U1061" s="99" t="str">
        <f>IFERROR(VLOOKUP($S1061,References!$B$3:$C$8,2,FALSE),"")</f>
        <v/>
      </c>
      <c r="V1061" s="99" t="str">
        <f t="shared" si="90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89"/>
        <v>0</v>
      </c>
      <c r="U1062" s="99" t="str">
        <f>IFERROR(VLOOKUP($S1062,References!$B$3:$C$8,2,FALSE),"")</f>
        <v/>
      </c>
      <c r="V1062" s="99" t="str">
        <f t="shared" si="90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89"/>
        <v>0</v>
      </c>
      <c r="U1063" s="99" t="str">
        <f>IFERROR(VLOOKUP($S1063,References!$B$3:$C$8,2,FALSE),"")</f>
        <v/>
      </c>
      <c r="V1063" s="99" t="str">
        <f t="shared" si="90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89"/>
        <v>0</v>
      </c>
      <c r="U1064" s="99" t="str">
        <f>IFERROR(VLOOKUP($S1064,References!$B$3:$C$8,2,FALSE),"")</f>
        <v/>
      </c>
      <c r="V1064" s="99" t="str">
        <f t="shared" si="90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89"/>
        <v>0</v>
      </c>
      <c r="U1065" s="99" t="str">
        <f>IFERROR(VLOOKUP($S1065,References!$B$3:$C$8,2,FALSE),"")</f>
        <v/>
      </c>
      <c r="V1065" s="99" t="str">
        <f t="shared" si="90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89"/>
        <v>0</v>
      </c>
      <c r="U1066" s="99" t="str">
        <f>IFERROR(VLOOKUP($S1066,References!$B$3:$C$8,2,FALSE),"")</f>
        <v/>
      </c>
      <c r="V1066" s="99" t="str">
        <f t="shared" si="90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89"/>
        <v>0</v>
      </c>
      <c r="U1067" s="99" t="str">
        <f>IFERROR(VLOOKUP($S1067,References!$B$3:$C$8,2,FALSE),"")</f>
        <v/>
      </c>
      <c r="V1067" s="99" t="str">
        <f t="shared" si="90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89"/>
        <v>0</v>
      </c>
      <c r="U1068" s="99" t="str">
        <f>IFERROR(VLOOKUP($S1068,References!$B$3:$C$8,2,FALSE),"")</f>
        <v/>
      </c>
      <c r="V1068" s="99" t="str">
        <f t="shared" si="90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89"/>
        <v>0</v>
      </c>
      <c r="U1069" s="99" t="str">
        <f>IFERROR(VLOOKUP($S1069,References!$B$3:$C$8,2,FALSE),"")</f>
        <v/>
      </c>
      <c r="V1069" s="99" t="str">
        <f t="shared" si="90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89"/>
        <v>0</v>
      </c>
      <c r="U1070" s="99" t="str">
        <f>IFERROR(VLOOKUP($S1070,References!$B$3:$C$8,2,FALSE),"")</f>
        <v/>
      </c>
      <c r="V1070" s="99" t="str">
        <f t="shared" si="90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89"/>
        <v>0</v>
      </c>
      <c r="U1071" s="99" t="str">
        <f>IFERROR(VLOOKUP($S1071,References!$B$3:$C$8,2,FALSE),"")</f>
        <v/>
      </c>
      <c r="V1071" s="99" t="str">
        <f t="shared" si="90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89"/>
        <v>0</v>
      </c>
      <c r="U1072" s="99" t="str">
        <f>IFERROR(VLOOKUP($S1072,References!$B$3:$C$8,2,FALSE),"")</f>
        <v/>
      </c>
      <c r="V1072" s="99" t="str">
        <f t="shared" si="90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89"/>
        <v>0</v>
      </c>
      <c r="U1073" s="99" t="str">
        <f>IFERROR(VLOOKUP($S1073,References!$B$3:$C$8,2,FALSE),"")</f>
        <v/>
      </c>
      <c r="V1073" s="99" t="str">
        <f t="shared" si="90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89"/>
        <v>0</v>
      </c>
      <c r="U1074" s="99" t="str">
        <f>IFERROR(VLOOKUP($S1074,References!$B$3:$C$8,2,FALSE),"")</f>
        <v/>
      </c>
      <c r="V1074" s="99" t="str">
        <f t="shared" si="90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89"/>
        <v>0</v>
      </c>
      <c r="U1075" s="99" t="str">
        <f>IFERROR(VLOOKUP($S1075,References!$B$3:$C$8,2,FALSE),"")</f>
        <v/>
      </c>
      <c r="V1075" s="99" t="str">
        <f t="shared" si="90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89"/>
        <v>0</v>
      </c>
      <c r="U1076" s="99" t="str">
        <f>IFERROR(VLOOKUP($S1076,References!$B$3:$C$8,2,FALSE),"")</f>
        <v/>
      </c>
      <c r="V1076" s="99" t="str">
        <f t="shared" si="90"/>
        <v/>
      </c>
      <c r="W1076" s="66" t="str">
        <f>IFERROR(VLOOKUP($O1076,'Customer List'!$A$1:$J$488,10,FALSE),"")</f>
        <v/>
      </c>
    </row>
    <row r="1077" spans="18:23">
      <c r="R1077" s="97"/>
      <c r="T1077" s="98">
        <f t="shared" si="89"/>
        <v>0</v>
      </c>
      <c r="U1077" s="99" t="str">
        <f>IFERROR(VLOOKUP($S1077,References!$B$3:$C$8,2,FALSE),"")</f>
        <v/>
      </c>
      <c r="V1077" s="99" t="str">
        <f t="shared" si="90"/>
        <v/>
      </c>
      <c r="W1077" s="66"/>
    </row>
    <row r="1078" spans="18:23">
      <c r="R1078" s="97"/>
      <c r="T1078" s="98">
        <f t="shared" si="89"/>
        <v>0</v>
      </c>
      <c r="U1078" s="99"/>
      <c r="V1078" s="99"/>
      <c r="W1078" s="66"/>
    </row>
    <row r="1079" spans="18:23">
      <c r="R1079" s="97"/>
      <c r="T1079" s="98">
        <f t="shared" si="89"/>
        <v>0</v>
      </c>
      <c r="U1079" s="99"/>
      <c r="V1079" s="99"/>
      <c r="W1079" s="66"/>
    </row>
    <row r="1080" spans="18:23">
      <c r="R1080" s="97"/>
      <c r="T1080" s="98">
        <f t="shared" si="89"/>
        <v>0</v>
      </c>
      <c r="U1080" s="99"/>
      <c r="V1080" s="99"/>
      <c r="W1080" s="66"/>
    </row>
    <row r="1081" spans="18:23">
      <c r="R1081" s="97"/>
      <c r="T1081" s="98">
        <f t="shared" si="89"/>
        <v>0</v>
      </c>
      <c r="U1081" s="99"/>
      <c r="V1081" s="99"/>
      <c r="W1081" s="66"/>
    </row>
    <row r="1082" spans="18:23">
      <c r="R1082" s="97"/>
      <c r="T1082" s="98">
        <f t="shared" si="89"/>
        <v>0</v>
      </c>
      <c r="U1082" s="99"/>
      <c r="V1082" s="99"/>
      <c r="W1082" s="66"/>
    </row>
    <row r="1083" spans="18:23">
      <c r="R1083" s="97"/>
      <c r="T1083" s="98">
        <f t="shared" si="89"/>
        <v>0</v>
      </c>
      <c r="U1083" s="99"/>
      <c r="V1083" s="99"/>
      <c r="W1083" s="66"/>
    </row>
    <row r="1084" spans="18:23">
      <c r="R1084" s="97"/>
      <c r="T1084" s="98">
        <f t="shared" si="89"/>
        <v>0</v>
      </c>
      <c r="U1084" s="99"/>
      <c r="V1084" s="99"/>
      <c r="W1084" s="66"/>
    </row>
    <row r="1085" spans="18:23">
      <c r="R1085" s="97"/>
      <c r="T1085" s="98">
        <f t="shared" si="89"/>
        <v>0</v>
      </c>
      <c r="U1085" s="99"/>
      <c r="V1085" s="99"/>
      <c r="W1085" s="66"/>
    </row>
    <row r="1086" spans="18:23">
      <c r="R1086" s="97"/>
      <c r="T1086" s="98">
        <f t="shared" si="89"/>
        <v>0</v>
      </c>
      <c r="U1086" s="99"/>
      <c r="V1086" s="99"/>
      <c r="W1086" s="66"/>
    </row>
    <row r="1087" spans="18:23">
      <c r="R1087" s="97"/>
      <c r="T1087" s="98">
        <f t="shared" si="89"/>
        <v>0</v>
      </c>
      <c r="U1087" s="99"/>
      <c r="V1087" s="99"/>
      <c r="W1087" s="66"/>
    </row>
    <row r="1088" spans="18:23">
      <c r="R1088" s="97"/>
      <c r="T1088" s="98">
        <f t="shared" si="89"/>
        <v>0</v>
      </c>
      <c r="U1088" s="99"/>
      <c r="V1088" s="99"/>
      <c r="W1088" s="66"/>
    </row>
    <row r="1089" spans="18:23">
      <c r="R1089" s="97"/>
      <c r="T1089" s="98">
        <f t="shared" si="89"/>
        <v>0</v>
      </c>
      <c r="U1089" s="99"/>
      <c r="V1089" s="99"/>
      <c r="W1089" s="66"/>
    </row>
    <row r="1090" spans="18:23">
      <c r="R1090" s="97"/>
      <c r="T1090" s="98">
        <f t="shared" si="89"/>
        <v>0</v>
      </c>
      <c r="U1090" s="99"/>
      <c r="V1090" s="99"/>
      <c r="W1090" s="66"/>
    </row>
    <row r="1091" spans="18:23">
      <c r="R1091" s="97"/>
      <c r="T1091" s="98">
        <f t="shared" si="89"/>
        <v>0</v>
      </c>
      <c r="U1091" s="99"/>
      <c r="V1091" s="99"/>
      <c r="W1091" s="66"/>
    </row>
    <row r="1092" spans="18:23">
      <c r="R1092" s="97"/>
      <c r="T1092" s="98">
        <f t="shared" si="89"/>
        <v>0</v>
      </c>
      <c r="U1092" s="99"/>
      <c r="V1092" s="99"/>
      <c r="W1092" s="66"/>
    </row>
    <row r="1093" spans="18:23">
      <c r="R1093" s="97"/>
      <c r="T1093" s="98">
        <f t="shared" si="89"/>
        <v>0</v>
      </c>
      <c r="U1093" s="99"/>
      <c r="V1093" s="99"/>
      <c r="W1093" s="66"/>
    </row>
    <row r="1094" spans="18:23">
      <c r="R1094" s="97"/>
      <c r="T1094" s="98">
        <f t="shared" si="89"/>
        <v>0</v>
      </c>
      <c r="U1094" s="99"/>
      <c r="V1094" s="99"/>
      <c r="W1094" s="66"/>
    </row>
    <row r="1095" spans="18:23">
      <c r="R1095" s="97"/>
      <c r="T1095" s="98">
        <f t="shared" si="89"/>
        <v>0</v>
      </c>
      <c r="U1095" s="99"/>
      <c r="V1095" s="99"/>
      <c r="W1095" s="66"/>
    </row>
    <row r="1096" spans="18:23">
      <c r="R1096" s="97"/>
      <c r="T1096" s="98">
        <f t="shared" si="89"/>
        <v>0</v>
      </c>
      <c r="U1096" s="99"/>
      <c r="V1096" s="99"/>
      <c r="W1096" s="66"/>
    </row>
    <row r="1097" spans="18:23">
      <c r="R1097" s="97"/>
      <c r="T1097" s="98">
        <f t="shared" si="89"/>
        <v>0</v>
      </c>
      <c r="U1097" s="99"/>
      <c r="V1097" s="99"/>
      <c r="W1097" s="66"/>
    </row>
    <row r="1098" spans="18:23">
      <c r="R1098" s="97"/>
      <c r="T1098" s="98">
        <f t="shared" si="89"/>
        <v>0</v>
      </c>
      <c r="U1098" s="99"/>
      <c r="V1098" s="99"/>
      <c r="W1098" s="66"/>
    </row>
    <row r="1099" spans="18:23">
      <c r="R1099" s="97"/>
      <c r="T1099" s="98">
        <f t="shared" si="89"/>
        <v>0</v>
      </c>
      <c r="U1099" s="99"/>
      <c r="V1099" s="99"/>
      <c r="W1099" s="66"/>
    </row>
    <row r="1100" spans="18:23">
      <c r="R1100" s="97"/>
      <c r="T1100" s="98">
        <f t="shared" si="89"/>
        <v>0</v>
      </c>
      <c r="U1100" s="99"/>
      <c r="V1100" s="99"/>
      <c r="W1100" s="66"/>
    </row>
    <row r="1101" spans="18:23">
      <c r="R1101" s="97"/>
      <c r="T1101" s="98">
        <f t="shared" si="89"/>
        <v>0</v>
      </c>
      <c r="U1101" s="99"/>
      <c r="V1101" s="99"/>
      <c r="W1101" s="66"/>
    </row>
    <row r="1102" spans="18:23">
      <c r="R1102" s="97"/>
      <c r="T1102" s="98">
        <f t="shared" si="89"/>
        <v>0</v>
      </c>
      <c r="U1102" s="99"/>
      <c r="V1102" s="99"/>
      <c r="W1102" s="66"/>
    </row>
    <row r="1103" spans="18:23">
      <c r="R1103" s="97"/>
      <c r="T1103" s="98">
        <f t="shared" si="89"/>
        <v>0</v>
      </c>
      <c r="U1103" s="99"/>
      <c r="V1103" s="99"/>
      <c r="W1103" s="66"/>
    </row>
    <row r="1104" spans="18:23">
      <c r="R1104" s="97"/>
      <c r="T1104" s="98">
        <f t="shared" ref="T1104:T1167" si="91">IF(S1104="50 - Cleaning Fee",1,HOUR($R1104)+MINUTE(R1104)/60)</f>
        <v>0</v>
      </c>
      <c r="U1104" s="99"/>
      <c r="V1104" s="99"/>
      <c r="W1104" s="66"/>
    </row>
    <row r="1105" spans="18:23">
      <c r="R1105" s="97"/>
      <c r="T1105" s="98">
        <f t="shared" si="91"/>
        <v>0</v>
      </c>
      <c r="U1105" s="99"/>
      <c r="V1105" s="99"/>
      <c r="W1105" s="66"/>
    </row>
    <row r="1106" spans="18:23">
      <c r="R1106" s="97"/>
      <c r="T1106" s="98">
        <f t="shared" si="91"/>
        <v>0</v>
      </c>
      <c r="U1106" s="99"/>
      <c r="V1106" s="99"/>
      <c r="W1106" s="66"/>
    </row>
    <row r="1107" spans="18:23">
      <c r="R1107" s="97"/>
      <c r="T1107" s="98">
        <f t="shared" si="91"/>
        <v>0</v>
      </c>
      <c r="U1107" s="99"/>
      <c r="V1107" s="99"/>
      <c r="W1107" s="66"/>
    </row>
    <row r="1108" spans="18:23">
      <c r="R1108" s="97"/>
      <c r="T1108" s="98">
        <f t="shared" si="91"/>
        <v>0</v>
      </c>
      <c r="U1108" s="99"/>
      <c r="V1108" s="99"/>
      <c r="W1108" s="66"/>
    </row>
    <row r="1109" spans="18:23">
      <c r="R1109" s="97"/>
      <c r="T1109" s="98">
        <f t="shared" si="91"/>
        <v>0</v>
      </c>
      <c r="U1109" s="99"/>
      <c r="V1109" s="99"/>
      <c r="W1109" s="66"/>
    </row>
    <row r="1110" spans="18:23">
      <c r="R1110" s="97"/>
      <c r="T1110" s="98">
        <f t="shared" si="91"/>
        <v>0</v>
      </c>
      <c r="U1110" s="99"/>
      <c r="V1110" s="99"/>
      <c r="W1110" s="66"/>
    </row>
    <row r="1111" spans="18:23">
      <c r="R1111" s="97"/>
      <c r="T1111" s="98">
        <f t="shared" si="91"/>
        <v>0</v>
      </c>
      <c r="U1111" s="99"/>
      <c r="V1111" s="99"/>
      <c r="W1111" s="66"/>
    </row>
    <row r="1112" spans="18:23">
      <c r="R1112" s="97"/>
      <c r="T1112" s="98">
        <f t="shared" si="91"/>
        <v>0</v>
      </c>
      <c r="U1112" s="99"/>
      <c r="V1112" s="99"/>
      <c r="W1112" s="66"/>
    </row>
    <row r="1113" spans="18:23">
      <c r="R1113" s="97"/>
      <c r="T1113" s="98">
        <f t="shared" si="91"/>
        <v>0</v>
      </c>
      <c r="U1113" s="99"/>
      <c r="V1113" s="99"/>
      <c r="W1113" s="66"/>
    </row>
    <row r="1114" spans="18:23">
      <c r="R1114" s="97"/>
      <c r="T1114" s="98">
        <f t="shared" si="91"/>
        <v>0</v>
      </c>
      <c r="U1114" s="99"/>
      <c r="V1114" s="99"/>
      <c r="W1114" s="66"/>
    </row>
    <row r="1115" spans="18:23">
      <c r="R1115" s="97"/>
      <c r="T1115" s="98">
        <f t="shared" si="91"/>
        <v>0</v>
      </c>
      <c r="U1115" s="99"/>
      <c r="V1115" s="99"/>
      <c r="W1115" s="66"/>
    </row>
    <row r="1116" spans="18:23">
      <c r="R1116" s="97"/>
      <c r="T1116" s="98">
        <f t="shared" si="91"/>
        <v>0</v>
      </c>
      <c r="U1116" s="99"/>
      <c r="V1116" s="99"/>
      <c r="W1116" s="66"/>
    </row>
    <row r="1117" spans="18:23">
      <c r="R1117" s="97"/>
      <c r="T1117" s="98">
        <f t="shared" si="91"/>
        <v>0</v>
      </c>
      <c r="U1117" s="99"/>
      <c r="V1117" s="99"/>
      <c r="W1117" s="66"/>
    </row>
    <row r="1118" spans="18:23">
      <c r="R1118" s="97"/>
      <c r="T1118" s="98">
        <f t="shared" si="91"/>
        <v>0</v>
      </c>
      <c r="U1118" s="99"/>
      <c r="V1118" s="99"/>
      <c r="W1118" s="66"/>
    </row>
    <row r="1119" spans="18:23">
      <c r="R1119" s="97"/>
      <c r="T1119" s="98">
        <f t="shared" si="91"/>
        <v>0</v>
      </c>
      <c r="U1119" s="99"/>
      <c r="V1119" s="99"/>
      <c r="W1119" s="66"/>
    </row>
    <row r="1120" spans="18:23">
      <c r="R1120" s="97"/>
      <c r="T1120" s="98">
        <f t="shared" si="91"/>
        <v>0</v>
      </c>
      <c r="U1120" s="99"/>
      <c r="V1120" s="99"/>
      <c r="W1120" s="66"/>
    </row>
    <row r="1121" spans="18:23">
      <c r="R1121" s="97"/>
      <c r="T1121" s="98">
        <f t="shared" si="91"/>
        <v>0</v>
      </c>
      <c r="U1121" s="99"/>
      <c r="V1121" s="99"/>
      <c r="W1121" s="66"/>
    </row>
    <row r="1122" spans="18:23">
      <c r="R1122" s="97"/>
      <c r="T1122" s="98">
        <f t="shared" si="91"/>
        <v>0</v>
      </c>
      <c r="U1122" s="99"/>
      <c r="V1122" s="99"/>
      <c r="W1122" s="66"/>
    </row>
    <row r="1123" spans="18:23">
      <c r="R1123" s="97"/>
      <c r="T1123" s="98">
        <f t="shared" si="91"/>
        <v>0</v>
      </c>
      <c r="U1123" s="99"/>
      <c r="V1123" s="99"/>
      <c r="W1123" s="66"/>
    </row>
    <row r="1124" spans="18:23">
      <c r="R1124" s="97"/>
      <c r="T1124" s="98">
        <f t="shared" si="91"/>
        <v>0</v>
      </c>
      <c r="U1124" s="99"/>
      <c r="V1124" s="99"/>
      <c r="W1124" s="66"/>
    </row>
    <row r="1125" spans="18:23">
      <c r="R1125" s="97"/>
      <c r="T1125" s="98">
        <f t="shared" si="91"/>
        <v>0</v>
      </c>
      <c r="U1125" s="99"/>
      <c r="V1125" s="99"/>
      <c r="W1125" s="66"/>
    </row>
    <row r="1126" spans="18:23">
      <c r="R1126" s="97"/>
      <c r="T1126" s="98">
        <f t="shared" si="91"/>
        <v>0</v>
      </c>
      <c r="U1126" s="99"/>
      <c r="V1126" s="99"/>
      <c r="W1126" s="66"/>
    </row>
    <row r="1127" spans="18:23">
      <c r="R1127" s="97"/>
      <c r="T1127" s="98">
        <f t="shared" si="91"/>
        <v>0</v>
      </c>
      <c r="U1127" s="99"/>
      <c r="V1127" s="99"/>
      <c r="W1127" s="66"/>
    </row>
    <row r="1128" spans="18:23">
      <c r="R1128" s="97"/>
      <c r="T1128" s="98">
        <f t="shared" si="91"/>
        <v>0</v>
      </c>
      <c r="U1128" s="99"/>
      <c r="V1128" s="99"/>
      <c r="W1128" s="66"/>
    </row>
    <row r="1129" spans="18:23">
      <c r="R1129" s="97"/>
      <c r="T1129" s="98">
        <f t="shared" si="91"/>
        <v>0</v>
      </c>
      <c r="U1129" s="99"/>
      <c r="V1129" s="99"/>
      <c r="W1129" s="66"/>
    </row>
    <row r="1130" spans="18:23">
      <c r="R1130" s="97"/>
      <c r="T1130" s="98">
        <f t="shared" si="91"/>
        <v>0</v>
      </c>
      <c r="U1130" s="99"/>
      <c r="V1130" s="99"/>
      <c r="W1130" s="66"/>
    </row>
    <row r="1131" spans="18:23">
      <c r="R1131" s="97"/>
      <c r="T1131" s="98">
        <f t="shared" si="91"/>
        <v>0</v>
      </c>
      <c r="U1131" s="99"/>
      <c r="V1131" s="99"/>
      <c r="W1131" s="66"/>
    </row>
    <row r="1132" spans="18:23">
      <c r="R1132" s="97"/>
      <c r="T1132" s="98">
        <f t="shared" si="91"/>
        <v>0</v>
      </c>
      <c r="U1132" s="99"/>
      <c r="V1132" s="99"/>
      <c r="W1132" s="66"/>
    </row>
    <row r="1133" spans="18:23">
      <c r="R1133" s="97"/>
      <c r="T1133" s="98">
        <f t="shared" si="91"/>
        <v>0</v>
      </c>
      <c r="U1133" s="99"/>
      <c r="V1133" s="99"/>
      <c r="W1133" s="66"/>
    </row>
    <row r="1134" spans="18:23">
      <c r="R1134" s="97"/>
      <c r="T1134" s="98">
        <f t="shared" si="91"/>
        <v>0</v>
      </c>
      <c r="U1134" s="99"/>
      <c r="V1134" s="99"/>
      <c r="W1134" s="66"/>
    </row>
    <row r="1135" spans="18:23">
      <c r="R1135" s="97"/>
      <c r="T1135" s="98">
        <f t="shared" si="91"/>
        <v>0</v>
      </c>
      <c r="U1135" s="99"/>
      <c r="V1135" s="99"/>
      <c r="W1135" s="66"/>
    </row>
    <row r="1136" spans="18:23">
      <c r="R1136" s="97"/>
      <c r="T1136" s="98">
        <f t="shared" si="91"/>
        <v>0</v>
      </c>
      <c r="U1136" s="99"/>
      <c r="V1136" s="99"/>
      <c r="W1136" s="66"/>
    </row>
    <row r="1137" spans="18:23">
      <c r="R1137" s="97"/>
      <c r="T1137" s="98">
        <f t="shared" si="91"/>
        <v>0</v>
      </c>
      <c r="U1137" s="99"/>
      <c r="V1137" s="99"/>
      <c r="W1137" s="66"/>
    </row>
    <row r="1138" spans="18:23">
      <c r="R1138" s="97"/>
      <c r="T1138" s="98">
        <f t="shared" si="91"/>
        <v>0</v>
      </c>
      <c r="U1138" s="99"/>
      <c r="V1138" s="99"/>
      <c r="W1138" s="66"/>
    </row>
    <row r="1139" spans="18:23">
      <c r="R1139" s="97"/>
      <c r="T1139" s="98">
        <f t="shared" si="91"/>
        <v>0</v>
      </c>
      <c r="U1139" s="99"/>
      <c r="V1139" s="99"/>
      <c r="W1139" s="66"/>
    </row>
    <row r="1140" spans="18:23">
      <c r="R1140" s="97"/>
      <c r="T1140" s="98">
        <f t="shared" si="91"/>
        <v>0</v>
      </c>
      <c r="U1140" s="99"/>
      <c r="V1140" s="99"/>
      <c r="W1140" s="66"/>
    </row>
    <row r="1141" spans="18:23">
      <c r="R1141" s="97"/>
      <c r="T1141" s="98">
        <f t="shared" si="91"/>
        <v>0</v>
      </c>
      <c r="U1141" s="99"/>
      <c r="V1141" s="99"/>
      <c r="W1141" s="66"/>
    </row>
    <row r="1142" spans="18:23">
      <c r="R1142" s="97"/>
      <c r="T1142" s="98">
        <f t="shared" si="91"/>
        <v>0</v>
      </c>
      <c r="U1142" s="99"/>
      <c r="V1142" s="99"/>
      <c r="W1142" s="66"/>
    </row>
    <row r="1143" spans="18:23">
      <c r="R1143" s="97"/>
      <c r="T1143" s="98">
        <f t="shared" si="91"/>
        <v>0</v>
      </c>
      <c r="U1143" s="99"/>
      <c r="V1143" s="99"/>
      <c r="W1143" s="66"/>
    </row>
    <row r="1144" spans="18:23">
      <c r="R1144" s="97"/>
      <c r="T1144" s="98">
        <f t="shared" si="91"/>
        <v>0</v>
      </c>
      <c r="U1144" s="99"/>
      <c r="V1144" s="99"/>
      <c r="W1144" s="66"/>
    </row>
    <row r="1145" spans="18:23">
      <c r="R1145" s="97"/>
      <c r="T1145" s="98">
        <f t="shared" si="91"/>
        <v>0</v>
      </c>
      <c r="U1145" s="99"/>
      <c r="V1145" s="99"/>
      <c r="W1145" s="66"/>
    </row>
    <row r="1146" spans="18:23">
      <c r="R1146" s="97"/>
      <c r="T1146" s="98">
        <f t="shared" si="91"/>
        <v>0</v>
      </c>
      <c r="U1146" s="99"/>
      <c r="V1146" s="99"/>
      <c r="W1146" s="66"/>
    </row>
    <row r="1147" spans="18:23">
      <c r="R1147" s="97"/>
      <c r="T1147" s="98">
        <f t="shared" si="91"/>
        <v>0</v>
      </c>
      <c r="U1147" s="99"/>
      <c r="V1147" s="99"/>
      <c r="W1147" s="66"/>
    </row>
    <row r="1148" spans="18:23">
      <c r="R1148" s="97"/>
      <c r="T1148" s="98">
        <f t="shared" si="91"/>
        <v>0</v>
      </c>
      <c r="U1148" s="99"/>
      <c r="V1148" s="99"/>
      <c r="W1148" s="66"/>
    </row>
    <row r="1149" spans="18:23">
      <c r="R1149" s="97"/>
      <c r="T1149" s="98">
        <f t="shared" si="91"/>
        <v>0</v>
      </c>
      <c r="U1149" s="99"/>
      <c r="V1149" s="99"/>
      <c r="W1149" s="66"/>
    </row>
    <row r="1150" spans="18:23">
      <c r="R1150" s="97"/>
      <c r="T1150" s="98">
        <f t="shared" si="91"/>
        <v>0</v>
      </c>
      <c r="U1150" s="99"/>
      <c r="V1150" s="99"/>
      <c r="W1150" s="66"/>
    </row>
    <row r="1151" spans="18:23">
      <c r="R1151" s="97"/>
      <c r="T1151" s="98">
        <f t="shared" si="91"/>
        <v>0</v>
      </c>
      <c r="U1151" s="99"/>
      <c r="V1151" s="99"/>
      <c r="W1151" s="66"/>
    </row>
    <row r="1152" spans="18:23">
      <c r="R1152" s="97"/>
      <c r="T1152" s="98">
        <f t="shared" si="91"/>
        <v>0</v>
      </c>
      <c r="U1152" s="99"/>
      <c r="V1152" s="99"/>
      <c r="W1152" s="66"/>
    </row>
    <row r="1153" spans="18:23">
      <c r="R1153" s="97"/>
      <c r="T1153" s="98">
        <f t="shared" si="91"/>
        <v>0</v>
      </c>
      <c r="U1153" s="99"/>
      <c r="V1153" s="99"/>
      <c r="W1153" s="66"/>
    </row>
    <row r="1154" spans="18:23">
      <c r="R1154" s="97"/>
      <c r="T1154" s="98">
        <f t="shared" si="91"/>
        <v>0</v>
      </c>
      <c r="U1154" s="99"/>
      <c r="V1154" s="99"/>
      <c r="W1154" s="66"/>
    </row>
    <row r="1155" spans="18:23">
      <c r="R1155" s="97"/>
      <c r="T1155" s="98">
        <f t="shared" si="91"/>
        <v>0</v>
      </c>
      <c r="U1155" s="99"/>
      <c r="V1155" s="99"/>
      <c r="W1155" s="66"/>
    </row>
    <row r="1156" spans="18:23">
      <c r="R1156" s="97"/>
      <c r="T1156" s="98">
        <f t="shared" si="91"/>
        <v>0</v>
      </c>
      <c r="U1156" s="99"/>
      <c r="V1156" s="99"/>
      <c r="W1156" s="66"/>
    </row>
    <row r="1157" spans="18:23">
      <c r="R1157" s="97"/>
      <c r="T1157" s="98">
        <f t="shared" si="91"/>
        <v>0</v>
      </c>
      <c r="U1157" s="99"/>
      <c r="V1157" s="99"/>
      <c r="W1157" s="66"/>
    </row>
    <row r="1158" spans="18:23">
      <c r="R1158" s="97"/>
      <c r="T1158" s="98">
        <f t="shared" si="91"/>
        <v>0</v>
      </c>
      <c r="U1158" s="99"/>
      <c r="V1158" s="99"/>
      <c r="W1158" s="66"/>
    </row>
    <row r="1159" spans="18:23">
      <c r="R1159" s="97"/>
      <c r="T1159" s="98">
        <f t="shared" si="91"/>
        <v>0</v>
      </c>
      <c r="U1159" s="99"/>
      <c r="V1159" s="99"/>
      <c r="W1159" s="66"/>
    </row>
    <row r="1160" spans="18:23">
      <c r="R1160" s="97"/>
      <c r="T1160" s="98">
        <f t="shared" si="91"/>
        <v>0</v>
      </c>
      <c r="U1160" s="99"/>
      <c r="V1160" s="99"/>
      <c r="W1160" s="66"/>
    </row>
    <row r="1161" spans="18:23">
      <c r="R1161" s="97"/>
      <c r="T1161" s="98">
        <f t="shared" si="91"/>
        <v>0</v>
      </c>
      <c r="U1161" s="99"/>
      <c r="V1161" s="99"/>
      <c r="W1161" s="66"/>
    </row>
    <row r="1162" spans="18:23">
      <c r="R1162" s="97"/>
      <c r="T1162" s="98">
        <f t="shared" si="91"/>
        <v>0</v>
      </c>
      <c r="U1162" s="99"/>
      <c r="V1162" s="99"/>
      <c r="W1162" s="66"/>
    </row>
    <row r="1163" spans="18:23">
      <c r="R1163" s="97"/>
      <c r="T1163" s="98">
        <f t="shared" si="91"/>
        <v>0</v>
      </c>
      <c r="U1163" s="99"/>
      <c r="V1163" s="99"/>
      <c r="W1163" s="66"/>
    </row>
    <row r="1164" spans="18:23">
      <c r="R1164" s="97"/>
      <c r="T1164" s="98">
        <f t="shared" si="91"/>
        <v>0</v>
      </c>
      <c r="U1164" s="99"/>
      <c r="V1164" s="99"/>
      <c r="W1164" s="66"/>
    </row>
    <row r="1165" spans="18:23">
      <c r="R1165" s="97"/>
      <c r="T1165" s="98">
        <f t="shared" si="91"/>
        <v>0</v>
      </c>
      <c r="U1165" s="99"/>
      <c r="V1165" s="99"/>
      <c r="W1165" s="66"/>
    </row>
    <row r="1166" spans="18:23">
      <c r="R1166" s="97"/>
      <c r="T1166" s="98">
        <f t="shared" si="91"/>
        <v>0</v>
      </c>
      <c r="U1166" s="99"/>
      <c r="V1166" s="99"/>
      <c r="W1166" s="66"/>
    </row>
    <row r="1167" spans="18:23">
      <c r="R1167" s="97"/>
      <c r="T1167" s="98">
        <f t="shared" si="91"/>
        <v>0</v>
      </c>
      <c r="U1167" s="99"/>
      <c r="V1167" s="99"/>
      <c r="W1167" s="66"/>
    </row>
    <row r="1168" spans="18:23">
      <c r="R1168" s="97"/>
      <c r="T1168" s="98">
        <f t="shared" ref="T1168:T1231" si="92">IF(S1168="50 - Cleaning Fee",1,HOUR($R1168)+MINUTE(R1168)/60)</f>
        <v>0</v>
      </c>
      <c r="U1168" s="99"/>
      <c r="V1168" s="99"/>
      <c r="W1168" s="66"/>
    </row>
    <row r="1169" spans="18:23">
      <c r="R1169" s="97"/>
      <c r="T1169" s="98">
        <f t="shared" si="92"/>
        <v>0</v>
      </c>
      <c r="U1169" s="99"/>
      <c r="V1169" s="99"/>
      <c r="W1169" s="66"/>
    </row>
    <row r="1170" spans="18:23">
      <c r="R1170" s="97"/>
      <c r="T1170" s="98">
        <f t="shared" si="92"/>
        <v>0</v>
      </c>
      <c r="U1170" s="99"/>
      <c r="V1170" s="99"/>
      <c r="W1170" s="66"/>
    </row>
    <row r="1171" spans="18:23">
      <c r="R1171" s="97"/>
      <c r="T1171" s="98">
        <f t="shared" si="92"/>
        <v>0</v>
      </c>
      <c r="U1171" s="99"/>
      <c r="V1171" s="99"/>
      <c r="W1171" s="66"/>
    </row>
    <row r="1172" spans="18:23">
      <c r="R1172" s="97"/>
      <c r="T1172" s="98">
        <f t="shared" si="92"/>
        <v>0</v>
      </c>
      <c r="U1172" s="99"/>
      <c r="V1172" s="99"/>
      <c r="W1172" s="66"/>
    </row>
    <row r="1173" spans="18:23">
      <c r="R1173" s="97"/>
      <c r="T1173" s="98">
        <f t="shared" si="92"/>
        <v>0</v>
      </c>
      <c r="U1173" s="99"/>
      <c r="V1173" s="99"/>
      <c r="W1173" s="66"/>
    </row>
    <row r="1174" spans="18:23">
      <c r="R1174" s="97"/>
      <c r="T1174" s="98">
        <f t="shared" si="92"/>
        <v>0</v>
      </c>
      <c r="U1174" s="99"/>
      <c r="V1174" s="99"/>
      <c r="W1174" s="66"/>
    </row>
    <row r="1175" spans="18:23">
      <c r="R1175" s="97"/>
      <c r="T1175" s="98">
        <f t="shared" si="92"/>
        <v>0</v>
      </c>
      <c r="U1175" s="99"/>
      <c r="V1175" s="99"/>
      <c r="W1175" s="66"/>
    </row>
    <row r="1176" spans="18:23">
      <c r="R1176" s="97"/>
      <c r="T1176" s="98">
        <f t="shared" si="92"/>
        <v>0</v>
      </c>
      <c r="U1176" s="99"/>
      <c r="V1176" s="99"/>
      <c r="W1176" s="66"/>
    </row>
    <row r="1177" spans="18:23">
      <c r="R1177" s="97"/>
      <c r="T1177" s="98">
        <f t="shared" si="92"/>
        <v>0</v>
      </c>
      <c r="U1177" s="99"/>
      <c r="V1177" s="99"/>
      <c r="W1177" s="66"/>
    </row>
    <row r="1178" spans="18:23">
      <c r="R1178" s="97"/>
      <c r="T1178" s="98">
        <f t="shared" si="92"/>
        <v>0</v>
      </c>
      <c r="U1178" s="99"/>
      <c r="V1178" s="99"/>
      <c r="W1178" s="66"/>
    </row>
    <row r="1179" spans="18:23">
      <c r="R1179" s="97"/>
      <c r="T1179" s="98">
        <f t="shared" si="92"/>
        <v>0</v>
      </c>
      <c r="U1179" s="99"/>
      <c r="V1179" s="99"/>
      <c r="W1179" s="66"/>
    </row>
    <row r="1180" spans="18:23">
      <c r="R1180" s="97"/>
      <c r="T1180" s="98">
        <f t="shared" si="92"/>
        <v>0</v>
      </c>
      <c r="U1180" s="99"/>
      <c r="V1180" s="99"/>
      <c r="W1180" s="66"/>
    </row>
    <row r="1181" spans="18:23">
      <c r="R1181" s="97"/>
      <c r="T1181" s="98">
        <f t="shared" si="92"/>
        <v>0</v>
      </c>
      <c r="U1181" s="99"/>
      <c r="V1181" s="99"/>
      <c r="W1181" s="66"/>
    </row>
    <row r="1182" spans="18:23">
      <c r="R1182" s="97"/>
      <c r="T1182" s="98">
        <f t="shared" si="92"/>
        <v>0</v>
      </c>
      <c r="U1182" s="99"/>
      <c r="V1182" s="99"/>
      <c r="W1182" s="66"/>
    </row>
    <row r="1183" spans="18:23">
      <c r="R1183" s="97"/>
      <c r="T1183" s="98">
        <f t="shared" si="92"/>
        <v>0</v>
      </c>
      <c r="U1183" s="99"/>
      <c r="V1183" s="99"/>
      <c r="W1183" s="66"/>
    </row>
    <row r="1184" spans="18:23">
      <c r="R1184" s="97"/>
      <c r="T1184" s="98">
        <f t="shared" si="92"/>
        <v>0</v>
      </c>
      <c r="U1184" s="99"/>
      <c r="V1184" s="99"/>
      <c r="W1184" s="66"/>
    </row>
    <row r="1185" spans="1:23">
      <c r="R1185" s="97"/>
      <c r="T1185" s="98">
        <f t="shared" si="92"/>
        <v>0</v>
      </c>
      <c r="U1185" s="99"/>
      <c r="V1185" s="99"/>
      <c r="W1185" s="66"/>
    </row>
    <row r="1186" spans="1:23">
      <c r="R1186" s="97"/>
      <c r="T1186" s="98">
        <f t="shared" si="92"/>
        <v>0</v>
      </c>
      <c r="U1186" s="99"/>
      <c r="V1186" s="99"/>
      <c r="W1186" s="66"/>
    </row>
    <row r="1187" spans="1:23">
      <c r="R1187" s="97"/>
      <c r="T1187" s="98">
        <f t="shared" si="92"/>
        <v>0</v>
      </c>
      <c r="U1187" s="99"/>
      <c r="V1187" s="99"/>
      <c r="W1187" s="66"/>
    </row>
    <row r="1188" spans="1:23">
      <c r="R1188" s="97"/>
      <c r="T1188" s="98">
        <f t="shared" si="92"/>
        <v>0</v>
      </c>
      <c r="U1188" s="99"/>
      <c r="V1188" s="99"/>
      <c r="W1188" s="66"/>
    </row>
    <row r="1189" spans="1:23">
      <c r="R1189" s="97"/>
      <c r="T1189" s="98">
        <f t="shared" si="92"/>
        <v>0</v>
      </c>
      <c r="U1189" s="99"/>
      <c r="V1189" s="99"/>
      <c r="W1189" s="66"/>
    </row>
    <row r="1190" spans="1:23">
      <c r="R1190" s="97"/>
      <c r="T1190" s="98">
        <f t="shared" si="92"/>
        <v>0</v>
      </c>
      <c r="U1190" s="99"/>
      <c r="V1190" s="99"/>
      <c r="W1190" s="66"/>
    </row>
    <row r="1191" spans="1:23">
      <c r="R1191" s="97"/>
      <c r="T1191" s="98">
        <f t="shared" si="92"/>
        <v>0</v>
      </c>
      <c r="U1191" s="99"/>
      <c r="V1191" s="99"/>
      <c r="W1191" s="66"/>
    </row>
    <row r="1192" spans="1:23">
      <c r="R1192" s="97"/>
      <c r="T1192" s="98">
        <f t="shared" si="92"/>
        <v>0</v>
      </c>
      <c r="U1192" s="99"/>
      <c r="V1192" s="99"/>
      <c r="W1192" s="66"/>
    </row>
    <row r="1193" spans="1:23">
      <c r="R1193" s="97"/>
      <c r="T1193" s="98">
        <f t="shared" si="92"/>
        <v>0</v>
      </c>
      <c r="U1193" s="99"/>
      <c r="V1193" s="99"/>
      <c r="W1193" s="66"/>
    </row>
    <row r="1194" spans="1:23">
      <c r="R1194" s="97"/>
      <c r="T1194" s="98">
        <f t="shared" si="92"/>
        <v>0</v>
      </c>
      <c r="U1194" s="99"/>
      <c r="V1194" s="99"/>
      <c r="W1194" s="66"/>
    </row>
    <row r="1195" spans="1:23">
      <c r="R1195" s="97"/>
      <c r="T1195" s="98">
        <f t="shared" si="92"/>
        <v>0</v>
      </c>
      <c r="U1195" s="99"/>
      <c r="V1195" s="99"/>
      <c r="W1195" s="66"/>
    </row>
    <row r="1196" spans="1:23">
      <c r="A1196" s="90" t="str">
        <f t="shared" ref="A1196:A1259" si="93">O1196&amp;S1196</f>
        <v/>
      </c>
      <c r="R1196" s="97">
        <f t="shared" ref="R1196:R1259" si="94">L1196-K1196</f>
        <v>0</v>
      </c>
      <c r="T1196" s="98">
        <f t="shared" si="92"/>
        <v>0</v>
      </c>
      <c r="U1196" s="99" t="str">
        <f>IFERROR(IF(#REF!="S",VLOOKUP('Raw Data'!A1196,References!#REF!,2,FALSE),(VLOOKUP($S1196,References!$B$3:$C$8,2,FALSE))),"")</f>
        <v/>
      </c>
      <c r="V1196" s="99" t="str">
        <f t="shared" ref="V1196:V1197" si="95">IFERROR(T1196*U1196,"")</f>
        <v/>
      </c>
      <c r="W1196" s="66" t="str">
        <f>IFERROR(VLOOKUP($O1196,'Customer List'!$A$1:$J$488,10,FALSE),"")</f>
        <v/>
      </c>
    </row>
    <row r="1197" spans="1:23">
      <c r="A1197" s="90" t="str">
        <f t="shared" si="93"/>
        <v/>
      </c>
      <c r="R1197" s="97">
        <f t="shared" si="94"/>
        <v>0</v>
      </c>
      <c r="T1197" s="98">
        <f t="shared" si="92"/>
        <v>0</v>
      </c>
      <c r="U1197" s="99" t="str">
        <f>IFERROR(IF(#REF!="S",VLOOKUP('Raw Data'!A1197,References!#REF!,2,FALSE),(VLOOKUP($S1197,References!$B$3:$C$8,2,FALSE))),"")</f>
        <v/>
      </c>
      <c r="V1197" s="99" t="str">
        <f t="shared" si="95"/>
        <v/>
      </c>
      <c r="W1197" s="66" t="str">
        <f>IFERROR(VLOOKUP($O1197,'Customer List'!$A$1:$J$488,10,FALSE),"")</f>
        <v/>
      </c>
    </row>
    <row r="1198" spans="1:23">
      <c r="A1198" s="90" t="str">
        <f t="shared" si="93"/>
        <v/>
      </c>
      <c r="R1198" s="97">
        <f t="shared" si="94"/>
        <v>0</v>
      </c>
      <c r="T1198" s="98">
        <f t="shared" si="92"/>
        <v>0</v>
      </c>
      <c r="U1198" s="99" t="str">
        <f>IFERROR(IF(#REF!="S",VLOOKUP('Raw Data'!A1198,References!#REF!,2,FALSE),(VLOOKUP($S1198,References!$B$3:$C$8,2,FALSE))),"")</f>
        <v/>
      </c>
      <c r="V1198" s="99" t="str">
        <f t="shared" ref="V1198:V1261" si="96">IFERROR(T1198*U1198,"")</f>
        <v/>
      </c>
      <c r="W1198" s="66" t="str">
        <f>IFERROR(VLOOKUP($O1198,'Customer List'!$A$1:$J$488,10,FALSE),"")</f>
        <v/>
      </c>
    </row>
    <row r="1199" spans="1:23">
      <c r="A1199" s="90" t="str">
        <f t="shared" si="93"/>
        <v/>
      </c>
      <c r="R1199" s="97">
        <f t="shared" si="94"/>
        <v>0</v>
      </c>
      <c r="T1199" s="98">
        <f t="shared" si="92"/>
        <v>0</v>
      </c>
      <c r="U1199" s="99" t="str">
        <f>IFERROR(IF(#REF!="S",VLOOKUP('Raw Data'!A1199,References!#REF!,2,FALSE),(VLOOKUP($S1199,References!$B$3:$C$8,2,FALSE))),"")</f>
        <v/>
      </c>
      <c r="V1199" s="99" t="str">
        <f t="shared" si="96"/>
        <v/>
      </c>
      <c r="W1199" s="66" t="str">
        <f>IFERROR(VLOOKUP($O1199,'Customer List'!$A$1:$J$488,10,FALSE),"")</f>
        <v/>
      </c>
    </row>
    <row r="1200" spans="1:23">
      <c r="A1200" s="90" t="str">
        <f t="shared" si="93"/>
        <v/>
      </c>
      <c r="R1200" s="97">
        <f t="shared" si="94"/>
        <v>0</v>
      </c>
      <c r="T1200" s="98">
        <f t="shared" si="92"/>
        <v>0</v>
      </c>
      <c r="U1200" s="99" t="str">
        <f>IFERROR(IF(#REF!="S",VLOOKUP('Raw Data'!A1200,References!#REF!,2,FALSE),(VLOOKUP($S1200,References!$B$3:$C$8,2,FALSE))),"")</f>
        <v/>
      </c>
      <c r="V1200" s="99" t="str">
        <f t="shared" si="96"/>
        <v/>
      </c>
      <c r="W1200" s="66" t="str">
        <f>IFERROR(VLOOKUP($O1200,'Customer List'!$A$1:$J$488,10,FALSE),"")</f>
        <v/>
      </c>
    </row>
    <row r="1201" spans="1:23">
      <c r="A1201" s="90" t="str">
        <f t="shared" si="93"/>
        <v/>
      </c>
      <c r="R1201" s="97">
        <f t="shared" si="94"/>
        <v>0</v>
      </c>
      <c r="T1201" s="98">
        <f t="shared" si="92"/>
        <v>0</v>
      </c>
      <c r="U1201" s="99" t="str">
        <f>IFERROR(IF(#REF!="S",VLOOKUP('Raw Data'!A1201,References!#REF!,2,FALSE),(VLOOKUP($S1201,References!$B$3:$C$8,2,FALSE))),"")</f>
        <v/>
      </c>
      <c r="V1201" s="99" t="str">
        <f t="shared" si="96"/>
        <v/>
      </c>
      <c r="W1201" s="66" t="str">
        <f>IFERROR(VLOOKUP($O1201,'Customer List'!$A$1:$J$488,10,FALSE),"")</f>
        <v/>
      </c>
    </row>
    <row r="1202" spans="1:23">
      <c r="A1202" s="90" t="str">
        <f t="shared" si="93"/>
        <v/>
      </c>
      <c r="R1202" s="97">
        <f t="shared" si="94"/>
        <v>0</v>
      </c>
      <c r="T1202" s="98">
        <f t="shared" si="92"/>
        <v>0</v>
      </c>
      <c r="U1202" s="99" t="str">
        <f>IFERROR(IF(#REF!="S",VLOOKUP('Raw Data'!A1202,References!#REF!,2,FALSE),(VLOOKUP($S1202,References!$B$3:$C$8,2,FALSE))),"")</f>
        <v/>
      </c>
      <c r="V1202" s="99" t="str">
        <f t="shared" si="96"/>
        <v/>
      </c>
      <c r="W1202" s="66" t="str">
        <f>IFERROR(VLOOKUP($O1202,'Customer List'!$A$1:$J$488,10,FALSE),"")</f>
        <v/>
      </c>
    </row>
    <row r="1203" spans="1:23">
      <c r="A1203" s="90" t="str">
        <f t="shared" si="93"/>
        <v/>
      </c>
      <c r="R1203" s="97">
        <f t="shared" si="94"/>
        <v>0</v>
      </c>
      <c r="T1203" s="98">
        <f t="shared" si="92"/>
        <v>0</v>
      </c>
      <c r="U1203" s="99" t="str">
        <f>IFERROR(IF(#REF!="S",VLOOKUP('Raw Data'!A1203,References!#REF!,2,FALSE),(VLOOKUP($S1203,References!$B$3:$C$8,2,FALSE))),"")</f>
        <v/>
      </c>
      <c r="V1203" s="99" t="str">
        <f t="shared" si="96"/>
        <v/>
      </c>
      <c r="W1203" s="66" t="str">
        <f>IFERROR(VLOOKUP($O1203,'Customer List'!$A$1:$J$488,10,FALSE),"")</f>
        <v/>
      </c>
    </row>
    <row r="1204" spans="1:23">
      <c r="A1204" s="90" t="str">
        <f t="shared" si="93"/>
        <v/>
      </c>
      <c r="R1204" s="97">
        <f t="shared" si="94"/>
        <v>0</v>
      </c>
      <c r="T1204" s="98">
        <f t="shared" si="92"/>
        <v>0</v>
      </c>
      <c r="U1204" s="99" t="str">
        <f>IFERROR(IF(#REF!="S",VLOOKUP('Raw Data'!A1204,References!#REF!,2,FALSE),(VLOOKUP($S1204,References!$B$3:$C$8,2,FALSE))),"")</f>
        <v/>
      </c>
      <c r="V1204" s="99" t="str">
        <f t="shared" si="96"/>
        <v/>
      </c>
      <c r="W1204" s="66" t="str">
        <f>IFERROR(VLOOKUP($O1204,'Customer List'!$A$1:$J$488,10,FALSE),"")</f>
        <v/>
      </c>
    </row>
    <row r="1205" spans="1:23">
      <c r="A1205" s="90" t="str">
        <f t="shared" si="93"/>
        <v/>
      </c>
      <c r="R1205" s="97">
        <f t="shared" si="94"/>
        <v>0</v>
      </c>
      <c r="T1205" s="98">
        <f t="shared" si="92"/>
        <v>0</v>
      </c>
      <c r="U1205" s="99" t="str">
        <f>IFERROR(IF(#REF!="S",VLOOKUP('Raw Data'!A1205,References!#REF!,2,FALSE),(VLOOKUP($S1205,References!$B$3:$C$8,2,FALSE))),"")</f>
        <v/>
      </c>
      <c r="V1205" s="99" t="str">
        <f t="shared" si="96"/>
        <v/>
      </c>
      <c r="W1205" s="66" t="str">
        <f>IFERROR(VLOOKUP($O1205,'Customer List'!$A$1:$J$488,10,FALSE),"")</f>
        <v/>
      </c>
    </row>
    <row r="1206" spans="1:23">
      <c r="A1206" s="90" t="str">
        <f t="shared" si="93"/>
        <v/>
      </c>
      <c r="R1206" s="97">
        <f t="shared" si="94"/>
        <v>0</v>
      </c>
      <c r="T1206" s="98">
        <f t="shared" si="92"/>
        <v>0</v>
      </c>
      <c r="U1206" s="99" t="str">
        <f>IFERROR(IF(#REF!="S",VLOOKUP('Raw Data'!A1206,References!#REF!,2,FALSE),(VLOOKUP($S1206,References!$B$3:$C$8,2,FALSE))),"")</f>
        <v/>
      </c>
      <c r="V1206" s="99" t="str">
        <f t="shared" si="96"/>
        <v/>
      </c>
      <c r="W1206" s="66" t="str">
        <f>IFERROR(VLOOKUP($O1206,'Customer List'!$A$1:$J$488,10,FALSE),"")</f>
        <v/>
      </c>
    </row>
    <row r="1207" spans="1:23">
      <c r="A1207" s="90" t="str">
        <f t="shared" si="93"/>
        <v/>
      </c>
      <c r="R1207" s="97">
        <f t="shared" si="94"/>
        <v>0</v>
      </c>
      <c r="T1207" s="98">
        <f t="shared" si="92"/>
        <v>0</v>
      </c>
      <c r="U1207" s="99" t="str">
        <f>IFERROR(IF(#REF!="S",VLOOKUP('Raw Data'!A1207,References!#REF!,2,FALSE),(VLOOKUP($S1207,References!$B$3:$C$8,2,FALSE))),"")</f>
        <v/>
      </c>
      <c r="V1207" s="99" t="str">
        <f t="shared" si="96"/>
        <v/>
      </c>
      <c r="W1207" s="66" t="str">
        <f>IFERROR(VLOOKUP($O1207,'Customer List'!$A$1:$J$488,10,FALSE),"")</f>
        <v/>
      </c>
    </row>
    <row r="1208" spans="1:23">
      <c r="A1208" s="90" t="str">
        <f t="shared" si="93"/>
        <v/>
      </c>
      <c r="R1208" s="97">
        <f t="shared" si="94"/>
        <v>0</v>
      </c>
      <c r="T1208" s="98">
        <f t="shared" si="92"/>
        <v>0</v>
      </c>
      <c r="U1208" s="99" t="str">
        <f>IFERROR(IF(#REF!="S",VLOOKUP('Raw Data'!A1208,References!#REF!,2,FALSE),(VLOOKUP($S1208,References!$B$3:$C$8,2,FALSE))),"")</f>
        <v/>
      </c>
      <c r="V1208" s="99" t="str">
        <f t="shared" si="96"/>
        <v/>
      </c>
      <c r="W1208" s="66" t="str">
        <f>IFERROR(VLOOKUP($O1208,'Customer List'!$A$1:$J$488,10,FALSE),"")</f>
        <v/>
      </c>
    </row>
    <row r="1209" spans="1:23">
      <c r="A1209" s="90" t="str">
        <f t="shared" si="93"/>
        <v/>
      </c>
      <c r="R1209" s="97">
        <f t="shared" si="94"/>
        <v>0</v>
      </c>
      <c r="T1209" s="98">
        <f t="shared" si="92"/>
        <v>0</v>
      </c>
      <c r="U1209" s="99" t="str">
        <f>IFERROR(IF(#REF!="S",VLOOKUP('Raw Data'!A1209,References!#REF!,2,FALSE),(VLOOKUP($S1209,References!$B$3:$C$8,2,FALSE))),"")</f>
        <v/>
      </c>
      <c r="V1209" s="99" t="str">
        <f t="shared" si="96"/>
        <v/>
      </c>
      <c r="W1209" s="66" t="str">
        <f>IFERROR(VLOOKUP($O1209,'Customer List'!$A$1:$J$488,10,FALSE),"")</f>
        <v/>
      </c>
    </row>
    <row r="1210" spans="1:23">
      <c r="A1210" s="90" t="str">
        <f t="shared" si="93"/>
        <v/>
      </c>
      <c r="R1210" s="97">
        <f t="shared" si="94"/>
        <v>0</v>
      </c>
      <c r="T1210" s="98">
        <f t="shared" si="92"/>
        <v>0</v>
      </c>
      <c r="U1210" s="99" t="str">
        <f>IFERROR(IF(#REF!="S",VLOOKUP('Raw Data'!A1210,References!#REF!,2,FALSE),(VLOOKUP($S1210,References!$B$3:$C$8,2,FALSE))),"")</f>
        <v/>
      </c>
      <c r="V1210" s="99" t="str">
        <f t="shared" si="96"/>
        <v/>
      </c>
      <c r="W1210" s="66" t="str">
        <f>IFERROR(VLOOKUP($O1210,'Customer List'!$A$1:$J$488,10,FALSE),"")</f>
        <v/>
      </c>
    </row>
    <row r="1211" spans="1:23">
      <c r="A1211" s="90" t="str">
        <f t="shared" si="93"/>
        <v/>
      </c>
      <c r="R1211" s="97">
        <f t="shared" si="94"/>
        <v>0</v>
      </c>
      <c r="T1211" s="98">
        <f t="shared" si="92"/>
        <v>0</v>
      </c>
      <c r="U1211" s="99" t="str">
        <f>IFERROR(IF(#REF!="S",VLOOKUP('Raw Data'!A1211,References!#REF!,2,FALSE),(VLOOKUP($S1211,References!$B$3:$C$8,2,FALSE))),"")</f>
        <v/>
      </c>
      <c r="V1211" s="99" t="str">
        <f t="shared" si="96"/>
        <v/>
      </c>
      <c r="W1211" s="66" t="str">
        <f>IFERROR(VLOOKUP($O1211,'Customer List'!$A$1:$J$488,10,FALSE),"")</f>
        <v/>
      </c>
    </row>
    <row r="1212" spans="1:23">
      <c r="A1212" s="90" t="str">
        <f t="shared" si="93"/>
        <v/>
      </c>
      <c r="R1212" s="97">
        <f t="shared" si="94"/>
        <v>0</v>
      </c>
      <c r="T1212" s="98">
        <f t="shared" si="92"/>
        <v>0</v>
      </c>
      <c r="U1212" s="99" t="str">
        <f>IFERROR(IF(#REF!="S",VLOOKUP('Raw Data'!A1212,References!#REF!,2,FALSE),(VLOOKUP($S1212,References!$B$3:$C$8,2,FALSE))),"")</f>
        <v/>
      </c>
      <c r="V1212" s="99" t="str">
        <f t="shared" si="96"/>
        <v/>
      </c>
      <c r="W1212" s="66" t="str">
        <f>IFERROR(VLOOKUP($O1212,'Customer List'!$A$1:$J$488,10,FALSE),"")</f>
        <v/>
      </c>
    </row>
    <row r="1213" spans="1:23">
      <c r="A1213" s="90" t="str">
        <f t="shared" si="93"/>
        <v/>
      </c>
      <c r="R1213" s="97">
        <f t="shared" si="94"/>
        <v>0</v>
      </c>
      <c r="T1213" s="98">
        <f t="shared" si="92"/>
        <v>0</v>
      </c>
      <c r="U1213" s="99" t="str">
        <f>IFERROR(IF(#REF!="S",VLOOKUP('Raw Data'!A1213,References!#REF!,2,FALSE),(VLOOKUP($S1213,References!$B$3:$C$8,2,FALSE))),"")</f>
        <v/>
      </c>
      <c r="V1213" s="99" t="str">
        <f t="shared" si="96"/>
        <v/>
      </c>
      <c r="W1213" s="66" t="str">
        <f>IFERROR(VLOOKUP($O1213,'Customer List'!$A$1:$J$488,10,FALSE),"")</f>
        <v/>
      </c>
    </row>
    <row r="1214" spans="1:23">
      <c r="A1214" s="90" t="str">
        <f t="shared" si="93"/>
        <v/>
      </c>
      <c r="R1214" s="97">
        <f t="shared" si="94"/>
        <v>0</v>
      </c>
      <c r="T1214" s="98">
        <f t="shared" si="92"/>
        <v>0</v>
      </c>
      <c r="U1214" s="99" t="str">
        <f>IFERROR(IF(#REF!="S",VLOOKUP('Raw Data'!A1214,References!#REF!,2,FALSE),(VLOOKUP($S1214,References!$B$3:$C$8,2,FALSE))),"")</f>
        <v/>
      </c>
      <c r="V1214" s="99" t="str">
        <f t="shared" si="96"/>
        <v/>
      </c>
      <c r="W1214" s="66" t="str">
        <f>IFERROR(VLOOKUP($O1214,'Customer List'!$A$1:$J$488,10,FALSE),"")</f>
        <v/>
      </c>
    </row>
    <row r="1215" spans="1:23">
      <c r="A1215" s="90" t="str">
        <f t="shared" si="93"/>
        <v/>
      </c>
      <c r="R1215" s="97">
        <f t="shared" si="94"/>
        <v>0</v>
      </c>
      <c r="T1215" s="98">
        <f t="shared" si="92"/>
        <v>0</v>
      </c>
      <c r="U1215" s="99" t="str">
        <f>IFERROR(IF(#REF!="S",VLOOKUP('Raw Data'!A1215,References!#REF!,2,FALSE),(VLOOKUP($S1215,References!$B$3:$C$8,2,FALSE))),"")</f>
        <v/>
      </c>
      <c r="V1215" s="99" t="str">
        <f t="shared" si="96"/>
        <v/>
      </c>
      <c r="W1215" s="66" t="str">
        <f>IFERROR(VLOOKUP($O1215,'Customer List'!$A$1:$J$488,10,FALSE),"")</f>
        <v/>
      </c>
    </row>
    <row r="1216" spans="1:23">
      <c r="A1216" s="90" t="str">
        <f t="shared" si="93"/>
        <v/>
      </c>
      <c r="R1216" s="97">
        <f t="shared" si="94"/>
        <v>0</v>
      </c>
      <c r="T1216" s="98">
        <f t="shared" si="92"/>
        <v>0</v>
      </c>
      <c r="U1216" s="99" t="str">
        <f>IFERROR(IF(#REF!="S",VLOOKUP('Raw Data'!A1216,References!#REF!,2,FALSE),(VLOOKUP($S1216,References!$B$3:$C$8,2,FALSE))),"")</f>
        <v/>
      </c>
      <c r="V1216" s="99" t="str">
        <f t="shared" si="96"/>
        <v/>
      </c>
      <c r="W1216" s="66" t="str">
        <f>IFERROR(VLOOKUP($O1216,'Customer List'!$A$1:$J$488,10,FALSE),"")</f>
        <v/>
      </c>
    </row>
    <row r="1217" spans="1:23">
      <c r="A1217" s="90" t="str">
        <f t="shared" si="93"/>
        <v/>
      </c>
      <c r="R1217" s="97">
        <f t="shared" si="94"/>
        <v>0</v>
      </c>
      <c r="T1217" s="98">
        <f t="shared" si="92"/>
        <v>0</v>
      </c>
      <c r="U1217" s="99" t="str">
        <f>IFERROR(IF(#REF!="S",VLOOKUP('Raw Data'!A1217,References!#REF!,2,FALSE),(VLOOKUP($S1217,References!$B$3:$C$8,2,FALSE))),"")</f>
        <v/>
      </c>
      <c r="V1217" s="99" t="str">
        <f t="shared" si="96"/>
        <v/>
      </c>
      <c r="W1217" s="66" t="str">
        <f>IFERROR(VLOOKUP($O1217,'Customer List'!$A$1:$J$488,10,FALSE),"")</f>
        <v/>
      </c>
    </row>
    <row r="1218" spans="1:23">
      <c r="A1218" s="90" t="str">
        <f t="shared" si="93"/>
        <v/>
      </c>
      <c r="R1218" s="97">
        <f t="shared" si="94"/>
        <v>0</v>
      </c>
      <c r="T1218" s="98">
        <f t="shared" si="92"/>
        <v>0</v>
      </c>
      <c r="U1218" s="99" t="str">
        <f>IFERROR(IF(#REF!="S",VLOOKUP('Raw Data'!A1218,References!#REF!,2,FALSE),(VLOOKUP($S1218,References!$B$3:$C$8,2,FALSE))),"")</f>
        <v/>
      </c>
      <c r="V1218" s="99" t="str">
        <f t="shared" si="96"/>
        <v/>
      </c>
      <c r="W1218" s="66" t="str">
        <f>IFERROR(VLOOKUP($O1218,'Customer List'!$A$1:$J$488,10,FALSE),"")</f>
        <v/>
      </c>
    </row>
    <row r="1219" spans="1:23">
      <c r="A1219" s="90" t="str">
        <f t="shared" si="93"/>
        <v/>
      </c>
      <c r="R1219" s="97">
        <f t="shared" si="94"/>
        <v>0</v>
      </c>
      <c r="T1219" s="98">
        <f t="shared" si="92"/>
        <v>0</v>
      </c>
      <c r="U1219" s="99" t="str">
        <f>IFERROR(IF(#REF!="S",VLOOKUP('Raw Data'!A1219,References!#REF!,2,FALSE),(VLOOKUP($S1219,References!$B$3:$C$8,2,FALSE))),"")</f>
        <v/>
      </c>
      <c r="V1219" s="99" t="str">
        <f t="shared" si="96"/>
        <v/>
      </c>
      <c r="W1219" s="66" t="str">
        <f>IFERROR(VLOOKUP($O1219,'Customer List'!$A$1:$J$488,10,FALSE),"")</f>
        <v/>
      </c>
    </row>
    <row r="1220" spans="1:23">
      <c r="A1220" s="90" t="str">
        <f t="shared" si="93"/>
        <v/>
      </c>
      <c r="R1220" s="97">
        <f t="shared" si="94"/>
        <v>0</v>
      </c>
      <c r="T1220" s="98">
        <f t="shared" si="92"/>
        <v>0</v>
      </c>
      <c r="U1220" s="99" t="str">
        <f>IFERROR(IF(#REF!="S",VLOOKUP('Raw Data'!A1220,References!#REF!,2,FALSE),(VLOOKUP($S1220,References!$B$3:$C$8,2,FALSE))),"")</f>
        <v/>
      </c>
      <c r="V1220" s="99" t="str">
        <f t="shared" si="96"/>
        <v/>
      </c>
      <c r="W1220" s="66" t="str">
        <f>IFERROR(VLOOKUP($O1220,'Customer List'!$A$1:$J$488,10,FALSE),"")</f>
        <v/>
      </c>
    </row>
    <row r="1221" spans="1:23">
      <c r="A1221" s="90" t="str">
        <f t="shared" si="93"/>
        <v/>
      </c>
      <c r="R1221" s="97">
        <f t="shared" si="94"/>
        <v>0</v>
      </c>
      <c r="T1221" s="98">
        <f t="shared" si="92"/>
        <v>0</v>
      </c>
      <c r="U1221" s="99" t="str">
        <f>IFERROR(IF(#REF!="S",VLOOKUP('Raw Data'!A1221,References!#REF!,2,FALSE),(VLOOKUP($S1221,References!$B$3:$C$8,2,FALSE))),"")</f>
        <v/>
      </c>
      <c r="V1221" s="99" t="str">
        <f t="shared" si="96"/>
        <v/>
      </c>
      <c r="W1221" s="66" t="str">
        <f>IFERROR(VLOOKUP($O1221,'Customer List'!$A$1:$J$488,10,FALSE),"")</f>
        <v/>
      </c>
    </row>
    <row r="1222" spans="1:23">
      <c r="A1222" s="90" t="str">
        <f t="shared" si="93"/>
        <v/>
      </c>
      <c r="R1222" s="97">
        <f t="shared" si="94"/>
        <v>0</v>
      </c>
      <c r="T1222" s="98">
        <f t="shared" si="92"/>
        <v>0</v>
      </c>
      <c r="U1222" s="99" t="str">
        <f>IFERROR(IF(#REF!="S",VLOOKUP('Raw Data'!A1222,References!#REF!,2,FALSE),(VLOOKUP($S1222,References!$B$3:$C$8,2,FALSE))),"")</f>
        <v/>
      </c>
      <c r="V1222" s="99" t="str">
        <f t="shared" si="96"/>
        <v/>
      </c>
      <c r="W1222" s="66" t="str">
        <f>IFERROR(VLOOKUP($O1222,'Customer List'!$A$1:$J$488,10,FALSE),"")</f>
        <v/>
      </c>
    </row>
    <row r="1223" spans="1:23">
      <c r="A1223" s="90" t="str">
        <f t="shared" si="93"/>
        <v/>
      </c>
      <c r="R1223" s="97">
        <f t="shared" si="94"/>
        <v>0</v>
      </c>
      <c r="T1223" s="98">
        <f t="shared" si="92"/>
        <v>0</v>
      </c>
      <c r="U1223" s="99" t="str">
        <f>IFERROR(IF(#REF!="S",VLOOKUP('Raw Data'!A1223,References!#REF!,2,FALSE),(VLOOKUP($S1223,References!$B$3:$C$8,2,FALSE))),"")</f>
        <v/>
      </c>
      <c r="V1223" s="99" t="str">
        <f t="shared" si="96"/>
        <v/>
      </c>
      <c r="W1223" s="66" t="str">
        <f>IFERROR(VLOOKUP($O1223,'Customer List'!$A$1:$J$488,10,FALSE),"")</f>
        <v/>
      </c>
    </row>
    <row r="1224" spans="1:23">
      <c r="A1224" s="90" t="str">
        <f t="shared" si="93"/>
        <v/>
      </c>
      <c r="R1224" s="97">
        <f t="shared" si="94"/>
        <v>0</v>
      </c>
      <c r="T1224" s="98">
        <f t="shared" si="92"/>
        <v>0</v>
      </c>
      <c r="U1224" s="99" t="str">
        <f>IFERROR(IF(#REF!="S",VLOOKUP('Raw Data'!A1224,References!#REF!,2,FALSE),(VLOOKUP($S1224,References!$B$3:$C$8,2,FALSE))),"")</f>
        <v/>
      </c>
      <c r="V1224" s="99" t="str">
        <f t="shared" si="96"/>
        <v/>
      </c>
      <c r="W1224" s="66" t="str">
        <f>IFERROR(VLOOKUP($O1224,'Customer List'!$A$1:$J$488,10,FALSE),"")</f>
        <v/>
      </c>
    </row>
    <row r="1225" spans="1:23">
      <c r="A1225" s="90" t="str">
        <f t="shared" si="93"/>
        <v/>
      </c>
      <c r="R1225" s="97">
        <f t="shared" si="94"/>
        <v>0</v>
      </c>
      <c r="T1225" s="98">
        <f t="shared" si="92"/>
        <v>0</v>
      </c>
      <c r="U1225" s="99" t="str">
        <f>IFERROR(IF(#REF!="S",VLOOKUP('Raw Data'!A1225,References!#REF!,2,FALSE),(VLOOKUP($S1225,References!$B$3:$C$8,2,FALSE))),"")</f>
        <v/>
      </c>
      <c r="V1225" s="99" t="str">
        <f t="shared" si="96"/>
        <v/>
      </c>
      <c r="W1225" s="66" t="str">
        <f>IFERROR(VLOOKUP($O1225,'Customer List'!$A$1:$J$488,10,FALSE),"")</f>
        <v/>
      </c>
    </row>
    <row r="1226" spans="1:23">
      <c r="A1226" s="90" t="str">
        <f t="shared" si="93"/>
        <v/>
      </c>
      <c r="R1226" s="97">
        <f t="shared" si="94"/>
        <v>0</v>
      </c>
      <c r="T1226" s="98">
        <f t="shared" si="92"/>
        <v>0</v>
      </c>
      <c r="U1226" s="99" t="str">
        <f>IFERROR(IF(#REF!="S",VLOOKUP('Raw Data'!A1226,References!#REF!,2,FALSE),(VLOOKUP($S1226,References!$B$3:$C$8,2,FALSE))),"")</f>
        <v/>
      </c>
      <c r="V1226" s="99" t="str">
        <f t="shared" si="96"/>
        <v/>
      </c>
      <c r="W1226" s="66" t="str">
        <f>IFERROR(VLOOKUP($O1226,'Customer List'!$A$1:$J$488,10,FALSE),"")</f>
        <v/>
      </c>
    </row>
    <row r="1227" spans="1:23">
      <c r="A1227" s="90" t="str">
        <f t="shared" si="93"/>
        <v/>
      </c>
      <c r="R1227" s="97">
        <f t="shared" si="94"/>
        <v>0</v>
      </c>
      <c r="T1227" s="98">
        <f t="shared" si="92"/>
        <v>0</v>
      </c>
      <c r="U1227" s="99" t="str">
        <f>IFERROR(IF(#REF!="S",VLOOKUP('Raw Data'!A1227,References!#REF!,2,FALSE),(VLOOKUP($S1227,References!$B$3:$C$8,2,FALSE))),"")</f>
        <v/>
      </c>
      <c r="V1227" s="99" t="str">
        <f t="shared" si="96"/>
        <v/>
      </c>
      <c r="W1227" s="66" t="str">
        <f>IFERROR(VLOOKUP($O1227,'Customer List'!$A$1:$J$488,10,FALSE),"")</f>
        <v/>
      </c>
    </row>
    <row r="1228" spans="1:23">
      <c r="A1228" s="90" t="str">
        <f t="shared" si="93"/>
        <v/>
      </c>
      <c r="R1228" s="97">
        <f t="shared" si="94"/>
        <v>0</v>
      </c>
      <c r="T1228" s="98">
        <f t="shared" si="92"/>
        <v>0</v>
      </c>
      <c r="U1228" s="99" t="str">
        <f>IFERROR(IF(#REF!="S",VLOOKUP('Raw Data'!A1228,References!#REF!,2,FALSE),(VLOOKUP($S1228,References!$B$3:$C$8,2,FALSE))),"")</f>
        <v/>
      </c>
      <c r="V1228" s="99" t="str">
        <f t="shared" si="96"/>
        <v/>
      </c>
      <c r="W1228" s="66" t="str">
        <f>IFERROR(VLOOKUP($O1228,'Customer List'!$A$1:$J$488,10,FALSE),"")</f>
        <v/>
      </c>
    </row>
    <row r="1229" spans="1:23">
      <c r="A1229" s="90" t="str">
        <f t="shared" si="93"/>
        <v/>
      </c>
      <c r="R1229" s="97">
        <f t="shared" si="94"/>
        <v>0</v>
      </c>
      <c r="T1229" s="98">
        <f t="shared" si="92"/>
        <v>0</v>
      </c>
      <c r="U1229" s="99" t="str">
        <f>IFERROR(IF(#REF!="S",VLOOKUP('Raw Data'!A1229,References!#REF!,2,FALSE),(VLOOKUP($S1229,References!$B$3:$C$8,2,FALSE))),"")</f>
        <v/>
      </c>
      <c r="V1229" s="99" t="str">
        <f t="shared" si="96"/>
        <v/>
      </c>
      <c r="W1229" s="66" t="str">
        <f>IFERROR(VLOOKUP($O1229,'Customer List'!$A$1:$J$488,10,FALSE),"")</f>
        <v/>
      </c>
    </row>
    <row r="1230" spans="1:23">
      <c r="A1230" s="90" t="str">
        <f t="shared" si="93"/>
        <v/>
      </c>
      <c r="R1230" s="97">
        <f t="shared" si="94"/>
        <v>0</v>
      </c>
      <c r="T1230" s="98">
        <f t="shared" si="92"/>
        <v>0</v>
      </c>
      <c r="U1230" s="99" t="str">
        <f>IFERROR(IF(#REF!="S",VLOOKUP('Raw Data'!A1230,References!#REF!,2,FALSE),(VLOOKUP($S1230,References!$B$3:$C$8,2,FALSE))),"")</f>
        <v/>
      </c>
      <c r="V1230" s="99" t="str">
        <f t="shared" si="96"/>
        <v/>
      </c>
      <c r="W1230" s="66" t="str">
        <f>IFERROR(VLOOKUP($O1230,'Customer List'!$A$1:$J$488,10,FALSE),"")</f>
        <v/>
      </c>
    </row>
    <row r="1231" spans="1:23">
      <c r="A1231" s="90" t="str">
        <f t="shared" si="93"/>
        <v/>
      </c>
      <c r="R1231" s="97">
        <f t="shared" si="94"/>
        <v>0</v>
      </c>
      <c r="T1231" s="98">
        <f t="shared" si="92"/>
        <v>0</v>
      </c>
      <c r="U1231" s="99" t="str">
        <f>IFERROR(IF(#REF!="S",VLOOKUP('Raw Data'!A1231,References!#REF!,2,FALSE),(VLOOKUP($S1231,References!$B$3:$C$8,2,FALSE))),"")</f>
        <v/>
      </c>
      <c r="V1231" s="99" t="str">
        <f t="shared" si="96"/>
        <v/>
      </c>
      <c r="W1231" s="66" t="str">
        <f>IFERROR(VLOOKUP($O1231,'Customer List'!$A$1:$J$488,10,FALSE),"")</f>
        <v/>
      </c>
    </row>
    <row r="1232" spans="1:23">
      <c r="A1232" s="90" t="str">
        <f t="shared" si="93"/>
        <v/>
      </c>
      <c r="R1232" s="97">
        <f t="shared" si="94"/>
        <v>0</v>
      </c>
      <c r="T1232" s="98">
        <f t="shared" ref="T1232:T1295" si="97">IF(S1232="50 - Cleaning Fee",1,HOUR($R1232)+MINUTE(R1232)/60)</f>
        <v>0</v>
      </c>
      <c r="U1232" s="99" t="str">
        <f>IFERROR(IF(#REF!="S",VLOOKUP('Raw Data'!A1232,References!#REF!,2,FALSE),(VLOOKUP($S1232,References!$B$3:$C$8,2,FALSE))),"")</f>
        <v/>
      </c>
      <c r="V1232" s="99" t="str">
        <f t="shared" si="96"/>
        <v/>
      </c>
      <c r="W1232" s="66" t="str">
        <f>IFERROR(VLOOKUP($O1232,'Customer List'!$A$1:$J$488,10,FALSE),"")</f>
        <v/>
      </c>
    </row>
    <row r="1233" spans="1:23">
      <c r="A1233" s="90" t="str">
        <f t="shared" si="93"/>
        <v/>
      </c>
      <c r="R1233" s="97">
        <f t="shared" si="94"/>
        <v>0</v>
      </c>
      <c r="T1233" s="98">
        <f t="shared" si="97"/>
        <v>0</v>
      </c>
      <c r="U1233" s="99" t="str">
        <f>IFERROR(IF(#REF!="S",VLOOKUP('Raw Data'!A1233,References!#REF!,2,FALSE),(VLOOKUP($S1233,References!$B$3:$C$8,2,FALSE))),"")</f>
        <v/>
      </c>
      <c r="V1233" s="99" t="str">
        <f t="shared" si="96"/>
        <v/>
      </c>
      <c r="W1233" s="66" t="str">
        <f>IFERROR(VLOOKUP($O1233,'Customer List'!$A$1:$J$488,10,FALSE),"")</f>
        <v/>
      </c>
    </row>
    <row r="1234" spans="1:23">
      <c r="A1234" s="90" t="str">
        <f t="shared" si="93"/>
        <v/>
      </c>
      <c r="R1234" s="97">
        <f t="shared" si="94"/>
        <v>0</v>
      </c>
      <c r="T1234" s="98">
        <f t="shared" si="97"/>
        <v>0</v>
      </c>
      <c r="U1234" s="99" t="str">
        <f>IFERROR(IF(#REF!="S",VLOOKUP('Raw Data'!A1234,References!#REF!,2,FALSE),(VLOOKUP($S1234,References!$B$3:$C$8,2,FALSE))),"")</f>
        <v/>
      </c>
      <c r="V1234" s="99" t="str">
        <f t="shared" si="96"/>
        <v/>
      </c>
      <c r="W1234" s="66" t="str">
        <f>IFERROR(VLOOKUP($O1234,'Customer List'!$A$1:$J$488,10,FALSE),"")</f>
        <v/>
      </c>
    </row>
    <row r="1235" spans="1:23">
      <c r="A1235" s="90" t="str">
        <f t="shared" si="93"/>
        <v/>
      </c>
      <c r="R1235" s="97">
        <f t="shared" si="94"/>
        <v>0</v>
      </c>
      <c r="T1235" s="98">
        <f t="shared" si="97"/>
        <v>0</v>
      </c>
      <c r="U1235" s="99" t="str">
        <f>IFERROR(IF(#REF!="S",VLOOKUP('Raw Data'!A1235,References!#REF!,2,FALSE),(VLOOKUP($S1235,References!$B$3:$C$8,2,FALSE))),"")</f>
        <v/>
      </c>
      <c r="V1235" s="99" t="str">
        <f t="shared" si="96"/>
        <v/>
      </c>
      <c r="W1235" s="66" t="str">
        <f>IFERROR(VLOOKUP($O1235,'Customer List'!$A$1:$J$488,10,FALSE),"")</f>
        <v/>
      </c>
    </row>
    <row r="1236" spans="1:23">
      <c r="A1236" s="90" t="str">
        <f t="shared" si="93"/>
        <v/>
      </c>
      <c r="R1236" s="97">
        <f t="shared" si="94"/>
        <v>0</v>
      </c>
      <c r="T1236" s="98">
        <f t="shared" si="97"/>
        <v>0</v>
      </c>
      <c r="U1236" s="99" t="str">
        <f>IFERROR(IF(#REF!="S",VLOOKUP('Raw Data'!A1236,References!#REF!,2,FALSE),(VLOOKUP($S1236,References!$B$3:$C$8,2,FALSE))),"")</f>
        <v/>
      </c>
      <c r="V1236" s="99" t="str">
        <f t="shared" si="96"/>
        <v/>
      </c>
      <c r="W1236" s="66" t="str">
        <f>IFERROR(VLOOKUP($O1236,'Customer List'!$A$1:$J$488,10,FALSE),"")</f>
        <v/>
      </c>
    </row>
    <row r="1237" spans="1:23">
      <c r="A1237" s="90" t="str">
        <f t="shared" si="93"/>
        <v/>
      </c>
      <c r="R1237" s="97">
        <f t="shared" si="94"/>
        <v>0</v>
      </c>
      <c r="T1237" s="98">
        <f t="shared" si="97"/>
        <v>0</v>
      </c>
      <c r="U1237" s="99" t="str">
        <f>IFERROR(IF(#REF!="S",VLOOKUP('Raw Data'!A1237,References!#REF!,2,FALSE),(VLOOKUP($S1237,References!$B$3:$C$8,2,FALSE))),"")</f>
        <v/>
      </c>
      <c r="V1237" s="99" t="str">
        <f t="shared" si="96"/>
        <v/>
      </c>
      <c r="W1237" s="66" t="str">
        <f>IFERROR(VLOOKUP($O1237,'Customer List'!$A$1:$J$488,10,FALSE),"")</f>
        <v/>
      </c>
    </row>
    <row r="1238" spans="1:23">
      <c r="A1238" s="90" t="str">
        <f t="shared" si="93"/>
        <v/>
      </c>
      <c r="R1238" s="97">
        <f t="shared" si="94"/>
        <v>0</v>
      </c>
      <c r="T1238" s="98">
        <f t="shared" si="97"/>
        <v>0</v>
      </c>
      <c r="U1238" s="99" t="str">
        <f>IFERROR(IF(#REF!="S",VLOOKUP('Raw Data'!A1238,References!#REF!,2,FALSE),(VLOOKUP($S1238,References!$B$3:$C$8,2,FALSE))),"")</f>
        <v/>
      </c>
      <c r="V1238" s="99" t="str">
        <f t="shared" si="96"/>
        <v/>
      </c>
      <c r="W1238" s="66" t="str">
        <f>IFERROR(VLOOKUP($O1238,'Customer List'!$A$1:$J$488,10,FALSE),"")</f>
        <v/>
      </c>
    </row>
    <row r="1239" spans="1:23">
      <c r="A1239" s="90" t="str">
        <f t="shared" si="93"/>
        <v/>
      </c>
      <c r="R1239" s="97">
        <f t="shared" si="94"/>
        <v>0</v>
      </c>
      <c r="T1239" s="98">
        <f t="shared" si="97"/>
        <v>0</v>
      </c>
      <c r="U1239" s="99" t="str">
        <f>IFERROR(IF(#REF!="S",VLOOKUP('Raw Data'!A1239,References!#REF!,2,FALSE),(VLOOKUP($S1239,References!$B$3:$C$8,2,FALSE))),"")</f>
        <v/>
      </c>
      <c r="V1239" s="99" t="str">
        <f t="shared" si="96"/>
        <v/>
      </c>
      <c r="W1239" s="66" t="str">
        <f>IFERROR(VLOOKUP($O1239,'Customer List'!$A$1:$J$488,10,FALSE),"")</f>
        <v/>
      </c>
    </row>
    <row r="1240" spans="1:23">
      <c r="A1240" s="90" t="str">
        <f t="shared" si="93"/>
        <v/>
      </c>
      <c r="R1240" s="97">
        <f t="shared" si="94"/>
        <v>0</v>
      </c>
      <c r="T1240" s="98">
        <f t="shared" si="97"/>
        <v>0</v>
      </c>
      <c r="U1240" s="99" t="str">
        <f>IFERROR(IF(#REF!="S",VLOOKUP('Raw Data'!A1240,References!#REF!,2,FALSE),(VLOOKUP($S1240,References!$B$3:$C$8,2,FALSE))),"")</f>
        <v/>
      </c>
      <c r="V1240" s="99" t="str">
        <f t="shared" si="96"/>
        <v/>
      </c>
      <c r="W1240" s="66" t="str">
        <f>IFERROR(VLOOKUP($O1240,'Customer List'!$A$1:$J$488,10,FALSE),"")</f>
        <v/>
      </c>
    </row>
    <row r="1241" spans="1:23">
      <c r="A1241" s="90" t="str">
        <f t="shared" si="93"/>
        <v/>
      </c>
      <c r="R1241" s="97">
        <f t="shared" si="94"/>
        <v>0</v>
      </c>
      <c r="T1241" s="98">
        <f t="shared" si="97"/>
        <v>0</v>
      </c>
      <c r="U1241" s="99" t="str">
        <f>IFERROR(IF(#REF!="S",VLOOKUP('Raw Data'!A1241,References!#REF!,2,FALSE),(VLOOKUP($S1241,References!$B$3:$C$8,2,FALSE))),"")</f>
        <v/>
      </c>
      <c r="V1241" s="99" t="str">
        <f t="shared" si="96"/>
        <v/>
      </c>
      <c r="W1241" s="66" t="str">
        <f>IFERROR(VLOOKUP($O1241,'Customer List'!$A$1:$J$488,10,FALSE),"")</f>
        <v/>
      </c>
    </row>
    <row r="1242" spans="1:23">
      <c r="A1242" s="90" t="str">
        <f t="shared" si="93"/>
        <v/>
      </c>
      <c r="R1242" s="97">
        <f t="shared" si="94"/>
        <v>0</v>
      </c>
      <c r="T1242" s="98">
        <f t="shared" si="97"/>
        <v>0</v>
      </c>
      <c r="U1242" s="99" t="str">
        <f>IFERROR(IF(#REF!="S",VLOOKUP('Raw Data'!A1242,References!#REF!,2,FALSE),(VLOOKUP($S1242,References!$B$3:$C$8,2,FALSE))),"")</f>
        <v/>
      </c>
      <c r="V1242" s="99" t="str">
        <f t="shared" si="96"/>
        <v/>
      </c>
      <c r="W1242" s="66" t="str">
        <f>IFERROR(VLOOKUP($O1242,'Customer List'!$A$1:$J$488,10,FALSE),"")</f>
        <v/>
      </c>
    </row>
    <row r="1243" spans="1:23">
      <c r="A1243" s="90" t="str">
        <f t="shared" si="93"/>
        <v/>
      </c>
      <c r="R1243" s="97">
        <f t="shared" si="94"/>
        <v>0</v>
      </c>
      <c r="T1243" s="98">
        <f t="shared" si="97"/>
        <v>0</v>
      </c>
      <c r="U1243" s="99" t="str">
        <f>IFERROR(IF(#REF!="S",VLOOKUP('Raw Data'!A1243,References!#REF!,2,FALSE),(VLOOKUP($S1243,References!$B$3:$C$8,2,FALSE))),"")</f>
        <v/>
      </c>
      <c r="V1243" s="99" t="str">
        <f t="shared" si="96"/>
        <v/>
      </c>
      <c r="W1243" s="66" t="str">
        <f>IFERROR(VLOOKUP($O1243,'Customer List'!$A$1:$J$488,10,FALSE),"")</f>
        <v/>
      </c>
    </row>
    <row r="1244" spans="1:23">
      <c r="A1244" s="90" t="str">
        <f t="shared" si="93"/>
        <v/>
      </c>
      <c r="R1244" s="97">
        <f t="shared" si="94"/>
        <v>0</v>
      </c>
      <c r="T1244" s="98">
        <f t="shared" si="97"/>
        <v>0</v>
      </c>
      <c r="U1244" s="99" t="str">
        <f>IFERROR(IF(#REF!="S",VLOOKUP('Raw Data'!A1244,References!#REF!,2,FALSE),(VLOOKUP($S1244,References!$B$3:$C$8,2,FALSE))),"")</f>
        <v/>
      </c>
      <c r="V1244" s="99" t="str">
        <f t="shared" si="96"/>
        <v/>
      </c>
      <c r="W1244" s="66" t="str">
        <f>IFERROR(VLOOKUP($O1244,'Customer List'!$A$1:$J$488,10,FALSE),"")</f>
        <v/>
      </c>
    </row>
    <row r="1245" spans="1:23">
      <c r="A1245" s="90" t="str">
        <f t="shared" si="93"/>
        <v/>
      </c>
      <c r="R1245" s="97">
        <f t="shared" si="94"/>
        <v>0</v>
      </c>
      <c r="T1245" s="98">
        <f t="shared" si="97"/>
        <v>0</v>
      </c>
      <c r="U1245" s="99" t="str">
        <f>IFERROR(IF(#REF!="S",VLOOKUP('Raw Data'!A1245,References!#REF!,2,FALSE),(VLOOKUP($S1245,References!$B$3:$C$8,2,FALSE))),"")</f>
        <v/>
      </c>
      <c r="V1245" s="99" t="str">
        <f t="shared" si="96"/>
        <v/>
      </c>
      <c r="W1245" s="66" t="str">
        <f>IFERROR(VLOOKUP($O1245,'Customer List'!$A$1:$J$488,10,FALSE),"")</f>
        <v/>
      </c>
    </row>
    <row r="1246" spans="1:23">
      <c r="A1246" s="90" t="str">
        <f t="shared" si="93"/>
        <v/>
      </c>
      <c r="R1246" s="97">
        <f t="shared" si="94"/>
        <v>0</v>
      </c>
      <c r="T1246" s="98">
        <f t="shared" si="97"/>
        <v>0</v>
      </c>
      <c r="U1246" s="99" t="str">
        <f>IFERROR(IF(#REF!="S",VLOOKUP('Raw Data'!A1246,References!#REF!,2,FALSE),(VLOOKUP($S1246,References!$B$3:$C$8,2,FALSE))),"")</f>
        <v/>
      </c>
      <c r="V1246" s="99" t="str">
        <f t="shared" si="96"/>
        <v/>
      </c>
      <c r="W1246" s="66" t="str">
        <f>IFERROR(VLOOKUP($O1246,'Customer List'!$A$1:$J$488,10,FALSE),"")</f>
        <v/>
      </c>
    </row>
    <row r="1247" spans="1:23">
      <c r="A1247" s="90" t="str">
        <f t="shared" si="93"/>
        <v/>
      </c>
      <c r="R1247" s="97">
        <f t="shared" si="94"/>
        <v>0</v>
      </c>
      <c r="T1247" s="98">
        <f t="shared" si="97"/>
        <v>0</v>
      </c>
      <c r="U1247" s="99" t="str">
        <f>IFERROR(IF(#REF!="S",VLOOKUP('Raw Data'!A1247,References!#REF!,2,FALSE),(VLOOKUP($S1247,References!$B$3:$C$8,2,FALSE))),"")</f>
        <v/>
      </c>
      <c r="V1247" s="99" t="str">
        <f t="shared" si="96"/>
        <v/>
      </c>
      <c r="W1247" s="66" t="str">
        <f>IFERROR(VLOOKUP($O1247,'Customer List'!$A$1:$J$488,10,FALSE),"")</f>
        <v/>
      </c>
    </row>
    <row r="1248" spans="1:23">
      <c r="A1248" s="90" t="str">
        <f t="shared" si="93"/>
        <v/>
      </c>
      <c r="R1248" s="97">
        <f t="shared" si="94"/>
        <v>0</v>
      </c>
      <c r="T1248" s="98">
        <f t="shared" si="97"/>
        <v>0</v>
      </c>
      <c r="U1248" s="99" t="str">
        <f>IFERROR(IF(#REF!="S",VLOOKUP('Raw Data'!A1248,References!#REF!,2,FALSE),(VLOOKUP($S1248,References!$B$3:$C$8,2,FALSE))),"")</f>
        <v/>
      </c>
      <c r="V1248" s="99" t="str">
        <f t="shared" si="96"/>
        <v/>
      </c>
      <c r="W1248" s="66" t="str">
        <f>IFERROR(VLOOKUP($O1248,'Customer List'!$A$1:$J$488,10,FALSE),"")</f>
        <v/>
      </c>
    </row>
    <row r="1249" spans="1:23">
      <c r="A1249" s="90" t="str">
        <f t="shared" si="93"/>
        <v/>
      </c>
      <c r="R1249" s="97">
        <f t="shared" si="94"/>
        <v>0</v>
      </c>
      <c r="T1249" s="98">
        <f t="shared" si="97"/>
        <v>0</v>
      </c>
      <c r="U1249" s="99" t="str">
        <f>IFERROR(IF(#REF!="S",VLOOKUP('Raw Data'!A1249,References!#REF!,2,FALSE),(VLOOKUP($S1249,References!$B$3:$C$8,2,FALSE))),"")</f>
        <v/>
      </c>
      <c r="V1249" s="99" t="str">
        <f t="shared" si="96"/>
        <v/>
      </c>
      <c r="W1249" s="66" t="str">
        <f>IFERROR(VLOOKUP($O1249,'Customer List'!$A$1:$J$488,10,FALSE),"")</f>
        <v/>
      </c>
    </row>
    <row r="1250" spans="1:23">
      <c r="A1250" s="90" t="str">
        <f t="shared" si="93"/>
        <v/>
      </c>
      <c r="R1250" s="97">
        <f t="shared" si="94"/>
        <v>0</v>
      </c>
      <c r="T1250" s="98">
        <f t="shared" si="97"/>
        <v>0</v>
      </c>
      <c r="U1250" s="99" t="str">
        <f>IFERROR(IF(#REF!="S",VLOOKUP('Raw Data'!A1250,References!#REF!,2,FALSE),(VLOOKUP($S1250,References!$B$3:$C$8,2,FALSE))),"")</f>
        <v/>
      </c>
      <c r="V1250" s="99" t="str">
        <f t="shared" si="96"/>
        <v/>
      </c>
      <c r="W1250" s="66" t="str">
        <f>IFERROR(VLOOKUP($O1250,'Customer List'!$A$1:$J$488,10,FALSE),"")</f>
        <v/>
      </c>
    </row>
    <row r="1251" spans="1:23">
      <c r="A1251" s="90" t="str">
        <f t="shared" si="93"/>
        <v/>
      </c>
      <c r="R1251" s="97">
        <f t="shared" si="94"/>
        <v>0</v>
      </c>
      <c r="T1251" s="98">
        <f t="shared" si="97"/>
        <v>0</v>
      </c>
      <c r="U1251" s="99" t="str">
        <f>IFERROR(IF(#REF!="S",VLOOKUP('Raw Data'!A1251,References!#REF!,2,FALSE),(VLOOKUP($S1251,References!$B$3:$C$8,2,FALSE))),"")</f>
        <v/>
      </c>
      <c r="V1251" s="99" t="str">
        <f t="shared" si="96"/>
        <v/>
      </c>
      <c r="W1251" s="66" t="str">
        <f>IFERROR(VLOOKUP($O1251,'Customer List'!$A$1:$J$488,10,FALSE),"")</f>
        <v/>
      </c>
    </row>
    <row r="1252" spans="1:23">
      <c r="A1252" s="90" t="str">
        <f t="shared" si="93"/>
        <v/>
      </c>
      <c r="R1252" s="97">
        <f t="shared" si="94"/>
        <v>0</v>
      </c>
      <c r="T1252" s="98">
        <f t="shared" si="97"/>
        <v>0</v>
      </c>
      <c r="U1252" s="99" t="str">
        <f>IFERROR(IF(#REF!="S",VLOOKUP('Raw Data'!A1252,References!#REF!,2,FALSE),(VLOOKUP($S1252,References!$B$3:$C$8,2,FALSE))),"")</f>
        <v/>
      </c>
      <c r="V1252" s="99" t="str">
        <f t="shared" si="96"/>
        <v/>
      </c>
      <c r="W1252" s="66" t="str">
        <f>IFERROR(VLOOKUP($O1252,'Customer List'!$A$1:$J$488,10,FALSE),"")</f>
        <v/>
      </c>
    </row>
    <row r="1253" spans="1:23">
      <c r="A1253" s="90" t="str">
        <f t="shared" si="93"/>
        <v/>
      </c>
      <c r="R1253" s="97">
        <f t="shared" si="94"/>
        <v>0</v>
      </c>
      <c r="T1253" s="98">
        <f t="shared" si="97"/>
        <v>0</v>
      </c>
      <c r="U1253" s="99" t="str">
        <f>IFERROR(IF(#REF!="S",VLOOKUP('Raw Data'!A1253,References!#REF!,2,FALSE),(VLOOKUP($S1253,References!$B$3:$C$8,2,FALSE))),"")</f>
        <v/>
      </c>
      <c r="V1253" s="99" t="str">
        <f t="shared" si="96"/>
        <v/>
      </c>
      <c r="W1253" s="66" t="str">
        <f>IFERROR(VLOOKUP($O1253,'Customer List'!$A$1:$J$488,10,FALSE),"")</f>
        <v/>
      </c>
    </row>
    <row r="1254" spans="1:23">
      <c r="A1254" s="90" t="str">
        <f t="shared" si="93"/>
        <v/>
      </c>
      <c r="R1254" s="97">
        <f t="shared" si="94"/>
        <v>0</v>
      </c>
      <c r="T1254" s="98">
        <f t="shared" si="97"/>
        <v>0</v>
      </c>
      <c r="U1254" s="99" t="str">
        <f>IFERROR(IF(#REF!="S",VLOOKUP('Raw Data'!A1254,References!#REF!,2,FALSE),(VLOOKUP($S1254,References!$B$3:$C$8,2,FALSE))),"")</f>
        <v/>
      </c>
      <c r="V1254" s="99" t="str">
        <f t="shared" si="96"/>
        <v/>
      </c>
      <c r="W1254" s="66" t="str">
        <f>IFERROR(VLOOKUP($O1254,'Customer List'!$A$1:$J$488,10,FALSE),"")</f>
        <v/>
      </c>
    </row>
    <row r="1255" spans="1:23">
      <c r="A1255" s="90" t="str">
        <f t="shared" si="93"/>
        <v/>
      </c>
      <c r="R1255" s="97">
        <f t="shared" si="94"/>
        <v>0</v>
      </c>
      <c r="T1255" s="98">
        <f t="shared" si="97"/>
        <v>0</v>
      </c>
      <c r="U1255" s="99" t="str">
        <f>IFERROR(IF(#REF!="S",VLOOKUP('Raw Data'!A1255,References!#REF!,2,FALSE),(VLOOKUP($S1255,References!$B$3:$C$8,2,FALSE))),"")</f>
        <v/>
      </c>
      <c r="V1255" s="99" t="str">
        <f t="shared" si="96"/>
        <v/>
      </c>
      <c r="W1255" s="66" t="str">
        <f>IFERROR(VLOOKUP($O1255,'Customer List'!$A$1:$J$488,10,FALSE),"")</f>
        <v/>
      </c>
    </row>
    <row r="1256" spans="1:23">
      <c r="A1256" s="90" t="str">
        <f t="shared" si="93"/>
        <v/>
      </c>
      <c r="R1256" s="97">
        <f t="shared" si="94"/>
        <v>0</v>
      </c>
      <c r="T1256" s="98">
        <f t="shared" si="97"/>
        <v>0</v>
      </c>
      <c r="U1256" s="99" t="str">
        <f>IFERROR(IF(#REF!="S",VLOOKUP('Raw Data'!A1256,References!#REF!,2,FALSE),(VLOOKUP($S1256,References!$B$3:$C$8,2,FALSE))),"")</f>
        <v/>
      </c>
      <c r="V1256" s="99" t="str">
        <f t="shared" si="96"/>
        <v/>
      </c>
      <c r="W1256" s="66" t="str">
        <f>IFERROR(VLOOKUP($O1256,'Customer List'!$A$1:$J$488,10,FALSE),"")</f>
        <v/>
      </c>
    </row>
    <row r="1257" spans="1:23">
      <c r="A1257" s="90" t="str">
        <f t="shared" si="93"/>
        <v/>
      </c>
      <c r="R1257" s="97">
        <f t="shared" si="94"/>
        <v>0</v>
      </c>
      <c r="T1257" s="98">
        <f t="shared" si="97"/>
        <v>0</v>
      </c>
      <c r="U1257" s="99" t="str">
        <f>IFERROR(IF(#REF!="S",VLOOKUP('Raw Data'!A1257,References!#REF!,2,FALSE),(VLOOKUP($S1257,References!$B$3:$C$8,2,FALSE))),"")</f>
        <v/>
      </c>
      <c r="V1257" s="99" t="str">
        <f t="shared" si="96"/>
        <v/>
      </c>
      <c r="W1257" s="66" t="str">
        <f>IFERROR(VLOOKUP($O1257,'Customer List'!$A$1:$J$488,10,FALSE),"")</f>
        <v/>
      </c>
    </row>
    <row r="1258" spans="1:23">
      <c r="A1258" s="90" t="str">
        <f t="shared" si="93"/>
        <v/>
      </c>
      <c r="R1258" s="97">
        <f t="shared" si="94"/>
        <v>0</v>
      </c>
      <c r="T1258" s="98">
        <f t="shared" si="97"/>
        <v>0</v>
      </c>
      <c r="U1258" s="99" t="str">
        <f>IFERROR(IF(#REF!="S",VLOOKUP('Raw Data'!A1258,References!#REF!,2,FALSE),(VLOOKUP($S1258,References!$B$3:$C$8,2,FALSE))),"")</f>
        <v/>
      </c>
      <c r="V1258" s="99" t="str">
        <f t="shared" si="96"/>
        <v/>
      </c>
      <c r="W1258" s="66" t="str">
        <f>IFERROR(VLOOKUP($O1258,'Customer List'!$A$1:$J$488,10,FALSE),"")</f>
        <v/>
      </c>
    </row>
    <row r="1259" spans="1:23">
      <c r="A1259" s="90" t="str">
        <f t="shared" si="93"/>
        <v/>
      </c>
      <c r="R1259" s="97">
        <f t="shared" si="94"/>
        <v>0</v>
      </c>
      <c r="T1259" s="98">
        <f t="shared" si="97"/>
        <v>0</v>
      </c>
      <c r="U1259" s="99" t="str">
        <f>IFERROR(IF(#REF!="S",VLOOKUP('Raw Data'!A1259,References!#REF!,2,FALSE),(VLOOKUP($S1259,References!$B$3:$C$8,2,FALSE))),"")</f>
        <v/>
      </c>
      <c r="V1259" s="99" t="str">
        <f t="shared" si="96"/>
        <v/>
      </c>
      <c r="W1259" s="66" t="str">
        <f>IFERROR(VLOOKUP($O1259,'Customer List'!$A$1:$J$488,10,FALSE),"")</f>
        <v/>
      </c>
    </row>
    <row r="1260" spans="1:23">
      <c r="A1260" s="90" t="str">
        <f t="shared" ref="A1260:A1323" si="98">O1260&amp;S1260</f>
        <v/>
      </c>
      <c r="R1260" s="97">
        <f t="shared" ref="R1260:R1323" si="99">L1260-K1260</f>
        <v>0</v>
      </c>
      <c r="T1260" s="98">
        <f t="shared" si="97"/>
        <v>0</v>
      </c>
      <c r="U1260" s="99" t="str">
        <f>IFERROR(IF(#REF!="S",VLOOKUP('Raw Data'!A1260,References!#REF!,2,FALSE),(VLOOKUP($S1260,References!$B$3:$C$8,2,FALSE))),"")</f>
        <v/>
      </c>
      <c r="V1260" s="99" t="str">
        <f t="shared" si="96"/>
        <v/>
      </c>
      <c r="W1260" s="66" t="str">
        <f>IFERROR(VLOOKUP($O1260,'Customer List'!$A$1:$J$488,10,FALSE),"")</f>
        <v/>
      </c>
    </row>
    <row r="1261" spans="1:23">
      <c r="A1261" s="90" t="str">
        <f t="shared" si="98"/>
        <v/>
      </c>
      <c r="R1261" s="97">
        <f t="shared" si="99"/>
        <v>0</v>
      </c>
      <c r="T1261" s="98">
        <f t="shared" si="97"/>
        <v>0</v>
      </c>
      <c r="U1261" s="99" t="str">
        <f>IFERROR(IF(#REF!="S",VLOOKUP('Raw Data'!A1261,References!#REF!,2,FALSE),(VLOOKUP($S1261,References!$B$3:$C$8,2,FALSE))),"")</f>
        <v/>
      </c>
      <c r="V1261" s="99" t="str">
        <f t="shared" si="96"/>
        <v/>
      </c>
      <c r="W1261" s="66" t="str">
        <f>IFERROR(VLOOKUP($O1261,'Customer List'!$A$1:$J$488,10,FALSE),"")</f>
        <v/>
      </c>
    </row>
    <row r="1262" spans="1:23">
      <c r="A1262" s="90" t="str">
        <f t="shared" si="98"/>
        <v/>
      </c>
      <c r="R1262" s="97">
        <f t="shared" si="99"/>
        <v>0</v>
      </c>
      <c r="T1262" s="98">
        <f t="shared" si="97"/>
        <v>0</v>
      </c>
      <c r="U1262" s="99" t="str">
        <f>IFERROR(IF(#REF!="S",VLOOKUP('Raw Data'!A1262,References!#REF!,2,FALSE),(VLOOKUP($S1262,References!$B$3:$C$8,2,FALSE))),"")</f>
        <v/>
      </c>
      <c r="V1262" s="99" t="str">
        <f t="shared" ref="V1262:V1325" si="100">IFERROR(T1262*U1262,"")</f>
        <v/>
      </c>
      <c r="W1262" s="66" t="str">
        <f>IFERROR(VLOOKUP($O1262,'Customer List'!$A$1:$J$488,10,FALSE),"")</f>
        <v/>
      </c>
    </row>
    <row r="1263" spans="1:23">
      <c r="A1263" s="90" t="str">
        <f t="shared" si="98"/>
        <v/>
      </c>
      <c r="R1263" s="97">
        <f t="shared" si="99"/>
        <v>0</v>
      </c>
      <c r="T1263" s="98">
        <f t="shared" si="97"/>
        <v>0</v>
      </c>
      <c r="U1263" s="99" t="str">
        <f>IFERROR(IF(#REF!="S",VLOOKUP('Raw Data'!A1263,References!#REF!,2,FALSE),(VLOOKUP($S1263,References!$B$3:$C$8,2,FALSE))),"")</f>
        <v/>
      </c>
      <c r="V1263" s="99" t="str">
        <f t="shared" si="100"/>
        <v/>
      </c>
      <c r="W1263" s="66" t="str">
        <f>IFERROR(VLOOKUP($O1263,'Customer List'!$A$1:$J$488,10,FALSE),"")</f>
        <v/>
      </c>
    </row>
    <row r="1264" spans="1:23">
      <c r="A1264" s="90" t="str">
        <f t="shared" si="98"/>
        <v/>
      </c>
      <c r="R1264" s="97">
        <f t="shared" si="99"/>
        <v>0</v>
      </c>
      <c r="T1264" s="98">
        <f t="shared" si="97"/>
        <v>0</v>
      </c>
      <c r="U1264" s="99" t="str">
        <f>IFERROR(IF(#REF!="S",VLOOKUP('Raw Data'!A1264,References!#REF!,2,FALSE),(VLOOKUP($S1264,References!$B$3:$C$8,2,FALSE))),"")</f>
        <v/>
      </c>
      <c r="V1264" s="99" t="str">
        <f t="shared" si="100"/>
        <v/>
      </c>
      <c r="W1264" s="66" t="str">
        <f>IFERROR(VLOOKUP($O1264,'Customer List'!$A$1:$J$488,10,FALSE),"")</f>
        <v/>
      </c>
    </row>
    <row r="1265" spans="1:23">
      <c r="A1265" s="90" t="str">
        <f t="shared" si="98"/>
        <v/>
      </c>
      <c r="R1265" s="97">
        <f t="shared" si="99"/>
        <v>0</v>
      </c>
      <c r="T1265" s="98">
        <f t="shared" si="97"/>
        <v>0</v>
      </c>
      <c r="U1265" s="99" t="str">
        <f>IFERROR(IF(#REF!="S",VLOOKUP('Raw Data'!A1265,References!#REF!,2,FALSE),(VLOOKUP($S1265,References!$B$3:$C$8,2,FALSE))),"")</f>
        <v/>
      </c>
      <c r="V1265" s="99" t="str">
        <f t="shared" si="100"/>
        <v/>
      </c>
      <c r="W1265" s="66" t="str">
        <f>IFERROR(VLOOKUP($O1265,'Customer List'!$A$1:$J$488,10,FALSE),"")</f>
        <v/>
      </c>
    </row>
    <row r="1266" spans="1:23">
      <c r="A1266" s="90" t="str">
        <f t="shared" si="98"/>
        <v/>
      </c>
      <c r="R1266" s="97">
        <f t="shared" si="99"/>
        <v>0</v>
      </c>
      <c r="T1266" s="98">
        <f t="shared" si="97"/>
        <v>0</v>
      </c>
      <c r="U1266" s="99" t="str">
        <f>IFERROR(IF(#REF!="S",VLOOKUP('Raw Data'!A1266,References!#REF!,2,FALSE),(VLOOKUP($S1266,References!$B$3:$C$8,2,FALSE))),"")</f>
        <v/>
      </c>
      <c r="V1266" s="99" t="str">
        <f t="shared" si="100"/>
        <v/>
      </c>
      <c r="W1266" s="66" t="str">
        <f>IFERROR(VLOOKUP($O1266,'Customer List'!$A$1:$J$488,10,FALSE),"")</f>
        <v/>
      </c>
    </row>
    <row r="1267" spans="1:23">
      <c r="A1267" s="90" t="str">
        <f t="shared" si="98"/>
        <v/>
      </c>
      <c r="R1267" s="97">
        <f t="shared" si="99"/>
        <v>0</v>
      </c>
      <c r="T1267" s="98">
        <f t="shared" si="97"/>
        <v>0</v>
      </c>
      <c r="U1267" s="99" t="str">
        <f>IFERROR(IF(#REF!="S",VLOOKUP('Raw Data'!A1267,References!#REF!,2,FALSE),(VLOOKUP($S1267,References!$B$3:$C$8,2,FALSE))),"")</f>
        <v/>
      </c>
      <c r="V1267" s="99" t="str">
        <f t="shared" si="100"/>
        <v/>
      </c>
      <c r="W1267" s="66" t="str">
        <f>IFERROR(VLOOKUP($O1267,'Customer List'!$A$1:$J$488,10,FALSE),"")</f>
        <v/>
      </c>
    </row>
    <row r="1268" spans="1:23">
      <c r="A1268" s="90" t="str">
        <f t="shared" si="98"/>
        <v/>
      </c>
      <c r="R1268" s="97">
        <f t="shared" si="99"/>
        <v>0</v>
      </c>
      <c r="T1268" s="98">
        <f t="shared" si="97"/>
        <v>0</v>
      </c>
      <c r="U1268" s="99" t="str">
        <f>IFERROR(IF(#REF!="S",VLOOKUP('Raw Data'!A1268,References!#REF!,2,FALSE),(VLOOKUP($S1268,References!$B$3:$C$8,2,FALSE))),"")</f>
        <v/>
      </c>
      <c r="V1268" s="99" t="str">
        <f t="shared" si="100"/>
        <v/>
      </c>
      <c r="W1268" s="66" t="str">
        <f>IFERROR(VLOOKUP($O1268,'Customer List'!$A$1:$J$488,10,FALSE),"")</f>
        <v/>
      </c>
    </row>
    <row r="1269" spans="1:23">
      <c r="A1269" s="90" t="str">
        <f t="shared" si="98"/>
        <v/>
      </c>
      <c r="R1269" s="97">
        <f t="shared" si="99"/>
        <v>0</v>
      </c>
      <c r="T1269" s="98">
        <f t="shared" si="97"/>
        <v>0</v>
      </c>
      <c r="U1269" s="99" t="str">
        <f>IFERROR(IF(#REF!="S",VLOOKUP('Raw Data'!A1269,References!#REF!,2,FALSE),(VLOOKUP($S1269,References!$B$3:$C$8,2,FALSE))),"")</f>
        <v/>
      </c>
      <c r="V1269" s="99" t="str">
        <f t="shared" si="100"/>
        <v/>
      </c>
      <c r="W1269" s="66" t="str">
        <f>IFERROR(VLOOKUP($O1269,'Customer List'!$A$1:$J$488,10,FALSE),"")</f>
        <v/>
      </c>
    </row>
    <row r="1270" spans="1:23">
      <c r="A1270" s="90" t="str">
        <f t="shared" si="98"/>
        <v/>
      </c>
      <c r="R1270" s="97">
        <f t="shared" si="99"/>
        <v>0</v>
      </c>
      <c r="T1270" s="98">
        <f t="shared" si="97"/>
        <v>0</v>
      </c>
      <c r="U1270" s="99" t="str">
        <f>IFERROR(IF(#REF!="S",VLOOKUP('Raw Data'!A1270,References!#REF!,2,FALSE),(VLOOKUP($S1270,References!$B$3:$C$8,2,FALSE))),"")</f>
        <v/>
      </c>
      <c r="V1270" s="99" t="str">
        <f t="shared" si="100"/>
        <v/>
      </c>
      <c r="W1270" s="66" t="str">
        <f>IFERROR(VLOOKUP($O1270,'Customer List'!$A$1:$J$488,10,FALSE),"")</f>
        <v/>
      </c>
    </row>
    <row r="1271" spans="1:23">
      <c r="A1271" s="90" t="str">
        <f t="shared" si="98"/>
        <v/>
      </c>
      <c r="R1271" s="97">
        <f t="shared" si="99"/>
        <v>0</v>
      </c>
      <c r="T1271" s="98">
        <f t="shared" si="97"/>
        <v>0</v>
      </c>
      <c r="U1271" s="99" t="str">
        <f>IFERROR(IF(#REF!="S",VLOOKUP('Raw Data'!A1271,References!#REF!,2,FALSE),(VLOOKUP($S1271,References!$B$3:$C$8,2,FALSE))),"")</f>
        <v/>
      </c>
      <c r="V1271" s="99" t="str">
        <f t="shared" si="100"/>
        <v/>
      </c>
      <c r="W1271" s="66" t="str">
        <f>IFERROR(VLOOKUP($O1271,'Customer List'!$A$1:$J$488,10,FALSE),"")</f>
        <v/>
      </c>
    </row>
    <row r="1272" spans="1:23">
      <c r="A1272" s="90" t="str">
        <f t="shared" si="98"/>
        <v/>
      </c>
      <c r="R1272" s="97">
        <f t="shared" si="99"/>
        <v>0</v>
      </c>
      <c r="T1272" s="98">
        <f t="shared" si="97"/>
        <v>0</v>
      </c>
      <c r="U1272" s="99" t="str">
        <f>IFERROR(IF(#REF!="S",VLOOKUP('Raw Data'!A1272,References!#REF!,2,FALSE),(VLOOKUP($S1272,References!$B$3:$C$8,2,FALSE))),"")</f>
        <v/>
      </c>
      <c r="V1272" s="99" t="str">
        <f t="shared" si="100"/>
        <v/>
      </c>
      <c r="W1272" s="66" t="str">
        <f>IFERROR(VLOOKUP($O1272,'Customer List'!$A$1:$J$488,10,FALSE),"")</f>
        <v/>
      </c>
    </row>
    <row r="1273" spans="1:23">
      <c r="A1273" s="90" t="str">
        <f t="shared" si="98"/>
        <v/>
      </c>
      <c r="R1273" s="97">
        <f t="shared" si="99"/>
        <v>0</v>
      </c>
      <c r="T1273" s="98">
        <f t="shared" si="97"/>
        <v>0</v>
      </c>
      <c r="U1273" s="99" t="str">
        <f>IFERROR(IF(#REF!="S",VLOOKUP('Raw Data'!A1273,References!#REF!,2,FALSE),(VLOOKUP($S1273,References!$B$3:$C$8,2,FALSE))),"")</f>
        <v/>
      </c>
      <c r="V1273" s="99" t="str">
        <f t="shared" si="100"/>
        <v/>
      </c>
      <c r="W1273" s="66" t="str">
        <f>IFERROR(VLOOKUP($O1273,'Customer List'!$A$1:$J$488,10,FALSE),"")</f>
        <v/>
      </c>
    </row>
    <row r="1274" spans="1:23">
      <c r="A1274" s="90" t="str">
        <f t="shared" si="98"/>
        <v/>
      </c>
      <c r="R1274" s="97">
        <f t="shared" si="99"/>
        <v>0</v>
      </c>
      <c r="T1274" s="98">
        <f t="shared" si="97"/>
        <v>0</v>
      </c>
      <c r="U1274" s="99" t="str">
        <f>IFERROR(IF(#REF!="S",VLOOKUP('Raw Data'!A1274,References!#REF!,2,FALSE),(VLOOKUP($S1274,References!$B$3:$C$8,2,FALSE))),"")</f>
        <v/>
      </c>
      <c r="V1274" s="99" t="str">
        <f t="shared" si="100"/>
        <v/>
      </c>
      <c r="W1274" s="66" t="str">
        <f>IFERROR(VLOOKUP($O1274,'Customer List'!$A$1:$J$488,10,FALSE),"")</f>
        <v/>
      </c>
    </row>
    <row r="1275" spans="1:23">
      <c r="A1275" s="90" t="str">
        <f t="shared" si="98"/>
        <v/>
      </c>
      <c r="R1275" s="97">
        <f t="shared" si="99"/>
        <v>0</v>
      </c>
      <c r="T1275" s="98">
        <f t="shared" si="97"/>
        <v>0</v>
      </c>
      <c r="U1275" s="99" t="str">
        <f>IFERROR(IF(#REF!="S",VLOOKUP('Raw Data'!A1275,References!#REF!,2,FALSE),(VLOOKUP($S1275,References!$B$3:$C$8,2,FALSE))),"")</f>
        <v/>
      </c>
      <c r="V1275" s="99" t="str">
        <f t="shared" si="100"/>
        <v/>
      </c>
      <c r="W1275" s="66" t="str">
        <f>IFERROR(VLOOKUP($O1275,'Customer List'!$A$1:$J$488,10,FALSE),"")</f>
        <v/>
      </c>
    </row>
    <row r="1276" spans="1:23">
      <c r="A1276" s="90" t="str">
        <f t="shared" si="98"/>
        <v/>
      </c>
      <c r="R1276" s="97">
        <f t="shared" si="99"/>
        <v>0</v>
      </c>
      <c r="T1276" s="98">
        <f t="shared" si="97"/>
        <v>0</v>
      </c>
      <c r="U1276" s="99" t="str">
        <f>IFERROR(IF(#REF!="S",VLOOKUP('Raw Data'!A1276,References!#REF!,2,FALSE),(VLOOKUP($S1276,References!$B$3:$C$8,2,FALSE))),"")</f>
        <v/>
      </c>
      <c r="V1276" s="99" t="str">
        <f t="shared" si="100"/>
        <v/>
      </c>
      <c r="W1276" s="66" t="str">
        <f>IFERROR(VLOOKUP($O1276,'Customer List'!$A$1:$J$488,10,FALSE),"")</f>
        <v/>
      </c>
    </row>
    <row r="1277" spans="1:23">
      <c r="A1277" s="90" t="str">
        <f t="shared" si="98"/>
        <v/>
      </c>
      <c r="R1277" s="97">
        <f t="shared" si="99"/>
        <v>0</v>
      </c>
      <c r="T1277" s="98">
        <f t="shared" si="97"/>
        <v>0</v>
      </c>
      <c r="U1277" s="99" t="str">
        <f>IFERROR(IF(#REF!="S",VLOOKUP('Raw Data'!A1277,References!#REF!,2,FALSE),(VLOOKUP($S1277,References!$B$3:$C$8,2,FALSE))),"")</f>
        <v/>
      </c>
      <c r="V1277" s="99" t="str">
        <f t="shared" si="100"/>
        <v/>
      </c>
      <c r="W1277" s="66" t="str">
        <f>IFERROR(VLOOKUP($O1277,'Customer List'!$A$1:$J$488,10,FALSE),"")</f>
        <v/>
      </c>
    </row>
    <row r="1278" spans="1:23">
      <c r="A1278" s="90" t="str">
        <f t="shared" si="98"/>
        <v/>
      </c>
      <c r="R1278" s="97">
        <f t="shared" si="99"/>
        <v>0</v>
      </c>
      <c r="T1278" s="98">
        <f t="shared" si="97"/>
        <v>0</v>
      </c>
      <c r="U1278" s="99" t="str">
        <f>IFERROR(IF(#REF!="S",VLOOKUP('Raw Data'!A1278,References!#REF!,2,FALSE),(VLOOKUP($S1278,References!$B$3:$C$8,2,FALSE))),"")</f>
        <v/>
      </c>
      <c r="V1278" s="99" t="str">
        <f t="shared" si="100"/>
        <v/>
      </c>
      <c r="W1278" s="66" t="str">
        <f>IFERROR(VLOOKUP($O1278,'Customer List'!$A$1:$J$488,10,FALSE),"")</f>
        <v/>
      </c>
    </row>
    <row r="1279" spans="1:23">
      <c r="A1279" s="90" t="str">
        <f t="shared" si="98"/>
        <v/>
      </c>
      <c r="R1279" s="97">
        <f t="shared" si="99"/>
        <v>0</v>
      </c>
      <c r="T1279" s="98">
        <f t="shared" si="97"/>
        <v>0</v>
      </c>
      <c r="U1279" s="99" t="str">
        <f>IFERROR(IF(#REF!="S",VLOOKUP('Raw Data'!A1279,References!#REF!,2,FALSE),(VLOOKUP($S1279,References!$B$3:$C$8,2,FALSE))),"")</f>
        <v/>
      </c>
      <c r="V1279" s="99" t="str">
        <f t="shared" si="100"/>
        <v/>
      </c>
      <c r="W1279" s="66" t="str">
        <f>IFERROR(VLOOKUP($O1279,'Customer List'!$A$1:$J$488,10,FALSE),"")</f>
        <v/>
      </c>
    </row>
    <row r="1280" spans="1:23">
      <c r="A1280" s="90" t="str">
        <f t="shared" si="98"/>
        <v/>
      </c>
      <c r="R1280" s="97">
        <f t="shared" si="99"/>
        <v>0</v>
      </c>
      <c r="T1280" s="98">
        <f t="shared" si="97"/>
        <v>0</v>
      </c>
      <c r="U1280" s="99" t="str">
        <f>IFERROR(IF(#REF!="S",VLOOKUP('Raw Data'!A1280,References!#REF!,2,FALSE),(VLOOKUP($S1280,References!$B$3:$C$8,2,FALSE))),"")</f>
        <v/>
      </c>
      <c r="V1280" s="99" t="str">
        <f t="shared" si="100"/>
        <v/>
      </c>
      <c r="W1280" s="66" t="str">
        <f>IFERROR(VLOOKUP($O1280,'Customer List'!$A$1:$J$488,10,FALSE),"")</f>
        <v/>
      </c>
    </row>
    <row r="1281" spans="1:23">
      <c r="A1281" s="90" t="str">
        <f t="shared" si="98"/>
        <v/>
      </c>
      <c r="R1281" s="97">
        <f t="shared" si="99"/>
        <v>0</v>
      </c>
      <c r="T1281" s="98">
        <f t="shared" si="97"/>
        <v>0</v>
      </c>
      <c r="U1281" s="99" t="str">
        <f>IFERROR(IF(#REF!="S",VLOOKUP('Raw Data'!A1281,References!#REF!,2,FALSE),(VLOOKUP($S1281,References!$B$3:$C$8,2,FALSE))),"")</f>
        <v/>
      </c>
      <c r="V1281" s="99" t="str">
        <f t="shared" si="100"/>
        <v/>
      </c>
      <c r="W1281" s="66" t="str">
        <f>IFERROR(VLOOKUP($O1281,'Customer List'!$A$1:$J$488,10,FALSE),"")</f>
        <v/>
      </c>
    </row>
    <row r="1282" spans="1:23">
      <c r="A1282" s="90" t="str">
        <f t="shared" si="98"/>
        <v/>
      </c>
      <c r="R1282" s="97">
        <f t="shared" si="99"/>
        <v>0</v>
      </c>
      <c r="T1282" s="98">
        <f t="shared" si="97"/>
        <v>0</v>
      </c>
      <c r="U1282" s="99" t="str">
        <f>IFERROR(IF(#REF!="S",VLOOKUP('Raw Data'!A1282,References!#REF!,2,FALSE),(VLOOKUP($S1282,References!$B$3:$C$8,2,FALSE))),"")</f>
        <v/>
      </c>
      <c r="V1282" s="99" t="str">
        <f t="shared" si="100"/>
        <v/>
      </c>
      <c r="W1282" s="66" t="str">
        <f>IFERROR(VLOOKUP($O1282,'Customer List'!$A$1:$J$488,10,FALSE),"")</f>
        <v/>
      </c>
    </row>
    <row r="1283" spans="1:23">
      <c r="A1283" s="90" t="str">
        <f t="shared" si="98"/>
        <v/>
      </c>
      <c r="R1283" s="97">
        <f t="shared" si="99"/>
        <v>0</v>
      </c>
      <c r="T1283" s="98">
        <f t="shared" si="97"/>
        <v>0</v>
      </c>
      <c r="U1283" s="99" t="str">
        <f>IFERROR(IF(#REF!="S",VLOOKUP('Raw Data'!A1283,References!#REF!,2,FALSE),(VLOOKUP($S1283,References!$B$3:$C$8,2,FALSE))),"")</f>
        <v/>
      </c>
      <c r="V1283" s="99" t="str">
        <f t="shared" si="100"/>
        <v/>
      </c>
      <c r="W1283" s="66" t="str">
        <f>IFERROR(VLOOKUP($O1283,'Customer List'!$A$1:$J$488,10,FALSE),"")</f>
        <v/>
      </c>
    </row>
    <row r="1284" spans="1:23">
      <c r="A1284" s="90" t="str">
        <f t="shared" si="98"/>
        <v/>
      </c>
      <c r="R1284" s="97">
        <f t="shared" si="99"/>
        <v>0</v>
      </c>
      <c r="T1284" s="98">
        <f t="shared" si="97"/>
        <v>0</v>
      </c>
      <c r="U1284" s="99" t="str">
        <f>IFERROR(IF(#REF!="S",VLOOKUP('Raw Data'!A1284,References!#REF!,2,FALSE),(VLOOKUP($S1284,References!$B$3:$C$8,2,FALSE))),"")</f>
        <v/>
      </c>
      <c r="V1284" s="99" t="str">
        <f t="shared" si="100"/>
        <v/>
      </c>
      <c r="W1284" s="66" t="str">
        <f>IFERROR(VLOOKUP($O1284,'Customer List'!$A$1:$J$488,10,FALSE),"")</f>
        <v/>
      </c>
    </row>
    <row r="1285" spans="1:23">
      <c r="A1285" s="90" t="str">
        <f t="shared" si="98"/>
        <v/>
      </c>
      <c r="R1285" s="97">
        <f t="shared" si="99"/>
        <v>0</v>
      </c>
      <c r="T1285" s="98">
        <f t="shared" si="97"/>
        <v>0</v>
      </c>
      <c r="U1285" s="99" t="str">
        <f>IFERROR(IF(#REF!="S",VLOOKUP('Raw Data'!A1285,References!#REF!,2,FALSE),(VLOOKUP($S1285,References!$B$3:$C$8,2,FALSE))),"")</f>
        <v/>
      </c>
      <c r="V1285" s="99" t="str">
        <f t="shared" si="100"/>
        <v/>
      </c>
      <c r="W1285" s="66" t="str">
        <f>IFERROR(VLOOKUP($O1285,'Customer List'!$A$1:$J$488,10,FALSE),"")</f>
        <v/>
      </c>
    </row>
    <row r="1286" spans="1:23">
      <c r="A1286" s="90" t="str">
        <f t="shared" si="98"/>
        <v/>
      </c>
      <c r="R1286" s="97">
        <f t="shared" si="99"/>
        <v>0</v>
      </c>
      <c r="T1286" s="98">
        <f t="shared" si="97"/>
        <v>0</v>
      </c>
      <c r="U1286" s="99" t="str">
        <f>IFERROR(IF(#REF!="S",VLOOKUP('Raw Data'!A1286,References!#REF!,2,FALSE),(VLOOKUP($S1286,References!$B$3:$C$8,2,FALSE))),"")</f>
        <v/>
      </c>
      <c r="V1286" s="99" t="str">
        <f t="shared" si="100"/>
        <v/>
      </c>
      <c r="W1286" s="66" t="str">
        <f>IFERROR(VLOOKUP($O1286,'Customer List'!$A$1:$J$488,10,FALSE),"")</f>
        <v/>
      </c>
    </row>
    <row r="1287" spans="1:23">
      <c r="A1287" s="90" t="str">
        <f t="shared" si="98"/>
        <v/>
      </c>
      <c r="R1287" s="97">
        <f t="shared" si="99"/>
        <v>0</v>
      </c>
      <c r="T1287" s="98">
        <f t="shared" si="97"/>
        <v>0</v>
      </c>
      <c r="U1287" s="99" t="str">
        <f>IFERROR(IF(#REF!="S",VLOOKUP('Raw Data'!A1287,References!#REF!,2,FALSE),(VLOOKUP($S1287,References!$B$3:$C$8,2,FALSE))),"")</f>
        <v/>
      </c>
      <c r="V1287" s="99" t="str">
        <f t="shared" si="100"/>
        <v/>
      </c>
      <c r="W1287" s="66" t="str">
        <f>IFERROR(VLOOKUP($O1287,'Customer List'!$A$1:$J$488,10,FALSE),"")</f>
        <v/>
      </c>
    </row>
    <row r="1288" spans="1:23">
      <c r="A1288" s="90" t="str">
        <f t="shared" si="98"/>
        <v/>
      </c>
      <c r="R1288" s="97">
        <f t="shared" si="99"/>
        <v>0</v>
      </c>
      <c r="T1288" s="98">
        <f t="shared" si="97"/>
        <v>0</v>
      </c>
      <c r="U1288" s="99" t="str">
        <f>IFERROR(IF(#REF!="S",VLOOKUP('Raw Data'!A1288,References!#REF!,2,FALSE),(VLOOKUP($S1288,References!$B$3:$C$8,2,FALSE))),"")</f>
        <v/>
      </c>
      <c r="V1288" s="99" t="str">
        <f t="shared" si="100"/>
        <v/>
      </c>
      <c r="W1288" s="66" t="str">
        <f>IFERROR(VLOOKUP($O1288,'Customer List'!$A$1:$J$488,10,FALSE),"")</f>
        <v/>
      </c>
    </row>
    <row r="1289" spans="1:23">
      <c r="A1289" s="90" t="str">
        <f t="shared" si="98"/>
        <v/>
      </c>
      <c r="R1289" s="97">
        <f t="shared" si="99"/>
        <v>0</v>
      </c>
      <c r="T1289" s="98">
        <f t="shared" si="97"/>
        <v>0</v>
      </c>
      <c r="U1289" s="99" t="str">
        <f>IFERROR(IF(#REF!="S",VLOOKUP('Raw Data'!A1289,References!#REF!,2,FALSE),(VLOOKUP($S1289,References!$B$3:$C$8,2,FALSE))),"")</f>
        <v/>
      </c>
      <c r="V1289" s="99" t="str">
        <f t="shared" si="100"/>
        <v/>
      </c>
      <c r="W1289" s="66" t="str">
        <f>IFERROR(VLOOKUP($O1289,'Customer List'!$A$1:$J$488,10,FALSE),"")</f>
        <v/>
      </c>
    </row>
    <row r="1290" spans="1:23">
      <c r="A1290" s="90" t="str">
        <f t="shared" si="98"/>
        <v/>
      </c>
      <c r="R1290" s="97">
        <f t="shared" si="99"/>
        <v>0</v>
      </c>
      <c r="T1290" s="98">
        <f t="shared" si="97"/>
        <v>0</v>
      </c>
      <c r="U1290" s="99" t="str">
        <f>IFERROR(IF(#REF!="S",VLOOKUP('Raw Data'!A1290,References!#REF!,2,FALSE),(VLOOKUP($S1290,References!$B$3:$C$8,2,FALSE))),"")</f>
        <v/>
      </c>
      <c r="V1290" s="99" t="str">
        <f t="shared" si="100"/>
        <v/>
      </c>
      <c r="W1290" s="66" t="str">
        <f>IFERROR(VLOOKUP($O1290,'Customer List'!$A$1:$J$488,10,FALSE),"")</f>
        <v/>
      </c>
    </row>
    <row r="1291" spans="1:23">
      <c r="A1291" s="90" t="str">
        <f t="shared" si="98"/>
        <v/>
      </c>
      <c r="R1291" s="97">
        <f t="shared" si="99"/>
        <v>0</v>
      </c>
      <c r="T1291" s="98">
        <f t="shared" si="97"/>
        <v>0</v>
      </c>
      <c r="U1291" s="99" t="str">
        <f>IFERROR(IF(#REF!="S",VLOOKUP('Raw Data'!A1291,References!#REF!,2,FALSE),(VLOOKUP($S1291,References!$B$3:$C$8,2,FALSE))),"")</f>
        <v/>
      </c>
      <c r="V1291" s="99" t="str">
        <f t="shared" si="100"/>
        <v/>
      </c>
      <c r="W1291" s="66" t="str">
        <f>IFERROR(VLOOKUP($O1291,'Customer List'!$A$1:$J$488,10,FALSE),"")</f>
        <v/>
      </c>
    </row>
    <row r="1292" spans="1:23">
      <c r="A1292" s="90" t="str">
        <f t="shared" si="98"/>
        <v/>
      </c>
      <c r="R1292" s="97">
        <f t="shared" si="99"/>
        <v>0</v>
      </c>
      <c r="T1292" s="98">
        <f t="shared" si="97"/>
        <v>0</v>
      </c>
      <c r="U1292" s="99" t="str">
        <f>IFERROR(IF(#REF!="S",VLOOKUP('Raw Data'!A1292,References!#REF!,2,FALSE),(VLOOKUP($S1292,References!$B$3:$C$8,2,FALSE))),"")</f>
        <v/>
      </c>
      <c r="V1292" s="99" t="str">
        <f t="shared" si="100"/>
        <v/>
      </c>
      <c r="W1292" s="66" t="str">
        <f>IFERROR(VLOOKUP($O1292,'Customer List'!$A$1:$J$488,10,FALSE),"")</f>
        <v/>
      </c>
    </row>
    <row r="1293" spans="1:23">
      <c r="A1293" s="90" t="str">
        <f t="shared" si="98"/>
        <v/>
      </c>
      <c r="R1293" s="97">
        <f t="shared" si="99"/>
        <v>0</v>
      </c>
      <c r="T1293" s="98">
        <f t="shared" si="97"/>
        <v>0</v>
      </c>
      <c r="U1293" s="99" t="str">
        <f>IFERROR(IF(#REF!="S",VLOOKUP('Raw Data'!A1293,References!#REF!,2,FALSE),(VLOOKUP($S1293,References!$B$3:$C$8,2,FALSE))),"")</f>
        <v/>
      </c>
      <c r="V1293" s="99" t="str">
        <f t="shared" si="100"/>
        <v/>
      </c>
      <c r="W1293" s="66" t="str">
        <f>IFERROR(VLOOKUP($O1293,'Customer List'!$A$1:$J$488,10,FALSE),"")</f>
        <v/>
      </c>
    </row>
    <row r="1294" spans="1:23">
      <c r="A1294" s="90" t="str">
        <f t="shared" si="98"/>
        <v/>
      </c>
      <c r="R1294" s="97">
        <f t="shared" si="99"/>
        <v>0</v>
      </c>
      <c r="T1294" s="98">
        <f t="shared" si="97"/>
        <v>0</v>
      </c>
      <c r="U1294" s="99" t="str">
        <f>IFERROR(IF(#REF!="S",VLOOKUP('Raw Data'!A1294,References!#REF!,2,FALSE),(VLOOKUP($S1294,References!$B$3:$C$8,2,FALSE))),"")</f>
        <v/>
      </c>
      <c r="V1294" s="99" t="str">
        <f t="shared" si="100"/>
        <v/>
      </c>
      <c r="W1294" s="66" t="str">
        <f>IFERROR(VLOOKUP($O1294,'Customer List'!$A$1:$J$488,10,FALSE),"")</f>
        <v/>
      </c>
    </row>
    <row r="1295" spans="1:23">
      <c r="A1295" s="90" t="str">
        <f t="shared" si="98"/>
        <v/>
      </c>
      <c r="R1295" s="97">
        <f t="shared" si="99"/>
        <v>0</v>
      </c>
      <c r="T1295" s="98">
        <f t="shared" si="97"/>
        <v>0</v>
      </c>
      <c r="U1295" s="99" t="str">
        <f>IFERROR(IF(#REF!="S",VLOOKUP('Raw Data'!A1295,References!#REF!,2,FALSE),(VLOOKUP($S1295,References!$B$3:$C$8,2,FALSE))),"")</f>
        <v/>
      </c>
      <c r="V1295" s="99" t="str">
        <f t="shared" si="100"/>
        <v/>
      </c>
      <c r="W1295" s="66" t="str">
        <f>IFERROR(VLOOKUP($O1295,'Customer List'!$A$1:$J$488,10,FALSE),"")</f>
        <v/>
      </c>
    </row>
    <row r="1296" spans="1:23">
      <c r="A1296" s="90" t="str">
        <f t="shared" si="98"/>
        <v/>
      </c>
      <c r="R1296" s="97">
        <f t="shared" si="99"/>
        <v>0</v>
      </c>
      <c r="T1296" s="98">
        <f t="shared" ref="T1296:T1359" si="101">IF(S1296="50 - Cleaning Fee",1,HOUR($R1296)+MINUTE(R1296)/60)</f>
        <v>0</v>
      </c>
      <c r="U1296" s="99" t="str">
        <f>IFERROR(IF(#REF!="S",VLOOKUP('Raw Data'!A1296,References!#REF!,2,FALSE),(VLOOKUP($S1296,References!$B$3:$C$8,2,FALSE))),"")</f>
        <v/>
      </c>
      <c r="V1296" s="99" t="str">
        <f t="shared" si="100"/>
        <v/>
      </c>
      <c r="W1296" s="66" t="str">
        <f>IFERROR(VLOOKUP($O1296,'Customer List'!$A$1:$J$488,10,FALSE),"")</f>
        <v/>
      </c>
    </row>
    <row r="1297" spans="1:23">
      <c r="A1297" s="90" t="str">
        <f t="shared" si="98"/>
        <v/>
      </c>
      <c r="R1297" s="97">
        <f t="shared" si="99"/>
        <v>0</v>
      </c>
      <c r="T1297" s="98">
        <f t="shared" si="101"/>
        <v>0</v>
      </c>
      <c r="U1297" s="99" t="str">
        <f>IFERROR(IF(#REF!="S",VLOOKUP('Raw Data'!A1297,References!#REF!,2,FALSE),(VLOOKUP($S1297,References!$B$3:$C$8,2,FALSE))),"")</f>
        <v/>
      </c>
      <c r="V1297" s="99" t="str">
        <f t="shared" si="100"/>
        <v/>
      </c>
      <c r="W1297" s="66" t="str">
        <f>IFERROR(VLOOKUP($O1297,'Customer List'!$A$1:$J$488,10,FALSE),"")</f>
        <v/>
      </c>
    </row>
    <row r="1298" spans="1:23">
      <c r="A1298" s="90" t="str">
        <f t="shared" si="98"/>
        <v/>
      </c>
      <c r="R1298" s="97">
        <f t="shared" si="99"/>
        <v>0</v>
      </c>
      <c r="T1298" s="98">
        <f t="shared" si="101"/>
        <v>0</v>
      </c>
      <c r="U1298" s="99" t="str">
        <f>IFERROR(IF(#REF!="S",VLOOKUP('Raw Data'!A1298,References!#REF!,2,FALSE),(VLOOKUP($S1298,References!$B$3:$C$8,2,FALSE))),"")</f>
        <v/>
      </c>
      <c r="V1298" s="99" t="str">
        <f t="shared" si="100"/>
        <v/>
      </c>
      <c r="W1298" s="66" t="str">
        <f>IFERROR(VLOOKUP($O1298,'Customer List'!$A$1:$J$488,10,FALSE),"")</f>
        <v/>
      </c>
    </row>
    <row r="1299" spans="1:23">
      <c r="A1299" s="90" t="str">
        <f t="shared" si="98"/>
        <v/>
      </c>
      <c r="R1299" s="97">
        <f t="shared" si="99"/>
        <v>0</v>
      </c>
      <c r="T1299" s="98">
        <f t="shared" si="101"/>
        <v>0</v>
      </c>
      <c r="U1299" s="99" t="str">
        <f>IFERROR(IF(#REF!="S",VLOOKUP('Raw Data'!A1299,References!#REF!,2,FALSE),(VLOOKUP($S1299,References!$B$3:$C$8,2,FALSE))),"")</f>
        <v/>
      </c>
      <c r="V1299" s="99" t="str">
        <f t="shared" si="100"/>
        <v/>
      </c>
      <c r="W1299" s="66" t="str">
        <f>IFERROR(VLOOKUP($O1299,'Customer List'!$A$1:$J$488,10,FALSE),"")</f>
        <v/>
      </c>
    </row>
    <row r="1300" spans="1:23">
      <c r="A1300" s="90" t="str">
        <f t="shared" si="98"/>
        <v/>
      </c>
      <c r="R1300" s="97">
        <f t="shared" si="99"/>
        <v>0</v>
      </c>
      <c r="T1300" s="98">
        <f t="shared" si="101"/>
        <v>0</v>
      </c>
      <c r="U1300" s="99" t="str">
        <f>IFERROR(IF(#REF!="S",VLOOKUP('Raw Data'!A1300,References!#REF!,2,FALSE),(VLOOKUP($S1300,References!$B$3:$C$8,2,FALSE))),"")</f>
        <v/>
      </c>
      <c r="V1300" s="99" t="str">
        <f t="shared" si="100"/>
        <v/>
      </c>
      <c r="W1300" s="66" t="str">
        <f>IFERROR(VLOOKUP($O1300,'Customer List'!$A$1:$J$488,10,FALSE),"")</f>
        <v/>
      </c>
    </row>
    <row r="1301" spans="1:23">
      <c r="A1301" s="90" t="str">
        <f t="shared" si="98"/>
        <v/>
      </c>
      <c r="R1301" s="97">
        <f t="shared" si="99"/>
        <v>0</v>
      </c>
      <c r="T1301" s="98">
        <f t="shared" si="101"/>
        <v>0</v>
      </c>
      <c r="U1301" s="99" t="str">
        <f>IFERROR(IF(#REF!="S",VLOOKUP('Raw Data'!A1301,References!#REF!,2,FALSE),(VLOOKUP($S1301,References!$B$3:$C$8,2,FALSE))),"")</f>
        <v/>
      </c>
      <c r="V1301" s="99" t="str">
        <f t="shared" si="100"/>
        <v/>
      </c>
      <c r="W1301" s="66" t="str">
        <f>IFERROR(VLOOKUP($O1301,'Customer List'!$A$1:$J$488,10,FALSE),"")</f>
        <v/>
      </c>
    </row>
    <row r="1302" spans="1:23">
      <c r="A1302" s="90" t="str">
        <f t="shared" si="98"/>
        <v/>
      </c>
      <c r="R1302" s="97">
        <f t="shared" si="99"/>
        <v>0</v>
      </c>
      <c r="T1302" s="98">
        <f t="shared" si="101"/>
        <v>0</v>
      </c>
      <c r="U1302" s="99" t="str">
        <f>IFERROR(IF(#REF!="S",VLOOKUP('Raw Data'!A1302,References!#REF!,2,FALSE),(VLOOKUP($S1302,References!$B$3:$C$8,2,FALSE))),"")</f>
        <v/>
      </c>
      <c r="V1302" s="99" t="str">
        <f t="shared" si="100"/>
        <v/>
      </c>
      <c r="W1302" s="66" t="str">
        <f>IFERROR(VLOOKUP($O1302,'Customer List'!$A$1:$J$488,10,FALSE),"")</f>
        <v/>
      </c>
    </row>
    <row r="1303" spans="1:23">
      <c r="A1303" s="90" t="str">
        <f t="shared" si="98"/>
        <v/>
      </c>
      <c r="R1303" s="97">
        <f t="shared" si="99"/>
        <v>0</v>
      </c>
      <c r="T1303" s="98">
        <f t="shared" si="101"/>
        <v>0</v>
      </c>
      <c r="U1303" s="99" t="str">
        <f>IFERROR(IF(#REF!="S",VLOOKUP('Raw Data'!A1303,References!#REF!,2,FALSE),(VLOOKUP($S1303,References!$B$3:$C$8,2,FALSE))),"")</f>
        <v/>
      </c>
      <c r="V1303" s="99" t="str">
        <f t="shared" si="100"/>
        <v/>
      </c>
      <c r="W1303" s="66" t="str">
        <f>IFERROR(VLOOKUP($O1303,'Customer List'!$A$1:$J$488,10,FALSE),"")</f>
        <v/>
      </c>
    </row>
    <row r="1304" spans="1:23">
      <c r="A1304" s="90" t="str">
        <f t="shared" si="98"/>
        <v/>
      </c>
      <c r="R1304" s="97">
        <f t="shared" si="99"/>
        <v>0</v>
      </c>
      <c r="T1304" s="98">
        <f t="shared" si="101"/>
        <v>0</v>
      </c>
      <c r="U1304" s="99" t="str">
        <f>IFERROR(IF(#REF!="S",VLOOKUP('Raw Data'!A1304,References!#REF!,2,FALSE),(VLOOKUP($S1304,References!$B$3:$C$8,2,FALSE))),"")</f>
        <v/>
      </c>
      <c r="V1304" s="99" t="str">
        <f t="shared" si="100"/>
        <v/>
      </c>
      <c r="W1304" s="66" t="str">
        <f>IFERROR(VLOOKUP($O1304,'Customer List'!$A$1:$J$488,10,FALSE),"")</f>
        <v/>
      </c>
    </row>
    <row r="1305" spans="1:23">
      <c r="A1305" s="90" t="str">
        <f t="shared" si="98"/>
        <v/>
      </c>
      <c r="R1305" s="97">
        <f t="shared" si="99"/>
        <v>0</v>
      </c>
      <c r="T1305" s="98">
        <f t="shared" si="101"/>
        <v>0</v>
      </c>
      <c r="U1305" s="99" t="str">
        <f>IFERROR(IF(#REF!="S",VLOOKUP('Raw Data'!A1305,References!#REF!,2,FALSE),(VLOOKUP($S1305,References!$B$3:$C$8,2,FALSE))),"")</f>
        <v/>
      </c>
      <c r="V1305" s="99" t="str">
        <f t="shared" si="100"/>
        <v/>
      </c>
      <c r="W1305" s="66" t="str">
        <f>IFERROR(VLOOKUP($O1305,'Customer List'!$A$1:$J$488,10,FALSE),"")</f>
        <v/>
      </c>
    </row>
    <row r="1306" spans="1:23">
      <c r="A1306" s="90" t="str">
        <f t="shared" si="98"/>
        <v/>
      </c>
      <c r="R1306" s="97">
        <f t="shared" si="99"/>
        <v>0</v>
      </c>
      <c r="T1306" s="98">
        <f t="shared" si="101"/>
        <v>0</v>
      </c>
      <c r="U1306" s="99" t="str">
        <f>IFERROR(IF(#REF!="S",VLOOKUP('Raw Data'!A1306,References!#REF!,2,FALSE),(VLOOKUP($S1306,References!$B$3:$C$8,2,FALSE))),"")</f>
        <v/>
      </c>
      <c r="V1306" s="99" t="str">
        <f t="shared" si="100"/>
        <v/>
      </c>
      <c r="W1306" s="66" t="str">
        <f>IFERROR(VLOOKUP($O1306,'Customer List'!$A$1:$J$488,10,FALSE),"")</f>
        <v/>
      </c>
    </row>
    <row r="1307" spans="1:23">
      <c r="A1307" s="90" t="str">
        <f t="shared" si="98"/>
        <v/>
      </c>
      <c r="R1307" s="97">
        <f t="shared" si="99"/>
        <v>0</v>
      </c>
      <c r="T1307" s="98">
        <f t="shared" si="101"/>
        <v>0</v>
      </c>
      <c r="U1307" s="99" t="str">
        <f>IFERROR(IF(#REF!="S",VLOOKUP('Raw Data'!A1307,References!#REF!,2,FALSE),(VLOOKUP($S1307,References!$B$3:$C$8,2,FALSE))),"")</f>
        <v/>
      </c>
      <c r="V1307" s="99" t="str">
        <f t="shared" si="100"/>
        <v/>
      </c>
      <c r="W1307" s="66" t="str">
        <f>IFERROR(VLOOKUP($O1307,'Customer List'!$A$1:$J$488,10,FALSE),"")</f>
        <v/>
      </c>
    </row>
    <row r="1308" spans="1:23">
      <c r="A1308" s="90" t="str">
        <f t="shared" si="98"/>
        <v/>
      </c>
      <c r="R1308" s="97">
        <f t="shared" si="99"/>
        <v>0</v>
      </c>
      <c r="T1308" s="98">
        <f t="shared" si="101"/>
        <v>0</v>
      </c>
      <c r="U1308" s="99" t="str">
        <f>IFERROR(IF(#REF!="S",VLOOKUP('Raw Data'!A1308,References!#REF!,2,FALSE),(VLOOKUP($S1308,References!$B$3:$C$8,2,FALSE))),"")</f>
        <v/>
      </c>
      <c r="V1308" s="99" t="str">
        <f t="shared" si="100"/>
        <v/>
      </c>
      <c r="W1308" s="66" t="str">
        <f>IFERROR(VLOOKUP($O1308,'Customer List'!$A$1:$J$488,10,FALSE),"")</f>
        <v/>
      </c>
    </row>
    <row r="1309" spans="1:23">
      <c r="A1309" s="90" t="str">
        <f t="shared" si="98"/>
        <v/>
      </c>
      <c r="R1309" s="97">
        <f t="shared" si="99"/>
        <v>0</v>
      </c>
      <c r="T1309" s="98">
        <f t="shared" si="101"/>
        <v>0</v>
      </c>
      <c r="U1309" s="99" t="str">
        <f>IFERROR(IF(#REF!="S",VLOOKUP('Raw Data'!A1309,References!#REF!,2,FALSE),(VLOOKUP($S1309,References!$B$3:$C$8,2,FALSE))),"")</f>
        <v/>
      </c>
      <c r="V1309" s="99" t="str">
        <f t="shared" si="100"/>
        <v/>
      </c>
      <c r="W1309" s="66" t="str">
        <f>IFERROR(VLOOKUP($O1309,'Customer List'!$A$1:$J$488,10,FALSE),"")</f>
        <v/>
      </c>
    </row>
    <row r="1310" spans="1:23">
      <c r="A1310" s="90" t="str">
        <f t="shared" si="98"/>
        <v/>
      </c>
      <c r="R1310" s="97">
        <f t="shared" si="99"/>
        <v>0</v>
      </c>
      <c r="T1310" s="98">
        <f t="shared" si="101"/>
        <v>0</v>
      </c>
      <c r="U1310" s="99" t="str">
        <f>IFERROR(IF(#REF!="S",VLOOKUP('Raw Data'!A1310,References!#REF!,2,FALSE),(VLOOKUP($S1310,References!$B$3:$C$8,2,FALSE))),"")</f>
        <v/>
      </c>
      <c r="V1310" s="99" t="str">
        <f t="shared" si="100"/>
        <v/>
      </c>
      <c r="W1310" s="66" t="str">
        <f>IFERROR(VLOOKUP($O1310,'Customer List'!$A$1:$J$488,10,FALSE),"")</f>
        <v/>
      </c>
    </row>
    <row r="1311" spans="1:23">
      <c r="A1311" s="90" t="str">
        <f t="shared" si="98"/>
        <v/>
      </c>
      <c r="R1311" s="97">
        <f t="shared" si="99"/>
        <v>0</v>
      </c>
      <c r="T1311" s="98">
        <f t="shared" si="101"/>
        <v>0</v>
      </c>
      <c r="U1311" s="99" t="str">
        <f>IFERROR(IF(#REF!="S",VLOOKUP('Raw Data'!A1311,References!#REF!,2,FALSE),(VLOOKUP($S1311,References!$B$3:$C$8,2,FALSE))),"")</f>
        <v/>
      </c>
      <c r="V1311" s="99" t="str">
        <f t="shared" si="100"/>
        <v/>
      </c>
      <c r="W1311" s="66" t="str">
        <f>IFERROR(VLOOKUP($O1311,'Customer List'!$A$1:$J$488,10,FALSE),"")</f>
        <v/>
      </c>
    </row>
    <row r="1312" spans="1:23">
      <c r="A1312" s="90" t="str">
        <f t="shared" si="98"/>
        <v/>
      </c>
      <c r="R1312" s="97">
        <f t="shared" si="99"/>
        <v>0</v>
      </c>
      <c r="T1312" s="98">
        <f t="shared" si="101"/>
        <v>0</v>
      </c>
      <c r="U1312" s="99" t="str">
        <f>IFERROR(IF(#REF!="S",VLOOKUP('Raw Data'!A1312,References!#REF!,2,FALSE),(VLOOKUP($S1312,References!$B$3:$C$8,2,FALSE))),"")</f>
        <v/>
      </c>
      <c r="V1312" s="99" t="str">
        <f t="shared" si="100"/>
        <v/>
      </c>
      <c r="W1312" s="66" t="str">
        <f>IFERROR(VLOOKUP($O1312,'Customer List'!$A$1:$J$488,10,FALSE),"")</f>
        <v/>
      </c>
    </row>
    <row r="1313" spans="1:23">
      <c r="A1313" s="90" t="str">
        <f t="shared" si="98"/>
        <v/>
      </c>
      <c r="R1313" s="97">
        <f t="shared" si="99"/>
        <v>0</v>
      </c>
      <c r="T1313" s="98">
        <f t="shared" si="101"/>
        <v>0</v>
      </c>
      <c r="U1313" s="99" t="str">
        <f>IFERROR(IF(#REF!="S",VLOOKUP('Raw Data'!A1313,References!#REF!,2,FALSE),(VLOOKUP($S1313,References!$B$3:$C$8,2,FALSE))),"")</f>
        <v/>
      </c>
      <c r="V1313" s="99" t="str">
        <f t="shared" si="100"/>
        <v/>
      </c>
      <c r="W1313" s="66" t="str">
        <f>IFERROR(VLOOKUP($O1313,'Customer List'!$A$1:$J$488,10,FALSE),"")</f>
        <v/>
      </c>
    </row>
    <row r="1314" spans="1:23">
      <c r="A1314" s="90" t="str">
        <f t="shared" si="98"/>
        <v/>
      </c>
      <c r="R1314" s="97">
        <f t="shared" si="99"/>
        <v>0</v>
      </c>
      <c r="T1314" s="98">
        <f t="shared" si="101"/>
        <v>0</v>
      </c>
      <c r="U1314" s="99" t="str">
        <f>IFERROR(IF(#REF!="S",VLOOKUP('Raw Data'!A1314,References!#REF!,2,FALSE),(VLOOKUP($S1314,References!$B$3:$C$8,2,FALSE))),"")</f>
        <v/>
      </c>
      <c r="V1314" s="99" t="str">
        <f t="shared" si="100"/>
        <v/>
      </c>
      <c r="W1314" s="66" t="str">
        <f>IFERROR(VLOOKUP($O1314,'Customer List'!$A$1:$J$488,10,FALSE),"")</f>
        <v/>
      </c>
    </row>
    <row r="1315" spans="1:23">
      <c r="A1315" s="90" t="str">
        <f t="shared" si="98"/>
        <v/>
      </c>
      <c r="R1315" s="97">
        <f t="shared" si="99"/>
        <v>0</v>
      </c>
      <c r="T1315" s="98">
        <f t="shared" si="101"/>
        <v>0</v>
      </c>
      <c r="U1315" s="99" t="str">
        <f>IFERROR(IF(#REF!="S",VLOOKUP('Raw Data'!A1315,References!#REF!,2,FALSE),(VLOOKUP($S1315,References!$B$3:$C$8,2,FALSE))),"")</f>
        <v/>
      </c>
      <c r="V1315" s="99" t="str">
        <f t="shared" si="100"/>
        <v/>
      </c>
      <c r="W1315" s="66" t="str">
        <f>IFERROR(VLOOKUP($O1315,'Customer List'!$A$1:$J$488,10,FALSE),"")</f>
        <v/>
      </c>
    </row>
    <row r="1316" spans="1:23">
      <c r="A1316" s="90" t="str">
        <f t="shared" si="98"/>
        <v/>
      </c>
      <c r="R1316" s="97">
        <f t="shared" si="99"/>
        <v>0</v>
      </c>
      <c r="T1316" s="98">
        <f t="shared" si="101"/>
        <v>0</v>
      </c>
      <c r="U1316" s="99" t="str">
        <f>IFERROR(IF(#REF!="S",VLOOKUP('Raw Data'!A1316,References!#REF!,2,FALSE),(VLOOKUP($S1316,References!$B$3:$C$8,2,FALSE))),"")</f>
        <v/>
      </c>
      <c r="V1316" s="99" t="str">
        <f t="shared" si="100"/>
        <v/>
      </c>
      <c r="W1316" s="66" t="str">
        <f>IFERROR(VLOOKUP($O1316,'Customer List'!$A$1:$J$488,10,FALSE),"")</f>
        <v/>
      </c>
    </row>
    <row r="1317" spans="1:23">
      <c r="A1317" s="90" t="str">
        <f t="shared" si="98"/>
        <v/>
      </c>
      <c r="R1317" s="97">
        <f t="shared" si="99"/>
        <v>0</v>
      </c>
      <c r="T1317" s="98">
        <f t="shared" si="101"/>
        <v>0</v>
      </c>
      <c r="U1317" s="99" t="str">
        <f>IFERROR(IF(#REF!="S",VLOOKUP('Raw Data'!A1317,References!#REF!,2,FALSE),(VLOOKUP($S1317,References!$B$3:$C$8,2,FALSE))),"")</f>
        <v/>
      </c>
      <c r="V1317" s="99" t="str">
        <f t="shared" si="100"/>
        <v/>
      </c>
      <c r="W1317" s="66" t="str">
        <f>IFERROR(VLOOKUP($O1317,'Customer List'!$A$1:$J$488,10,FALSE),"")</f>
        <v/>
      </c>
    </row>
    <row r="1318" spans="1:23">
      <c r="A1318" s="90" t="str">
        <f t="shared" si="98"/>
        <v/>
      </c>
      <c r="R1318" s="97">
        <f t="shared" si="99"/>
        <v>0</v>
      </c>
      <c r="T1318" s="98">
        <f t="shared" si="101"/>
        <v>0</v>
      </c>
      <c r="U1318" s="99" t="str">
        <f>IFERROR(IF(#REF!="S",VLOOKUP('Raw Data'!A1318,References!#REF!,2,FALSE),(VLOOKUP($S1318,References!$B$3:$C$8,2,FALSE))),"")</f>
        <v/>
      </c>
      <c r="V1318" s="99" t="str">
        <f t="shared" si="100"/>
        <v/>
      </c>
      <c r="W1318" s="66" t="str">
        <f>IFERROR(VLOOKUP($O1318,'Customer List'!$A$1:$J$488,10,FALSE),"")</f>
        <v/>
      </c>
    </row>
    <row r="1319" spans="1:23">
      <c r="A1319" s="90" t="str">
        <f t="shared" si="98"/>
        <v/>
      </c>
      <c r="R1319" s="97">
        <f t="shared" si="99"/>
        <v>0</v>
      </c>
      <c r="T1319" s="98">
        <f t="shared" si="101"/>
        <v>0</v>
      </c>
      <c r="U1319" s="99" t="str">
        <f>IFERROR(IF(#REF!="S",VLOOKUP('Raw Data'!A1319,References!#REF!,2,FALSE),(VLOOKUP($S1319,References!$B$3:$C$8,2,FALSE))),"")</f>
        <v/>
      </c>
      <c r="V1319" s="99" t="str">
        <f t="shared" si="100"/>
        <v/>
      </c>
      <c r="W1319" s="66" t="str">
        <f>IFERROR(VLOOKUP($O1319,'Customer List'!$A$1:$J$488,10,FALSE),"")</f>
        <v/>
      </c>
    </row>
    <row r="1320" spans="1:23">
      <c r="A1320" s="90" t="str">
        <f t="shared" si="98"/>
        <v/>
      </c>
      <c r="R1320" s="97">
        <f t="shared" si="99"/>
        <v>0</v>
      </c>
      <c r="T1320" s="98">
        <f t="shared" si="101"/>
        <v>0</v>
      </c>
      <c r="U1320" s="99" t="str">
        <f>IFERROR(IF(#REF!="S",VLOOKUP('Raw Data'!A1320,References!#REF!,2,FALSE),(VLOOKUP($S1320,References!$B$3:$C$8,2,FALSE))),"")</f>
        <v/>
      </c>
      <c r="V1320" s="99" t="str">
        <f t="shared" si="100"/>
        <v/>
      </c>
      <c r="W1320" s="66" t="str">
        <f>IFERROR(VLOOKUP($O1320,'Customer List'!$A$1:$J$488,10,FALSE),"")</f>
        <v/>
      </c>
    </row>
    <row r="1321" spans="1:23">
      <c r="A1321" s="90" t="str">
        <f t="shared" si="98"/>
        <v/>
      </c>
      <c r="R1321" s="97">
        <f t="shared" si="99"/>
        <v>0</v>
      </c>
      <c r="T1321" s="98">
        <f t="shared" si="101"/>
        <v>0</v>
      </c>
      <c r="U1321" s="99" t="str">
        <f>IFERROR(IF(#REF!="S",VLOOKUP('Raw Data'!A1321,References!#REF!,2,FALSE),(VLOOKUP($S1321,References!$B$3:$C$8,2,FALSE))),"")</f>
        <v/>
      </c>
      <c r="V1321" s="99" t="str">
        <f t="shared" si="100"/>
        <v/>
      </c>
      <c r="W1321" s="66" t="str">
        <f>IFERROR(VLOOKUP($O1321,'Customer List'!$A$1:$J$488,10,FALSE),"")</f>
        <v/>
      </c>
    </row>
    <row r="1322" spans="1:23">
      <c r="A1322" s="90" t="str">
        <f t="shared" si="98"/>
        <v/>
      </c>
      <c r="R1322" s="97">
        <f t="shared" si="99"/>
        <v>0</v>
      </c>
      <c r="T1322" s="98">
        <f t="shared" si="101"/>
        <v>0</v>
      </c>
      <c r="U1322" s="99" t="str">
        <f>IFERROR(IF(#REF!="S",VLOOKUP('Raw Data'!A1322,References!#REF!,2,FALSE),(VLOOKUP($S1322,References!$B$3:$C$8,2,FALSE))),"")</f>
        <v/>
      </c>
      <c r="V1322" s="99" t="str">
        <f t="shared" si="100"/>
        <v/>
      </c>
      <c r="W1322" s="66" t="str">
        <f>IFERROR(VLOOKUP($O1322,'Customer List'!$A$1:$J$488,10,FALSE),"")</f>
        <v/>
      </c>
    </row>
    <row r="1323" spans="1:23">
      <c r="A1323" s="90" t="str">
        <f t="shared" si="98"/>
        <v/>
      </c>
      <c r="R1323" s="97">
        <f t="shared" si="99"/>
        <v>0</v>
      </c>
      <c r="T1323" s="98">
        <f t="shared" si="101"/>
        <v>0</v>
      </c>
      <c r="U1323" s="99" t="str">
        <f>IFERROR(IF(#REF!="S",VLOOKUP('Raw Data'!A1323,References!#REF!,2,FALSE),(VLOOKUP($S1323,References!$B$3:$C$8,2,FALSE))),"")</f>
        <v/>
      </c>
      <c r="V1323" s="99" t="str">
        <f t="shared" si="100"/>
        <v/>
      </c>
      <c r="W1323" s="66" t="str">
        <f>IFERROR(VLOOKUP($O1323,'Customer List'!$A$1:$J$488,10,FALSE),"")</f>
        <v/>
      </c>
    </row>
    <row r="1324" spans="1:23">
      <c r="A1324" s="90" t="str">
        <f t="shared" ref="A1324:A1387" si="102">O1324&amp;S1324</f>
        <v/>
      </c>
      <c r="R1324" s="97">
        <f t="shared" ref="R1324:R1387" si="103">L1324-K1324</f>
        <v>0</v>
      </c>
      <c r="T1324" s="98">
        <f t="shared" si="101"/>
        <v>0</v>
      </c>
      <c r="U1324" s="99" t="str">
        <f>IFERROR(IF(#REF!="S",VLOOKUP('Raw Data'!A1324,References!#REF!,2,FALSE),(VLOOKUP($S1324,References!$B$3:$C$8,2,FALSE))),"")</f>
        <v/>
      </c>
      <c r="V1324" s="99" t="str">
        <f t="shared" si="100"/>
        <v/>
      </c>
      <c r="W1324" s="66" t="str">
        <f>IFERROR(VLOOKUP($O1324,'Customer List'!$A$1:$J$488,10,FALSE),"")</f>
        <v/>
      </c>
    </row>
    <row r="1325" spans="1:23">
      <c r="A1325" s="90" t="str">
        <f t="shared" si="102"/>
        <v/>
      </c>
      <c r="R1325" s="97">
        <f t="shared" si="103"/>
        <v>0</v>
      </c>
      <c r="T1325" s="98">
        <f t="shared" si="101"/>
        <v>0</v>
      </c>
      <c r="U1325" s="99" t="str">
        <f>IFERROR(IF(#REF!="S",VLOOKUP('Raw Data'!A1325,References!#REF!,2,FALSE),(VLOOKUP($S1325,References!$B$3:$C$8,2,FALSE))),"")</f>
        <v/>
      </c>
      <c r="V1325" s="99" t="str">
        <f t="shared" si="100"/>
        <v/>
      </c>
      <c r="W1325" s="66" t="str">
        <f>IFERROR(VLOOKUP($O1325,'Customer List'!$A$1:$J$488,10,FALSE),"")</f>
        <v/>
      </c>
    </row>
    <row r="1326" spans="1:23">
      <c r="A1326" s="90" t="str">
        <f t="shared" si="102"/>
        <v/>
      </c>
      <c r="R1326" s="97">
        <f t="shared" si="103"/>
        <v>0</v>
      </c>
      <c r="T1326" s="98">
        <f t="shared" si="101"/>
        <v>0</v>
      </c>
      <c r="U1326" s="99" t="str">
        <f>IFERROR(IF(#REF!="S",VLOOKUP('Raw Data'!A1326,References!#REF!,2,FALSE),(VLOOKUP($S1326,References!$B$3:$C$8,2,FALSE))),"")</f>
        <v/>
      </c>
      <c r="V1326" s="99" t="str">
        <f t="shared" ref="V1326:V1389" si="104">IFERROR(T1326*U1326,"")</f>
        <v/>
      </c>
      <c r="W1326" s="66" t="str">
        <f>IFERROR(VLOOKUP($O1326,'Customer List'!$A$1:$J$488,10,FALSE),"")</f>
        <v/>
      </c>
    </row>
    <row r="1327" spans="1:23">
      <c r="A1327" s="90" t="str">
        <f t="shared" si="102"/>
        <v/>
      </c>
      <c r="R1327" s="97">
        <f t="shared" si="103"/>
        <v>0</v>
      </c>
      <c r="T1327" s="98">
        <f t="shared" si="101"/>
        <v>0</v>
      </c>
      <c r="U1327" s="99" t="str">
        <f>IFERROR(IF(#REF!="S",VLOOKUP('Raw Data'!A1327,References!#REF!,2,FALSE),(VLOOKUP($S1327,References!$B$3:$C$8,2,FALSE))),"")</f>
        <v/>
      </c>
      <c r="V1327" s="99" t="str">
        <f t="shared" si="104"/>
        <v/>
      </c>
      <c r="W1327" s="66" t="str">
        <f>IFERROR(VLOOKUP($O1327,'Customer List'!$A$1:$J$488,10,FALSE),"")</f>
        <v/>
      </c>
    </row>
    <row r="1328" spans="1:23">
      <c r="A1328" s="90" t="str">
        <f t="shared" si="102"/>
        <v/>
      </c>
      <c r="R1328" s="97">
        <f t="shared" si="103"/>
        <v>0</v>
      </c>
      <c r="T1328" s="98">
        <f t="shared" si="101"/>
        <v>0</v>
      </c>
      <c r="U1328" s="99" t="str">
        <f>IFERROR(IF(#REF!="S",VLOOKUP('Raw Data'!A1328,References!#REF!,2,FALSE),(VLOOKUP($S1328,References!$B$3:$C$8,2,FALSE))),"")</f>
        <v/>
      </c>
      <c r="V1328" s="99" t="str">
        <f t="shared" si="104"/>
        <v/>
      </c>
      <c r="W1328" s="66" t="str">
        <f>IFERROR(VLOOKUP($O1328,'Customer List'!$A$1:$J$488,10,FALSE),"")</f>
        <v/>
      </c>
    </row>
    <row r="1329" spans="1:23">
      <c r="A1329" s="90" t="str">
        <f t="shared" si="102"/>
        <v/>
      </c>
      <c r="R1329" s="97">
        <f t="shared" si="103"/>
        <v>0</v>
      </c>
      <c r="T1329" s="98">
        <f t="shared" si="101"/>
        <v>0</v>
      </c>
      <c r="U1329" s="99" t="str">
        <f>IFERROR(IF(#REF!="S",VLOOKUP('Raw Data'!A1329,References!#REF!,2,FALSE),(VLOOKUP($S1329,References!$B$3:$C$8,2,FALSE))),"")</f>
        <v/>
      </c>
      <c r="V1329" s="99" t="str">
        <f t="shared" si="104"/>
        <v/>
      </c>
      <c r="W1329" s="66" t="str">
        <f>IFERROR(VLOOKUP($O1329,'Customer List'!$A$1:$J$488,10,FALSE),"")</f>
        <v/>
      </c>
    </row>
    <row r="1330" spans="1:23">
      <c r="A1330" s="90" t="str">
        <f t="shared" si="102"/>
        <v/>
      </c>
      <c r="R1330" s="97">
        <f t="shared" si="103"/>
        <v>0</v>
      </c>
      <c r="T1330" s="98">
        <f t="shared" si="101"/>
        <v>0</v>
      </c>
      <c r="U1330" s="99" t="str">
        <f>IFERROR(IF(#REF!="S",VLOOKUP('Raw Data'!A1330,References!#REF!,2,FALSE),(VLOOKUP($S1330,References!$B$3:$C$8,2,FALSE))),"")</f>
        <v/>
      </c>
      <c r="V1330" s="99" t="str">
        <f t="shared" si="104"/>
        <v/>
      </c>
      <c r="W1330" s="66" t="str">
        <f>IFERROR(VLOOKUP($O1330,'Customer List'!$A$1:$J$488,10,FALSE),"")</f>
        <v/>
      </c>
    </row>
    <row r="1331" spans="1:23">
      <c r="A1331" s="90" t="str">
        <f t="shared" si="102"/>
        <v/>
      </c>
      <c r="R1331" s="97">
        <f t="shared" si="103"/>
        <v>0</v>
      </c>
      <c r="T1331" s="98">
        <f t="shared" si="101"/>
        <v>0</v>
      </c>
      <c r="U1331" s="99" t="str">
        <f>IFERROR(IF(#REF!="S",VLOOKUP('Raw Data'!A1331,References!#REF!,2,FALSE),(VLOOKUP($S1331,References!$B$3:$C$8,2,FALSE))),"")</f>
        <v/>
      </c>
      <c r="V1331" s="99" t="str">
        <f t="shared" si="104"/>
        <v/>
      </c>
      <c r="W1331" s="66" t="str">
        <f>IFERROR(VLOOKUP($O1331,'Customer List'!$A$1:$J$488,10,FALSE),"")</f>
        <v/>
      </c>
    </row>
    <row r="1332" spans="1:23">
      <c r="A1332" s="90" t="str">
        <f t="shared" si="102"/>
        <v/>
      </c>
      <c r="R1332" s="97">
        <f t="shared" si="103"/>
        <v>0</v>
      </c>
      <c r="T1332" s="98">
        <f t="shared" si="101"/>
        <v>0</v>
      </c>
      <c r="U1332" s="99" t="str">
        <f>IFERROR(IF(#REF!="S",VLOOKUP('Raw Data'!A1332,References!#REF!,2,FALSE),(VLOOKUP($S1332,References!$B$3:$C$8,2,FALSE))),"")</f>
        <v/>
      </c>
      <c r="V1332" s="99" t="str">
        <f t="shared" si="104"/>
        <v/>
      </c>
      <c r="W1332" s="66" t="str">
        <f>IFERROR(VLOOKUP($O1332,'Customer List'!$A$1:$J$488,10,FALSE),"")</f>
        <v/>
      </c>
    </row>
    <row r="1333" spans="1:23">
      <c r="A1333" s="90" t="str">
        <f t="shared" si="102"/>
        <v/>
      </c>
      <c r="R1333" s="97">
        <f t="shared" si="103"/>
        <v>0</v>
      </c>
      <c r="T1333" s="98">
        <f t="shared" si="101"/>
        <v>0</v>
      </c>
      <c r="U1333" s="99" t="str">
        <f>IFERROR(IF(#REF!="S",VLOOKUP('Raw Data'!A1333,References!#REF!,2,FALSE),(VLOOKUP($S1333,References!$B$3:$C$8,2,FALSE))),"")</f>
        <v/>
      </c>
      <c r="V1333" s="99" t="str">
        <f t="shared" si="104"/>
        <v/>
      </c>
      <c r="W1333" s="66" t="str">
        <f>IFERROR(VLOOKUP($O1333,'Customer List'!$A$1:$J$488,10,FALSE),"")</f>
        <v/>
      </c>
    </row>
    <row r="1334" spans="1:23">
      <c r="A1334" s="90" t="str">
        <f t="shared" si="102"/>
        <v/>
      </c>
      <c r="R1334" s="97">
        <f t="shared" si="103"/>
        <v>0</v>
      </c>
      <c r="T1334" s="98">
        <f t="shared" si="101"/>
        <v>0</v>
      </c>
      <c r="U1334" s="99" t="str">
        <f>IFERROR(IF(#REF!="S",VLOOKUP('Raw Data'!A1334,References!#REF!,2,FALSE),(VLOOKUP($S1334,References!$B$3:$C$8,2,FALSE))),"")</f>
        <v/>
      </c>
      <c r="V1334" s="99" t="str">
        <f t="shared" si="104"/>
        <v/>
      </c>
      <c r="W1334" s="66" t="str">
        <f>IFERROR(VLOOKUP($O1334,'Customer List'!$A$1:$J$488,10,FALSE),"")</f>
        <v/>
      </c>
    </row>
    <row r="1335" spans="1:23">
      <c r="A1335" s="90" t="str">
        <f t="shared" si="102"/>
        <v/>
      </c>
      <c r="R1335" s="97">
        <f t="shared" si="103"/>
        <v>0</v>
      </c>
      <c r="T1335" s="98">
        <f t="shared" si="101"/>
        <v>0</v>
      </c>
      <c r="U1335" s="99" t="str">
        <f>IFERROR(IF(#REF!="S",VLOOKUP('Raw Data'!A1335,References!#REF!,2,FALSE),(VLOOKUP($S1335,References!$B$3:$C$8,2,FALSE))),"")</f>
        <v/>
      </c>
      <c r="V1335" s="99" t="str">
        <f t="shared" si="104"/>
        <v/>
      </c>
      <c r="W1335" s="66" t="str">
        <f>IFERROR(VLOOKUP($O1335,'Customer List'!$A$1:$J$488,10,FALSE),"")</f>
        <v/>
      </c>
    </row>
    <row r="1336" spans="1:23">
      <c r="A1336" s="90" t="str">
        <f t="shared" si="102"/>
        <v/>
      </c>
      <c r="R1336" s="97">
        <f t="shared" si="103"/>
        <v>0</v>
      </c>
      <c r="T1336" s="98">
        <f t="shared" si="101"/>
        <v>0</v>
      </c>
      <c r="U1336" s="99" t="str">
        <f>IFERROR(IF(#REF!="S",VLOOKUP('Raw Data'!A1336,References!#REF!,2,FALSE),(VLOOKUP($S1336,References!$B$3:$C$8,2,FALSE))),"")</f>
        <v/>
      </c>
      <c r="V1336" s="99" t="str">
        <f t="shared" si="104"/>
        <v/>
      </c>
      <c r="W1336" s="66" t="str">
        <f>IFERROR(VLOOKUP($O1336,'Customer List'!$A$1:$J$488,10,FALSE),"")</f>
        <v/>
      </c>
    </row>
    <row r="1337" spans="1:23">
      <c r="A1337" s="90" t="str">
        <f t="shared" si="102"/>
        <v/>
      </c>
      <c r="R1337" s="97">
        <f t="shared" si="103"/>
        <v>0</v>
      </c>
      <c r="T1337" s="98">
        <f t="shared" si="101"/>
        <v>0</v>
      </c>
      <c r="U1337" s="99" t="str">
        <f>IFERROR(IF(#REF!="S",VLOOKUP('Raw Data'!A1337,References!#REF!,2,FALSE),(VLOOKUP($S1337,References!$B$3:$C$8,2,FALSE))),"")</f>
        <v/>
      </c>
      <c r="V1337" s="99" t="str">
        <f t="shared" si="104"/>
        <v/>
      </c>
      <c r="W1337" s="66" t="str">
        <f>IFERROR(VLOOKUP($O1337,'Customer List'!$A$1:$J$488,10,FALSE),"")</f>
        <v/>
      </c>
    </row>
    <row r="1338" spans="1:23">
      <c r="A1338" s="90" t="str">
        <f t="shared" si="102"/>
        <v/>
      </c>
      <c r="R1338" s="97">
        <f t="shared" si="103"/>
        <v>0</v>
      </c>
      <c r="T1338" s="98">
        <f t="shared" si="101"/>
        <v>0</v>
      </c>
      <c r="U1338" s="99" t="str">
        <f>IFERROR(IF(#REF!="S",VLOOKUP('Raw Data'!A1338,References!#REF!,2,FALSE),(VLOOKUP($S1338,References!$B$3:$C$8,2,FALSE))),"")</f>
        <v/>
      </c>
      <c r="V1338" s="99" t="str">
        <f t="shared" si="104"/>
        <v/>
      </c>
      <c r="W1338" s="66" t="str">
        <f>IFERROR(VLOOKUP($O1338,'Customer List'!$A$1:$J$488,10,FALSE),"")</f>
        <v/>
      </c>
    </row>
    <row r="1339" spans="1:23">
      <c r="A1339" s="90" t="str">
        <f t="shared" si="102"/>
        <v/>
      </c>
      <c r="R1339" s="97">
        <f t="shared" si="103"/>
        <v>0</v>
      </c>
      <c r="T1339" s="98">
        <f t="shared" si="101"/>
        <v>0</v>
      </c>
      <c r="U1339" s="99" t="str">
        <f>IFERROR(IF(#REF!="S",VLOOKUP('Raw Data'!A1339,References!#REF!,2,FALSE),(VLOOKUP($S1339,References!$B$3:$C$8,2,FALSE))),"")</f>
        <v/>
      </c>
      <c r="V1339" s="99" t="str">
        <f t="shared" si="104"/>
        <v/>
      </c>
      <c r="W1339" s="66" t="str">
        <f>IFERROR(VLOOKUP($O1339,'Customer List'!$A$1:$J$488,10,FALSE),"")</f>
        <v/>
      </c>
    </row>
    <row r="1340" spans="1:23">
      <c r="A1340" s="90" t="str">
        <f t="shared" si="102"/>
        <v/>
      </c>
      <c r="R1340" s="97">
        <f t="shared" si="103"/>
        <v>0</v>
      </c>
      <c r="T1340" s="98">
        <f t="shared" si="101"/>
        <v>0</v>
      </c>
      <c r="U1340" s="99" t="str">
        <f>IFERROR(IF(#REF!="S",VLOOKUP('Raw Data'!A1340,References!#REF!,2,FALSE),(VLOOKUP($S1340,References!$B$3:$C$8,2,FALSE))),"")</f>
        <v/>
      </c>
      <c r="V1340" s="99" t="str">
        <f t="shared" si="104"/>
        <v/>
      </c>
      <c r="W1340" s="66" t="str">
        <f>IFERROR(VLOOKUP($O1340,'Customer List'!$A$1:$J$488,10,FALSE),"")</f>
        <v/>
      </c>
    </row>
    <row r="1341" spans="1:23">
      <c r="A1341" s="90" t="str">
        <f t="shared" si="102"/>
        <v/>
      </c>
      <c r="R1341" s="97">
        <f t="shared" si="103"/>
        <v>0</v>
      </c>
      <c r="T1341" s="98">
        <f t="shared" si="101"/>
        <v>0</v>
      </c>
      <c r="U1341" s="99" t="str">
        <f>IFERROR(IF(#REF!="S",VLOOKUP('Raw Data'!A1341,References!#REF!,2,FALSE),(VLOOKUP($S1341,References!$B$3:$C$8,2,FALSE))),"")</f>
        <v/>
      </c>
      <c r="V1341" s="99" t="str">
        <f t="shared" si="104"/>
        <v/>
      </c>
      <c r="W1341" s="66" t="str">
        <f>IFERROR(VLOOKUP($O1341,'Customer List'!$A$1:$J$488,10,FALSE),"")</f>
        <v/>
      </c>
    </row>
    <row r="1342" spans="1:23">
      <c r="A1342" s="90" t="str">
        <f t="shared" si="102"/>
        <v/>
      </c>
      <c r="R1342" s="97">
        <f t="shared" si="103"/>
        <v>0</v>
      </c>
      <c r="T1342" s="98">
        <f t="shared" si="101"/>
        <v>0</v>
      </c>
      <c r="U1342" s="99" t="str">
        <f>IFERROR(IF(#REF!="S",VLOOKUP('Raw Data'!A1342,References!#REF!,2,FALSE),(VLOOKUP($S1342,References!$B$3:$C$8,2,FALSE))),"")</f>
        <v/>
      </c>
      <c r="V1342" s="99" t="str">
        <f t="shared" si="104"/>
        <v/>
      </c>
      <c r="W1342" s="66" t="str">
        <f>IFERROR(VLOOKUP($O1342,'Customer List'!$A$1:$J$488,10,FALSE),"")</f>
        <v/>
      </c>
    </row>
    <row r="1343" spans="1:23">
      <c r="A1343" s="90" t="str">
        <f t="shared" si="102"/>
        <v/>
      </c>
      <c r="R1343" s="97">
        <f t="shared" si="103"/>
        <v>0</v>
      </c>
      <c r="T1343" s="98">
        <f t="shared" si="101"/>
        <v>0</v>
      </c>
      <c r="U1343" s="99" t="str">
        <f>IFERROR(IF(#REF!="S",VLOOKUP('Raw Data'!A1343,References!#REF!,2,FALSE),(VLOOKUP($S1343,References!$B$3:$C$8,2,FALSE))),"")</f>
        <v/>
      </c>
      <c r="V1343" s="99" t="str">
        <f t="shared" si="104"/>
        <v/>
      </c>
      <c r="W1343" s="66" t="str">
        <f>IFERROR(VLOOKUP($O1343,'Customer List'!$A$1:$J$488,10,FALSE),"")</f>
        <v/>
      </c>
    </row>
    <row r="1344" spans="1:23">
      <c r="A1344" s="90" t="str">
        <f t="shared" si="102"/>
        <v/>
      </c>
      <c r="R1344" s="97">
        <f t="shared" si="103"/>
        <v>0</v>
      </c>
      <c r="T1344" s="98">
        <f t="shared" si="101"/>
        <v>0</v>
      </c>
      <c r="U1344" s="99" t="str">
        <f>IFERROR(IF(#REF!="S",VLOOKUP('Raw Data'!A1344,References!#REF!,2,FALSE),(VLOOKUP($S1344,References!$B$3:$C$8,2,FALSE))),"")</f>
        <v/>
      </c>
      <c r="V1344" s="99" t="str">
        <f t="shared" si="104"/>
        <v/>
      </c>
      <c r="W1344" s="66" t="str">
        <f>IFERROR(VLOOKUP($O1344,'Customer List'!$A$1:$J$488,10,FALSE),"")</f>
        <v/>
      </c>
    </row>
    <row r="1345" spans="1:23">
      <c r="A1345" s="90" t="str">
        <f t="shared" si="102"/>
        <v/>
      </c>
      <c r="R1345" s="97">
        <f t="shared" si="103"/>
        <v>0</v>
      </c>
      <c r="T1345" s="98">
        <f t="shared" si="101"/>
        <v>0</v>
      </c>
      <c r="U1345" s="99" t="str">
        <f>IFERROR(IF(#REF!="S",VLOOKUP('Raw Data'!A1345,References!#REF!,2,FALSE),(VLOOKUP($S1345,References!$B$3:$C$8,2,FALSE))),"")</f>
        <v/>
      </c>
      <c r="V1345" s="99" t="str">
        <f t="shared" si="104"/>
        <v/>
      </c>
      <c r="W1345" s="66" t="str">
        <f>IFERROR(VLOOKUP($O1345,'Customer List'!$A$1:$J$488,10,FALSE),"")</f>
        <v/>
      </c>
    </row>
    <row r="1346" spans="1:23">
      <c r="A1346" s="90" t="str">
        <f t="shared" si="102"/>
        <v/>
      </c>
      <c r="R1346" s="97">
        <f t="shared" si="103"/>
        <v>0</v>
      </c>
      <c r="T1346" s="98">
        <f t="shared" si="101"/>
        <v>0</v>
      </c>
      <c r="U1346" s="99" t="str">
        <f>IFERROR(IF(#REF!="S",VLOOKUP('Raw Data'!A1346,References!#REF!,2,FALSE),(VLOOKUP($S1346,References!$B$3:$C$8,2,FALSE))),"")</f>
        <v/>
      </c>
      <c r="V1346" s="99" t="str">
        <f t="shared" si="104"/>
        <v/>
      </c>
      <c r="W1346" s="66" t="str">
        <f>IFERROR(VLOOKUP($O1346,'Customer List'!$A$1:$J$488,10,FALSE),"")</f>
        <v/>
      </c>
    </row>
    <row r="1347" spans="1:23">
      <c r="A1347" s="90" t="str">
        <f t="shared" si="102"/>
        <v/>
      </c>
      <c r="R1347" s="97">
        <f t="shared" si="103"/>
        <v>0</v>
      </c>
      <c r="T1347" s="98">
        <f t="shared" si="101"/>
        <v>0</v>
      </c>
      <c r="U1347" s="99" t="str">
        <f>IFERROR(IF(#REF!="S",VLOOKUP('Raw Data'!A1347,References!#REF!,2,FALSE),(VLOOKUP($S1347,References!$B$3:$C$8,2,FALSE))),"")</f>
        <v/>
      </c>
      <c r="V1347" s="99" t="str">
        <f t="shared" si="104"/>
        <v/>
      </c>
      <c r="W1347" s="66" t="str">
        <f>IFERROR(VLOOKUP($O1347,'Customer List'!$A$1:$J$488,10,FALSE),"")</f>
        <v/>
      </c>
    </row>
    <row r="1348" spans="1:23">
      <c r="A1348" s="90" t="str">
        <f t="shared" si="102"/>
        <v/>
      </c>
      <c r="R1348" s="97">
        <f t="shared" si="103"/>
        <v>0</v>
      </c>
      <c r="T1348" s="98">
        <f t="shared" si="101"/>
        <v>0</v>
      </c>
      <c r="U1348" s="99" t="str">
        <f>IFERROR(IF(#REF!="S",VLOOKUP('Raw Data'!A1348,References!#REF!,2,FALSE),(VLOOKUP($S1348,References!$B$3:$C$8,2,FALSE))),"")</f>
        <v/>
      </c>
      <c r="V1348" s="99" t="str">
        <f t="shared" si="104"/>
        <v/>
      </c>
      <c r="W1348" s="66" t="str">
        <f>IFERROR(VLOOKUP($O1348,'Customer List'!$A$1:$J$488,10,FALSE),"")</f>
        <v/>
      </c>
    </row>
    <row r="1349" spans="1:23">
      <c r="A1349" s="90" t="str">
        <f t="shared" si="102"/>
        <v/>
      </c>
      <c r="R1349" s="97">
        <f t="shared" si="103"/>
        <v>0</v>
      </c>
      <c r="T1349" s="98">
        <f t="shared" si="101"/>
        <v>0</v>
      </c>
      <c r="U1349" s="99" t="str">
        <f>IFERROR(IF(#REF!="S",VLOOKUP('Raw Data'!A1349,References!#REF!,2,FALSE),(VLOOKUP($S1349,References!$B$3:$C$8,2,FALSE))),"")</f>
        <v/>
      </c>
      <c r="V1349" s="99" t="str">
        <f t="shared" si="104"/>
        <v/>
      </c>
      <c r="W1349" s="66" t="str">
        <f>IFERROR(VLOOKUP($O1349,'Customer List'!$A$1:$J$488,10,FALSE),"")</f>
        <v/>
      </c>
    </row>
    <row r="1350" spans="1:23">
      <c r="A1350" s="90" t="str">
        <f t="shared" si="102"/>
        <v/>
      </c>
      <c r="R1350" s="97">
        <f t="shared" si="103"/>
        <v>0</v>
      </c>
      <c r="T1350" s="98">
        <f t="shared" si="101"/>
        <v>0</v>
      </c>
      <c r="U1350" s="99" t="str">
        <f>IFERROR(IF(#REF!="S",VLOOKUP('Raw Data'!A1350,References!#REF!,2,FALSE),(VLOOKUP($S1350,References!$B$3:$C$8,2,FALSE))),"")</f>
        <v/>
      </c>
      <c r="V1350" s="99" t="str">
        <f t="shared" si="104"/>
        <v/>
      </c>
      <c r="W1350" s="66" t="str">
        <f>IFERROR(VLOOKUP($O1350,'Customer List'!$A$1:$J$488,10,FALSE),"")</f>
        <v/>
      </c>
    </row>
    <row r="1351" spans="1:23">
      <c r="A1351" s="90" t="str">
        <f t="shared" si="102"/>
        <v/>
      </c>
      <c r="R1351" s="97">
        <f t="shared" si="103"/>
        <v>0</v>
      </c>
      <c r="T1351" s="98">
        <f t="shared" si="101"/>
        <v>0</v>
      </c>
      <c r="U1351" s="99" t="str">
        <f>IFERROR(IF(#REF!="S",VLOOKUP('Raw Data'!A1351,References!#REF!,2,FALSE),(VLOOKUP($S1351,References!$B$3:$C$8,2,FALSE))),"")</f>
        <v/>
      </c>
      <c r="V1351" s="99" t="str">
        <f t="shared" si="104"/>
        <v/>
      </c>
      <c r="W1351" s="66" t="str">
        <f>IFERROR(VLOOKUP($O1351,'Customer List'!$A$1:$J$488,10,FALSE),"")</f>
        <v/>
      </c>
    </row>
    <row r="1352" spans="1:23">
      <c r="A1352" s="90" t="str">
        <f t="shared" si="102"/>
        <v/>
      </c>
      <c r="R1352" s="97">
        <f t="shared" si="103"/>
        <v>0</v>
      </c>
      <c r="T1352" s="98">
        <f t="shared" si="101"/>
        <v>0</v>
      </c>
      <c r="U1352" s="99" t="str">
        <f>IFERROR(IF(#REF!="S",VLOOKUP('Raw Data'!A1352,References!#REF!,2,FALSE),(VLOOKUP($S1352,References!$B$3:$C$8,2,FALSE))),"")</f>
        <v/>
      </c>
      <c r="V1352" s="99" t="str">
        <f t="shared" si="104"/>
        <v/>
      </c>
      <c r="W1352" s="66" t="str">
        <f>IFERROR(VLOOKUP($O1352,'Customer List'!$A$1:$J$488,10,FALSE),"")</f>
        <v/>
      </c>
    </row>
    <row r="1353" spans="1:23">
      <c r="A1353" s="90" t="str">
        <f t="shared" si="102"/>
        <v/>
      </c>
      <c r="R1353" s="97">
        <f t="shared" si="103"/>
        <v>0</v>
      </c>
      <c r="T1353" s="98">
        <f t="shared" si="101"/>
        <v>0</v>
      </c>
      <c r="U1353" s="99" t="str">
        <f>IFERROR(IF(#REF!="S",VLOOKUP('Raw Data'!A1353,References!#REF!,2,FALSE),(VLOOKUP($S1353,References!$B$3:$C$8,2,FALSE))),"")</f>
        <v/>
      </c>
      <c r="V1353" s="99" t="str">
        <f t="shared" si="104"/>
        <v/>
      </c>
      <c r="W1353" s="66" t="str">
        <f>IFERROR(VLOOKUP($O1353,'Customer List'!$A$1:$J$488,10,FALSE),"")</f>
        <v/>
      </c>
    </row>
    <row r="1354" spans="1:23">
      <c r="A1354" s="90" t="str">
        <f t="shared" si="102"/>
        <v/>
      </c>
      <c r="R1354" s="97">
        <f t="shared" si="103"/>
        <v>0</v>
      </c>
      <c r="T1354" s="98">
        <f t="shared" si="101"/>
        <v>0</v>
      </c>
      <c r="U1354" s="99" t="str">
        <f>IFERROR(IF(#REF!="S",VLOOKUP('Raw Data'!A1354,References!#REF!,2,FALSE),(VLOOKUP($S1354,References!$B$3:$C$8,2,FALSE))),"")</f>
        <v/>
      </c>
      <c r="V1354" s="99" t="str">
        <f t="shared" si="104"/>
        <v/>
      </c>
      <c r="W1354" s="66" t="str">
        <f>IFERROR(VLOOKUP($O1354,'Customer List'!$A$1:$J$488,10,FALSE),"")</f>
        <v/>
      </c>
    </row>
    <row r="1355" spans="1:23">
      <c r="A1355" s="90" t="str">
        <f t="shared" si="102"/>
        <v/>
      </c>
      <c r="R1355" s="97">
        <f t="shared" si="103"/>
        <v>0</v>
      </c>
      <c r="T1355" s="98">
        <f t="shared" si="101"/>
        <v>0</v>
      </c>
      <c r="U1355" s="99" t="str">
        <f>IFERROR(IF(#REF!="S",VLOOKUP('Raw Data'!A1355,References!#REF!,2,FALSE),(VLOOKUP($S1355,References!$B$3:$C$8,2,FALSE))),"")</f>
        <v/>
      </c>
      <c r="V1355" s="99" t="str">
        <f t="shared" si="104"/>
        <v/>
      </c>
      <c r="W1355" s="66" t="str">
        <f>IFERROR(VLOOKUP($O1355,'Customer List'!$A$1:$J$488,10,FALSE),"")</f>
        <v/>
      </c>
    </row>
    <row r="1356" spans="1:23">
      <c r="A1356" s="90" t="str">
        <f t="shared" si="102"/>
        <v/>
      </c>
      <c r="R1356" s="97">
        <f t="shared" si="103"/>
        <v>0</v>
      </c>
      <c r="T1356" s="98">
        <f t="shared" si="101"/>
        <v>0</v>
      </c>
      <c r="U1356" s="99" t="str">
        <f>IFERROR(IF(#REF!="S",VLOOKUP('Raw Data'!A1356,References!#REF!,2,FALSE),(VLOOKUP($S1356,References!$B$3:$C$8,2,FALSE))),"")</f>
        <v/>
      </c>
      <c r="V1356" s="99" t="str">
        <f t="shared" si="104"/>
        <v/>
      </c>
      <c r="W1356" s="66" t="str">
        <f>IFERROR(VLOOKUP($O1356,'Customer List'!$A$1:$J$488,10,FALSE),"")</f>
        <v/>
      </c>
    </row>
    <row r="1357" spans="1:23">
      <c r="A1357" s="90" t="str">
        <f t="shared" si="102"/>
        <v/>
      </c>
      <c r="R1357" s="97">
        <f t="shared" si="103"/>
        <v>0</v>
      </c>
      <c r="T1357" s="98">
        <f t="shared" si="101"/>
        <v>0</v>
      </c>
      <c r="U1357" s="99" t="str">
        <f>IFERROR(IF(#REF!="S",VLOOKUP('Raw Data'!A1357,References!#REF!,2,FALSE),(VLOOKUP($S1357,References!$B$3:$C$8,2,FALSE))),"")</f>
        <v/>
      </c>
      <c r="V1357" s="99" t="str">
        <f t="shared" si="104"/>
        <v/>
      </c>
      <c r="W1357" s="66" t="str">
        <f>IFERROR(VLOOKUP($O1357,'Customer List'!$A$1:$J$488,10,FALSE),"")</f>
        <v/>
      </c>
    </row>
    <row r="1358" spans="1:23">
      <c r="A1358" s="90" t="str">
        <f t="shared" si="102"/>
        <v/>
      </c>
      <c r="R1358" s="97">
        <f t="shared" si="103"/>
        <v>0</v>
      </c>
      <c r="T1358" s="98">
        <f t="shared" si="101"/>
        <v>0</v>
      </c>
      <c r="U1358" s="99" t="str">
        <f>IFERROR(IF(#REF!="S",VLOOKUP('Raw Data'!A1358,References!#REF!,2,FALSE),(VLOOKUP($S1358,References!$B$3:$C$8,2,FALSE))),"")</f>
        <v/>
      </c>
      <c r="V1358" s="99" t="str">
        <f t="shared" si="104"/>
        <v/>
      </c>
      <c r="W1358" s="66" t="str">
        <f>IFERROR(VLOOKUP($O1358,'Customer List'!$A$1:$J$488,10,FALSE),"")</f>
        <v/>
      </c>
    </row>
    <row r="1359" spans="1:23">
      <c r="A1359" s="90" t="str">
        <f t="shared" si="102"/>
        <v/>
      </c>
      <c r="R1359" s="97">
        <f t="shared" si="103"/>
        <v>0</v>
      </c>
      <c r="T1359" s="98">
        <f t="shared" si="101"/>
        <v>0</v>
      </c>
      <c r="U1359" s="99" t="str">
        <f>IFERROR(IF(#REF!="S",VLOOKUP('Raw Data'!A1359,References!#REF!,2,FALSE),(VLOOKUP($S1359,References!$B$3:$C$8,2,FALSE))),"")</f>
        <v/>
      </c>
      <c r="V1359" s="99" t="str">
        <f t="shared" si="104"/>
        <v/>
      </c>
      <c r="W1359" s="66" t="str">
        <f>IFERROR(VLOOKUP($O1359,'Customer List'!$A$1:$J$488,10,FALSE),"")</f>
        <v/>
      </c>
    </row>
    <row r="1360" spans="1:23">
      <c r="A1360" s="90" t="str">
        <f t="shared" si="102"/>
        <v/>
      </c>
      <c r="R1360" s="97">
        <f t="shared" si="103"/>
        <v>0</v>
      </c>
      <c r="T1360" s="98">
        <f t="shared" ref="T1360:T1423" si="105">IF(S1360="50 - Cleaning Fee",1,HOUR($R1360)+MINUTE(R1360)/60)</f>
        <v>0</v>
      </c>
      <c r="U1360" s="99" t="str">
        <f>IFERROR(IF(#REF!="S",VLOOKUP('Raw Data'!A1360,References!#REF!,2,FALSE),(VLOOKUP($S1360,References!$B$3:$C$8,2,FALSE))),"")</f>
        <v/>
      </c>
      <c r="V1360" s="99" t="str">
        <f t="shared" si="104"/>
        <v/>
      </c>
      <c r="W1360" s="66" t="str">
        <f>IFERROR(VLOOKUP($O1360,'Customer List'!$A$1:$J$488,10,FALSE),"")</f>
        <v/>
      </c>
    </row>
    <row r="1361" spans="1:23">
      <c r="A1361" s="90" t="str">
        <f t="shared" si="102"/>
        <v/>
      </c>
      <c r="R1361" s="97">
        <f t="shared" si="103"/>
        <v>0</v>
      </c>
      <c r="T1361" s="98">
        <f t="shared" si="105"/>
        <v>0</v>
      </c>
      <c r="U1361" s="99" t="str">
        <f>IFERROR(IF(#REF!="S",VLOOKUP('Raw Data'!A1361,References!#REF!,2,FALSE),(VLOOKUP($S1361,References!$B$3:$C$8,2,FALSE))),"")</f>
        <v/>
      </c>
      <c r="V1361" s="99" t="str">
        <f t="shared" si="104"/>
        <v/>
      </c>
      <c r="W1361" s="66" t="str">
        <f>IFERROR(VLOOKUP($O1361,'Customer List'!$A$1:$J$488,10,FALSE),"")</f>
        <v/>
      </c>
    </row>
    <row r="1362" spans="1:23">
      <c r="A1362" s="90" t="str">
        <f t="shared" si="102"/>
        <v/>
      </c>
      <c r="R1362" s="97">
        <f t="shared" si="103"/>
        <v>0</v>
      </c>
      <c r="T1362" s="98">
        <f t="shared" si="105"/>
        <v>0</v>
      </c>
      <c r="U1362" s="99" t="str">
        <f>IFERROR(IF(#REF!="S",VLOOKUP('Raw Data'!A1362,References!#REF!,2,FALSE),(VLOOKUP($S1362,References!$B$3:$C$8,2,FALSE))),"")</f>
        <v/>
      </c>
      <c r="V1362" s="99" t="str">
        <f t="shared" si="104"/>
        <v/>
      </c>
      <c r="W1362" s="66" t="str">
        <f>IFERROR(VLOOKUP($O1362,'Customer List'!$A$1:$J$488,10,FALSE),"")</f>
        <v/>
      </c>
    </row>
    <row r="1363" spans="1:23">
      <c r="A1363" s="90" t="str">
        <f t="shared" si="102"/>
        <v/>
      </c>
      <c r="R1363" s="97">
        <f t="shared" si="103"/>
        <v>0</v>
      </c>
      <c r="T1363" s="98">
        <f t="shared" si="105"/>
        <v>0</v>
      </c>
      <c r="U1363" s="99" t="str">
        <f>IFERROR(IF(#REF!="S",VLOOKUP('Raw Data'!A1363,References!#REF!,2,FALSE),(VLOOKUP($S1363,References!$B$3:$C$8,2,FALSE))),"")</f>
        <v/>
      </c>
      <c r="V1363" s="99" t="str">
        <f t="shared" si="104"/>
        <v/>
      </c>
      <c r="W1363" s="66" t="str">
        <f>IFERROR(VLOOKUP($O1363,'Customer List'!$A$1:$J$488,10,FALSE),"")</f>
        <v/>
      </c>
    </row>
    <row r="1364" spans="1:23">
      <c r="A1364" s="90" t="str">
        <f t="shared" si="102"/>
        <v/>
      </c>
      <c r="R1364" s="97">
        <f t="shared" si="103"/>
        <v>0</v>
      </c>
      <c r="T1364" s="98">
        <f t="shared" si="105"/>
        <v>0</v>
      </c>
      <c r="U1364" s="99" t="str">
        <f>IFERROR(IF(#REF!="S",VLOOKUP('Raw Data'!A1364,References!#REF!,2,FALSE),(VLOOKUP($S1364,References!$B$3:$C$8,2,FALSE))),"")</f>
        <v/>
      </c>
      <c r="V1364" s="99" t="str">
        <f t="shared" si="104"/>
        <v/>
      </c>
      <c r="W1364" s="66" t="str">
        <f>IFERROR(VLOOKUP($O1364,'Customer List'!$A$1:$J$488,10,FALSE),"")</f>
        <v/>
      </c>
    </row>
    <row r="1365" spans="1:23">
      <c r="A1365" s="90" t="str">
        <f t="shared" si="102"/>
        <v/>
      </c>
      <c r="R1365" s="97">
        <f t="shared" si="103"/>
        <v>0</v>
      </c>
      <c r="T1365" s="98">
        <f t="shared" si="105"/>
        <v>0</v>
      </c>
      <c r="U1365" s="99" t="str">
        <f>IFERROR(IF(#REF!="S",VLOOKUP('Raw Data'!A1365,References!#REF!,2,FALSE),(VLOOKUP($S1365,References!$B$3:$C$8,2,FALSE))),"")</f>
        <v/>
      </c>
      <c r="V1365" s="99" t="str">
        <f t="shared" si="104"/>
        <v/>
      </c>
      <c r="W1365" s="66" t="str">
        <f>IFERROR(VLOOKUP($O1365,'Customer List'!$A$1:$J$488,10,FALSE),"")</f>
        <v/>
      </c>
    </row>
    <row r="1366" spans="1:23">
      <c r="A1366" s="90" t="str">
        <f t="shared" si="102"/>
        <v/>
      </c>
      <c r="R1366" s="97">
        <f t="shared" si="103"/>
        <v>0</v>
      </c>
      <c r="T1366" s="98">
        <f t="shared" si="105"/>
        <v>0</v>
      </c>
      <c r="U1366" s="99" t="str">
        <f>IFERROR(IF(#REF!="S",VLOOKUP('Raw Data'!A1366,References!#REF!,2,FALSE),(VLOOKUP($S1366,References!$B$3:$C$8,2,FALSE))),"")</f>
        <v/>
      </c>
      <c r="V1366" s="99" t="str">
        <f t="shared" si="104"/>
        <v/>
      </c>
      <c r="W1366" s="66" t="str">
        <f>IFERROR(VLOOKUP($O1366,'Customer List'!$A$1:$J$488,10,FALSE),"")</f>
        <v/>
      </c>
    </row>
    <row r="1367" spans="1:23">
      <c r="A1367" s="90" t="str">
        <f t="shared" si="102"/>
        <v/>
      </c>
      <c r="R1367" s="97">
        <f t="shared" si="103"/>
        <v>0</v>
      </c>
      <c r="T1367" s="98">
        <f t="shared" si="105"/>
        <v>0</v>
      </c>
      <c r="U1367" s="99" t="str">
        <f>IFERROR(IF(#REF!="S",VLOOKUP('Raw Data'!A1367,References!#REF!,2,FALSE),(VLOOKUP($S1367,References!$B$3:$C$8,2,FALSE))),"")</f>
        <v/>
      </c>
      <c r="V1367" s="99" t="str">
        <f t="shared" si="104"/>
        <v/>
      </c>
      <c r="W1367" s="66" t="str">
        <f>IFERROR(VLOOKUP($O1367,'Customer List'!$A$1:$J$488,10,FALSE),"")</f>
        <v/>
      </c>
    </row>
    <row r="1368" spans="1:23">
      <c r="A1368" s="90" t="str">
        <f t="shared" si="102"/>
        <v/>
      </c>
      <c r="R1368" s="97">
        <f t="shared" si="103"/>
        <v>0</v>
      </c>
      <c r="T1368" s="98">
        <f t="shared" si="105"/>
        <v>0</v>
      </c>
      <c r="U1368" s="99" t="str">
        <f>IFERROR(IF(#REF!="S",VLOOKUP('Raw Data'!A1368,References!#REF!,2,FALSE),(VLOOKUP($S1368,References!$B$3:$C$8,2,FALSE))),"")</f>
        <v/>
      </c>
      <c r="V1368" s="99" t="str">
        <f t="shared" si="104"/>
        <v/>
      </c>
      <c r="W1368" s="66" t="str">
        <f>IFERROR(VLOOKUP($O1368,'Customer List'!$A$1:$J$488,10,FALSE),"")</f>
        <v/>
      </c>
    </row>
    <row r="1369" spans="1:23">
      <c r="A1369" s="90" t="str">
        <f t="shared" si="102"/>
        <v/>
      </c>
      <c r="R1369" s="97">
        <f t="shared" si="103"/>
        <v>0</v>
      </c>
      <c r="T1369" s="98">
        <f t="shared" si="105"/>
        <v>0</v>
      </c>
      <c r="U1369" s="99" t="str">
        <f>IFERROR(IF(#REF!="S",VLOOKUP('Raw Data'!A1369,References!#REF!,2,FALSE),(VLOOKUP($S1369,References!$B$3:$C$8,2,FALSE))),"")</f>
        <v/>
      </c>
      <c r="V1369" s="99" t="str">
        <f t="shared" si="104"/>
        <v/>
      </c>
      <c r="W1369" s="66" t="str">
        <f>IFERROR(VLOOKUP($O1369,'Customer List'!$A$1:$J$488,10,FALSE),"")</f>
        <v/>
      </c>
    </row>
    <row r="1370" spans="1:23">
      <c r="A1370" s="90" t="str">
        <f t="shared" si="102"/>
        <v/>
      </c>
      <c r="R1370" s="97">
        <f t="shared" si="103"/>
        <v>0</v>
      </c>
      <c r="T1370" s="98">
        <f t="shared" si="105"/>
        <v>0</v>
      </c>
      <c r="U1370" s="99" t="str">
        <f>IFERROR(IF(#REF!="S",VLOOKUP('Raw Data'!A1370,References!#REF!,2,FALSE),(VLOOKUP($S1370,References!$B$3:$C$8,2,FALSE))),"")</f>
        <v/>
      </c>
      <c r="V1370" s="99" t="str">
        <f t="shared" si="104"/>
        <v/>
      </c>
      <c r="W1370" s="66" t="str">
        <f>IFERROR(VLOOKUP($O1370,'Customer List'!$A$1:$J$488,10,FALSE),"")</f>
        <v/>
      </c>
    </row>
    <row r="1371" spans="1:23">
      <c r="A1371" s="90" t="str">
        <f t="shared" si="102"/>
        <v/>
      </c>
      <c r="R1371" s="97">
        <f t="shared" si="103"/>
        <v>0</v>
      </c>
      <c r="T1371" s="98">
        <f t="shared" si="105"/>
        <v>0</v>
      </c>
      <c r="U1371" s="99" t="str">
        <f>IFERROR(IF(#REF!="S",VLOOKUP('Raw Data'!A1371,References!#REF!,2,FALSE),(VLOOKUP($S1371,References!$B$3:$C$8,2,FALSE))),"")</f>
        <v/>
      </c>
      <c r="V1371" s="99" t="str">
        <f t="shared" si="104"/>
        <v/>
      </c>
      <c r="W1371" s="66" t="str">
        <f>IFERROR(VLOOKUP($O1371,'Customer List'!$A$1:$J$488,10,FALSE),"")</f>
        <v/>
      </c>
    </row>
    <row r="1372" spans="1:23">
      <c r="A1372" s="90" t="str">
        <f t="shared" si="102"/>
        <v/>
      </c>
      <c r="R1372" s="97">
        <f t="shared" si="103"/>
        <v>0</v>
      </c>
      <c r="T1372" s="98">
        <f t="shared" si="105"/>
        <v>0</v>
      </c>
      <c r="U1372" s="99" t="str">
        <f>IFERROR(IF(#REF!="S",VLOOKUP('Raw Data'!A1372,References!#REF!,2,FALSE),(VLOOKUP($S1372,References!$B$3:$C$8,2,FALSE))),"")</f>
        <v/>
      </c>
      <c r="V1372" s="99" t="str">
        <f t="shared" si="104"/>
        <v/>
      </c>
      <c r="W1372" s="66" t="str">
        <f>IFERROR(VLOOKUP($O1372,'Customer List'!$A$1:$J$488,10,FALSE),"")</f>
        <v/>
      </c>
    </row>
    <row r="1373" spans="1:23">
      <c r="A1373" s="90" t="str">
        <f t="shared" si="102"/>
        <v/>
      </c>
      <c r="R1373" s="97">
        <f t="shared" si="103"/>
        <v>0</v>
      </c>
      <c r="T1373" s="98">
        <f t="shared" si="105"/>
        <v>0</v>
      </c>
      <c r="U1373" s="99" t="str">
        <f>IFERROR(IF(#REF!="S",VLOOKUP('Raw Data'!A1373,References!#REF!,2,FALSE),(VLOOKUP($S1373,References!$B$3:$C$8,2,FALSE))),"")</f>
        <v/>
      </c>
      <c r="V1373" s="99" t="str">
        <f t="shared" si="104"/>
        <v/>
      </c>
      <c r="W1373" s="66" t="str">
        <f>IFERROR(VLOOKUP($O1373,'Customer List'!$A$1:$J$488,10,FALSE),"")</f>
        <v/>
      </c>
    </row>
    <row r="1374" spans="1:23">
      <c r="A1374" s="90" t="str">
        <f t="shared" si="102"/>
        <v/>
      </c>
      <c r="R1374" s="97">
        <f t="shared" si="103"/>
        <v>0</v>
      </c>
      <c r="T1374" s="98">
        <f t="shared" si="105"/>
        <v>0</v>
      </c>
      <c r="U1374" s="99" t="str">
        <f>IFERROR(IF(#REF!="S",VLOOKUP('Raw Data'!A1374,References!#REF!,2,FALSE),(VLOOKUP($S1374,References!$B$3:$C$8,2,FALSE))),"")</f>
        <v/>
      </c>
      <c r="V1374" s="99" t="str">
        <f t="shared" si="104"/>
        <v/>
      </c>
      <c r="W1374" s="66" t="str">
        <f>IFERROR(VLOOKUP($O1374,'Customer List'!$A$1:$J$488,10,FALSE),"")</f>
        <v/>
      </c>
    </row>
    <row r="1375" spans="1:23">
      <c r="A1375" s="90" t="str">
        <f t="shared" si="102"/>
        <v/>
      </c>
      <c r="R1375" s="97">
        <f t="shared" si="103"/>
        <v>0</v>
      </c>
      <c r="T1375" s="98">
        <f t="shared" si="105"/>
        <v>0</v>
      </c>
      <c r="U1375" s="99" t="str">
        <f>IFERROR(IF(#REF!="S",VLOOKUP('Raw Data'!A1375,References!#REF!,2,FALSE),(VLOOKUP($S1375,References!$B$3:$C$8,2,FALSE))),"")</f>
        <v/>
      </c>
      <c r="V1375" s="99" t="str">
        <f t="shared" si="104"/>
        <v/>
      </c>
      <c r="W1375" s="66" t="str">
        <f>IFERROR(VLOOKUP($O1375,'Customer List'!$A$1:$J$488,10,FALSE),"")</f>
        <v/>
      </c>
    </row>
    <row r="1376" spans="1:23">
      <c r="A1376" s="90" t="str">
        <f t="shared" si="102"/>
        <v/>
      </c>
      <c r="R1376" s="97">
        <f t="shared" si="103"/>
        <v>0</v>
      </c>
      <c r="T1376" s="98">
        <f t="shared" si="105"/>
        <v>0</v>
      </c>
      <c r="U1376" s="99" t="str">
        <f>IFERROR(IF(#REF!="S",VLOOKUP('Raw Data'!A1376,References!#REF!,2,FALSE),(VLOOKUP($S1376,References!$B$3:$C$8,2,FALSE))),"")</f>
        <v/>
      </c>
      <c r="V1376" s="99" t="str">
        <f t="shared" si="104"/>
        <v/>
      </c>
      <c r="W1376" s="66" t="str">
        <f>IFERROR(VLOOKUP($O1376,'Customer List'!$A$1:$J$488,10,FALSE),"")</f>
        <v/>
      </c>
    </row>
    <row r="1377" spans="1:23">
      <c r="A1377" s="90" t="str">
        <f t="shared" si="102"/>
        <v/>
      </c>
      <c r="R1377" s="97">
        <f t="shared" si="103"/>
        <v>0</v>
      </c>
      <c r="T1377" s="98">
        <f t="shared" si="105"/>
        <v>0</v>
      </c>
      <c r="U1377" s="99" t="str">
        <f>IFERROR(IF(#REF!="S",VLOOKUP('Raw Data'!A1377,References!#REF!,2,FALSE),(VLOOKUP($S1377,References!$B$3:$C$8,2,FALSE))),"")</f>
        <v/>
      </c>
      <c r="V1377" s="99" t="str">
        <f t="shared" si="104"/>
        <v/>
      </c>
      <c r="W1377" s="66" t="str">
        <f>IFERROR(VLOOKUP($O1377,'Customer List'!$A$1:$J$488,10,FALSE),"")</f>
        <v/>
      </c>
    </row>
    <row r="1378" spans="1:23">
      <c r="A1378" s="90" t="str">
        <f t="shared" si="102"/>
        <v/>
      </c>
      <c r="R1378" s="97">
        <f t="shared" si="103"/>
        <v>0</v>
      </c>
      <c r="T1378" s="98">
        <f t="shared" si="105"/>
        <v>0</v>
      </c>
      <c r="U1378" s="99" t="str">
        <f>IFERROR(IF(#REF!="S",VLOOKUP('Raw Data'!A1378,References!#REF!,2,FALSE),(VLOOKUP($S1378,References!$B$3:$C$8,2,FALSE))),"")</f>
        <v/>
      </c>
      <c r="V1378" s="99" t="str">
        <f t="shared" si="104"/>
        <v/>
      </c>
      <c r="W1378" s="66" t="str">
        <f>IFERROR(VLOOKUP($O1378,'Customer List'!$A$1:$J$488,10,FALSE),"")</f>
        <v/>
      </c>
    </row>
    <row r="1379" spans="1:23">
      <c r="A1379" s="90" t="str">
        <f t="shared" si="102"/>
        <v/>
      </c>
      <c r="R1379" s="97">
        <f t="shared" si="103"/>
        <v>0</v>
      </c>
      <c r="T1379" s="98">
        <f t="shared" si="105"/>
        <v>0</v>
      </c>
      <c r="U1379" s="99" t="str">
        <f>IFERROR(IF(#REF!="S",VLOOKUP('Raw Data'!A1379,References!#REF!,2,FALSE),(VLOOKUP($S1379,References!$B$3:$C$8,2,FALSE))),"")</f>
        <v/>
      </c>
      <c r="V1379" s="99" t="str">
        <f t="shared" si="104"/>
        <v/>
      </c>
      <c r="W1379" s="66" t="str">
        <f>IFERROR(VLOOKUP($O1379,'Customer List'!$A$1:$J$488,10,FALSE),"")</f>
        <v/>
      </c>
    </row>
    <row r="1380" spans="1:23">
      <c r="A1380" s="90" t="str">
        <f t="shared" si="102"/>
        <v/>
      </c>
      <c r="R1380" s="97">
        <f t="shared" si="103"/>
        <v>0</v>
      </c>
      <c r="T1380" s="98">
        <f t="shared" si="105"/>
        <v>0</v>
      </c>
      <c r="U1380" s="99" t="str">
        <f>IFERROR(IF(#REF!="S",VLOOKUP('Raw Data'!A1380,References!#REF!,2,FALSE),(VLOOKUP($S1380,References!$B$3:$C$8,2,FALSE))),"")</f>
        <v/>
      </c>
      <c r="V1380" s="99" t="str">
        <f t="shared" si="104"/>
        <v/>
      </c>
      <c r="W1380" s="66" t="str">
        <f>IFERROR(VLOOKUP($O1380,'Customer List'!$A$1:$J$488,10,FALSE),"")</f>
        <v/>
      </c>
    </row>
    <row r="1381" spans="1:23">
      <c r="A1381" s="90" t="str">
        <f t="shared" si="102"/>
        <v/>
      </c>
      <c r="R1381" s="97">
        <f t="shared" si="103"/>
        <v>0</v>
      </c>
      <c r="T1381" s="98">
        <f t="shared" si="105"/>
        <v>0</v>
      </c>
      <c r="U1381" s="99" t="str">
        <f>IFERROR(IF(#REF!="S",VLOOKUP('Raw Data'!A1381,References!#REF!,2,FALSE),(VLOOKUP($S1381,References!$B$3:$C$8,2,FALSE))),"")</f>
        <v/>
      </c>
      <c r="V1381" s="99" t="str">
        <f t="shared" si="104"/>
        <v/>
      </c>
      <c r="W1381" s="66" t="str">
        <f>IFERROR(VLOOKUP($O1381,'Customer List'!$A$1:$J$488,10,FALSE),"")</f>
        <v/>
      </c>
    </row>
    <row r="1382" spans="1:23">
      <c r="A1382" s="90" t="str">
        <f t="shared" si="102"/>
        <v/>
      </c>
      <c r="R1382" s="97">
        <f t="shared" si="103"/>
        <v>0</v>
      </c>
      <c r="T1382" s="98">
        <f t="shared" si="105"/>
        <v>0</v>
      </c>
      <c r="U1382" s="99" t="str">
        <f>IFERROR(IF(#REF!="S",VLOOKUP('Raw Data'!A1382,References!#REF!,2,FALSE),(VLOOKUP($S1382,References!$B$3:$C$8,2,FALSE))),"")</f>
        <v/>
      </c>
      <c r="V1382" s="99" t="str">
        <f t="shared" si="104"/>
        <v/>
      </c>
      <c r="W1382" s="66" t="str">
        <f>IFERROR(VLOOKUP($O1382,'Customer List'!$A$1:$J$488,10,FALSE),"")</f>
        <v/>
      </c>
    </row>
    <row r="1383" spans="1:23">
      <c r="A1383" s="90" t="str">
        <f t="shared" si="102"/>
        <v/>
      </c>
      <c r="R1383" s="97">
        <f t="shared" si="103"/>
        <v>0</v>
      </c>
      <c r="T1383" s="98">
        <f t="shared" si="105"/>
        <v>0</v>
      </c>
      <c r="U1383" s="99" t="str">
        <f>IFERROR(IF(#REF!="S",VLOOKUP('Raw Data'!A1383,References!#REF!,2,FALSE),(VLOOKUP($S1383,References!$B$3:$C$8,2,FALSE))),"")</f>
        <v/>
      </c>
      <c r="V1383" s="99" t="str">
        <f t="shared" si="104"/>
        <v/>
      </c>
      <c r="W1383" s="66" t="str">
        <f>IFERROR(VLOOKUP($O1383,'Customer List'!$A$1:$J$488,10,FALSE),"")</f>
        <v/>
      </c>
    </row>
    <row r="1384" spans="1:23">
      <c r="A1384" s="90" t="str">
        <f t="shared" si="102"/>
        <v/>
      </c>
      <c r="R1384" s="97">
        <f t="shared" si="103"/>
        <v>0</v>
      </c>
      <c r="T1384" s="98">
        <f t="shared" si="105"/>
        <v>0</v>
      </c>
      <c r="U1384" s="99" t="str">
        <f>IFERROR(IF(#REF!="S",VLOOKUP('Raw Data'!A1384,References!#REF!,2,FALSE),(VLOOKUP($S1384,References!$B$3:$C$8,2,FALSE))),"")</f>
        <v/>
      </c>
      <c r="V1384" s="99" t="str">
        <f t="shared" si="104"/>
        <v/>
      </c>
      <c r="W1384" s="66" t="str">
        <f>IFERROR(VLOOKUP($O1384,'Customer List'!$A$1:$J$488,10,FALSE),"")</f>
        <v/>
      </c>
    </row>
    <row r="1385" spans="1:23">
      <c r="A1385" s="90" t="str">
        <f t="shared" si="102"/>
        <v/>
      </c>
      <c r="R1385" s="97">
        <f t="shared" si="103"/>
        <v>0</v>
      </c>
      <c r="T1385" s="98">
        <f t="shared" si="105"/>
        <v>0</v>
      </c>
      <c r="U1385" s="99" t="str">
        <f>IFERROR(IF(#REF!="S",VLOOKUP('Raw Data'!A1385,References!#REF!,2,FALSE),(VLOOKUP($S1385,References!$B$3:$C$8,2,FALSE))),"")</f>
        <v/>
      </c>
      <c r="V1385" s="99" t="str">
        <f t="shared" si="104"/>
        <v/>
      </c>
      <c r="W1385" s="66" t="str">
        <f>IFERROR(VLOOKUP($O1385,'Customer List'!$A$1:$J$488,10,FALSE),"")</f>
        <v/>
      </c>
    </row>
    <row r="1386" spans="1:23">
      <c r="A1386" s="90" t="str">
        <f t="shared" si="102"/>
        <v/>
      </c>
      <c r="R1386" s="97">
        <f t="shared" si="103"/>
        <v>0</v>
      </c>
      <c r="T1386" s="98">
        <f t="shared" si="105"/>
        <v>0</v>
      </c>
      <c r="U1386" s="99" t="str">
        <f>IFERROR(IF(#REF!="S",VLOOKUP('Raw Data'!A1386,References!#REF!,2,FALSE),(VLOOKUP($S1386,References!$B$3:$C$8,2,FALSE))),"")</f>
        <v/>
      </c>
      <c r="V1386" s="99" t="str">
        <f t="shared" si="104"/>
        <v/>
      </c>
      <c r="W1386" s="66" t="str">
        <f>IFERROR(VLOOKUP($O1386,'Customer List'!$A$1:$J$488,10,FALSE),"")</f>
        <v/>
      </c>
    </row>
    <row r="1387" spans="1:23">
      <c r="A1387" s="90" t="str">
        <f t="shared" si="102"/>
        <v/>
      </c>
      <c r="R1387" s="97">
        <f t="shared" si="103"/>
        <v>0</v>
      </c>
      <c r="T1387" s="98">
        <f t="shared" si="105"/>
        <v>0</v>
      </c>
      <c r="U1387" s="99" t="str">
        <f>IFERROR(IF(#REF!="S",VLOOKUP('Raw Data'!A1387,References!#REF!,2,FALSE),(VLOOKUP($S1387,References!$B$3:$C$8,2,FALSE))),"")</f>
        <v/>
      </c>
      <c r="V1387" s="99" t="str">
        <f t="shared" si="104"/>
        <v/>
      </c>
      <c r="W1387" s="66" t="str">
        <f>IFERROR(VLOOKUP($O1387,'Customer List'!$A$1:$J$488,10,FALSE),"")</f>
        <v/>
      </c>
    </row>
    <row r="1388" spans="1:23">
      <c r="A1388" s="90" t="str">
        <f t="shared" ref="A1388:A1406" si="106">O1388&amp;S1388</f>
        <v/>
      </c>
      <c r="R1388" s="97">
        <f t="shared" ref="R1388:R1451" si="107">L1388-K1388</f>
        <v>0</v>
      </c>
      <c r="T1388" s="98">
        <f t="shared" si="105"/>
        <v>0</v>
      </c>
      <c r="U1388" s="99" t="str">
        <f>IFERROR(IF(#REF!="S",VLOOKUP('Raw Data'!A1388,References!#REF!,2,FALSE),(VLOOKUP($S1388,References!$B$3:$C$8,2,FALSE))),"")</f>
        <v/>
      </c>
      <c r="V1388" s="99" t="str">
        <f t="shared" si="104"/>
        <v/>
      </c>
      <c r="W1388" s="66" t="str">
        <f>IFERROR(VLOOKUP($O1388,'Customer List'!$A$1:$J$488,10,FALSE),"")</f>
        <v/>
      </c>
    </row>
    <row r="1389" spans="1:23">
      <c r="A1389" s="90" t="str">
        <f t="shared" si="106"/>
        <v/>
      </c>
      <c r="R1389" s="97">
        <f t="shared" si="107"/>
        <v>0</v>
      </c>
      <c r="T1389" s="98">
        <f t="shared" si="105"/>
        <v>0</v>
      </c>
      <c r="U1389" s="99" t="str">
        <f>IFERROR(IF(#REF!="S",VLOOKUP('Raw Data'!A1389,References!#REF!,2,FALSE),(VLOOKUP($S1389,References!$B$3:$C$8,2,FALSE))),"")</f>
        <v/>
      </c>
      <c r="V1389" s="99" t="str">
        <f t="shared" si="104"/>
        <v/>
      </c>
      <c r="W1389" s="66" t="str">
        <f>IFERROR(VLOOKUP($O1389,'Customer List'!$A$1:$J$488,10,FALSE),"")</f>
        <v/>
      </c>
    </row>
    <row r="1390" spans="1:23">
      <c r="A1390" s="90" t="str">
        <f t="shared" si="106"/>
        <v/>
      </c>
      <c r="R1390" s="97">
        <f t="shared" si="107"/>
        <v>0</v>
      </c>
      <c r="T1390" s="98">
        <f t="shared" si="105"/>
        <v>0</v>
      </c>
      <c r="U1390" s="99" t="str">
        <f>IFERROR(IF(#REF!="S",VLOOKUP('Raw Data'!A1390,References!#REF!,2,FALSE),(VLOOKUP($S1390,References!$B$3:$C$8,2,FALSE))),"")</f>
        <v/>
      </c>
      <c r="V1390" s="99" t="str">
        <f t="shared" ref="V1390:V1453" si="108">IFERROR(T1390*U1390,"")</f>
        <v/>
      </c>
      <c r="W1390" s="66" t="str">
        <f>IFERROR(VLOOKUP($O1390,'Customer List'!$A$1:$J$488,10,FALSE),"")</f>
        <v/>
      </c>
    </row>
    <row r="1391" spans="1:23">
      <c r="A1391" s="90" t="str">
        <f t="shared" si="106"/>
        <v/>
      </c>
      <c r="R1391" s="97">
        <f t="shared" si="107"/>
        <v>0</v>
      </c>
      <c r="T1391" s="98">
        <f t="shared" si="105"/>
        <v>0</v>
      </c>
      <c r="U1391" s="99" t="str">
        <f>IFERROR(IF(#REF!="S",VLOOKUP('Raw Data'!A1391,References!#REF!,2,FALSE),(VLOOKUP($S1391,References!$B$3:$C$8,2,FALSE))),"")</f>
        <v/>
      </c>
      <c r="V1391" s="99" t="str">
        <f t="shared" si="108"/>
        <v/>
      </c>
      <c r="W1391" s="66" t="str">
        <f>IFERROR(VLOOKUP($O1391,'Customer List'!$A$1:$J$488,10,FALSE),"")</f>
        <v/>
      </c>
    </row>
    <row r="1392" spans="1:23">
      <c r="A1392" s="90" t="str">
        <f t="shared" si="106"/>
        <v/>
      </c>
      <c r="R1392" s="97">
        <f t="shared" si="107"/>
        <v>0</v>
      </c>
      <c r="T1392" s="98">
        <f t="shared" si="105"/>
        <v>0</v>
      </c>
      <c r="U1392" s="99" t="str">
        <f>IFERROR(IF(#REF!="S",VLOOKUP('Raw Data'!A1392,References!#REF!,2,FALSE),(VLOOKUP($S1392,References!$B$3:$C$8,2,FALSE))),"")</f>
        <v/>
      </c>
      <c r="V1392" s="99" t="str">
        <f t="shared" si="108"/>
        <v/>
      </c>
      <c r="W1392" s="66" t="str">
        <f>IFERROR(VLOOKUP($O1392,'Customer List'!$A$1:$J$488,10,FALSE),"")</f>
        <v/>
      </c>
    </row>
    <row r="1393" spans="1:23">
      <c r="A1393" s="90" t="str">
        <f t="shared" si="106"/>
        <v/>
      </c>
      <c r="R1393" s="97">
        <f t="shared" si="107"/>
        <v>0</v>
      </c>
      <c r="T1393" s="98">
        <f t="shared" si="105"/>
        <v>0</v>
      </c>
      <c r="U1393" s="99" t="str">
        <f>IFERROR(IF(#REF!="S",VLOOKUP('Raw Data'!A1393,References!#REF!,2,FALSE),(VLOOKUP($S1393,References!$B$3:$C$8,2,FALSE))),"")</f>
        <v/>
      </c>
      <c r="V1393" s="99" t="str">
        <f t="shared" si="108"/>
        <v/>
      </c>
      <c r="W1393" s="66" t="str">
        <f>IFERROR(VLOOKUP($O1393,'Customer List'!$A$1:$J$488,10,FALSE),"")</f>
        <v/>
      </c>
    </row>
    <row r="1394" spans="1:23">
      <c r="A1394" s="90" t="str">
        <f t="shared" si="106"/>
        <v/>
      </c>
      <c r="R1394" s="97">
        <f t="shared" si="107"/>
        <v>0</v>
      </c>
      <c r="T1394" s="98">
        <f t="shared" si="105"/>
        <v>0</v>
      </c>
      <c r="U1394" s="99" t="str">
        <f>IFERROR(IF(#REF!="S",VLOOKUP('Raw Data'!A1394,References!#REF!,2,FALSE),(VLOOKUP($S1394,References!$B$3:$C$8,2,FALSE))),"")</f>
        <v/>
      </c>
      <c r="V1394" s="99" t="str">
        <f t="shared" si="108"/>
        <v/>
      </c>
      <c r="W1394" s="66" t="str">
        <f>IFERROR(VLOOKUP($O1394,'Customer List'!$A$1:$J$488,10,FALSE),"")</f>
        <v/>
      </c>
    </row>
    <row r="1395" spans="1:23">
      <c r="A1395" s="90" t="str">
        <f t="shared" si="106"/>
        <v/>
      </c>
      <c r="R1395" s="97">
        <f t="shared" si="107"/>
        <v>0</v>
      </c>
      <c r="T1395" s="98">
        <f t="shared" si="105"/>
        <v>0</v>
      </c>
      <c r="U1395" s="99" t="str">
        <f>IFERROR(IF(#REF!="S",VLOOKUP('Raw Data'!A1395,References!#REF!,2,FALSE),(VLOOKUP($S1395,References!$B$3:$C$8,2,FALSE))),"")</f>
        <v/>
      </c>
      <c r="V1395" s="99" t="str">
        <f t="shared" si="108"/>
        <v/>
      </c>
      <c r="W1395" s="66" t="str">
        <f>IFERROR(VLOOKUP($O1395,'Customer List'!$A$1:$J$488,10,FALSE),"")</f>
        <v/>
      </c>
    </row>
    <row r="1396" spans="1:23">
      <c r="A1396" s="90" t="str">
        <f t="shared" si="106"/>
        <v/>
      </c>
      <c r="R1396" s="97">
        <f t="shared" si="107"/>
        <v>0</v>
      </c>
      <c r="T1396" s="98">
        <f t="shared" si="105"/>
        <v>0</v>
      </c>
      <c r="U1396" s="99" t="str">
        <f>IFERROR(IF(#REF!="S",VLOOKUP('Raw Data'!A1396,References!#REF!,2,FALSE),(VLOOKUP($S1396,References!$B$3:$C$8,2,FALSE))),"")</f>
        <v/>
      </c>
      <c r="V1396" s="99" t="str">
        <f t="shared" si="108"/>
        <v/>
      </c>
      <c r="W1396" s="66" t="str">
        <f>IFERROR(VLOOKUP($O1396,'Customer List'!$A$1:$J$488,10,FALSE),"")</f>
        <v/>
      </c>
    </row>
    <row r="1397" spans="1:23">
      <c r="A1397" s="90" t="str">
        <f t="shared" si="106"/>
        <v/>
      </c>
      <c r="R1397" s="97">
        <f t="shared" si="107"/>
        <v>0</v>
      </c>
      <c r="T1397" s="98">
        <f t="shared" si="105"/>
        <v>0</v>
      </c>
      <c r="U1397" s="99" t="str">
        <f>IFERROR(IF(#REF!="S",VLOOKUP('Raw Data'!A1397,References!#REF!,2,FALSE),(VLOOKUP($S1397,References!$B$3:$C$8,2,FALSE))),"")</f>
        <v/>
      </c>
      <c r="V1397" s="99" t="str">
        <f t="shared" si="108"/>
        <v/>
      </c>
      <c r="W1397" s="66" t="str">
        <f>IFERROR(VLOOKUP($O1397,'Customer List'!$A$1:$J$488,10,FALSE),"")</f>
        <v/>
      </c>
    </row>
    <row r="1398" spans="1:23">
      <c r="A1398" s="90" t="str">
        <f t="shared" si="106"/>
        <v/>
      </c>
      <c r="R1398" s="97">
        <f t="shared" si="107"/>
        <v>0</v>
      </c>
      <c r="T1398" s="98">
        <f t="shared" si="105"/>
        <v>0</v>
      </c>
      <c r="U1398" s="99" t="str">
        <f>IFERROR(IF(#REF!="S",VLOOKUP('Raw Data'!A1398,References!#REF!,2,FALSE),(VLOOKUP($S1398,References!$B$3:$C$8,2,FALSE))),"")</f>
        <v/>
      </c>
      <c r="V1398" s="99" t="str">
        <f t="shared" si="108"/>
        <v/>
      </c>
      <c r="W1398" s="66" t="str">
        <f>IFERROR(VLOOKUP($O1398,'Customer List'!$A$1:$J$488,10,FALSE),"")</f>
        <v/>
      </c>
    </row>
    <row r="1399" spans="1:23">
      <c r="A1399" s="90" t="str">
        <f t="shared" si="106"/>
        <v/>
      </c>
      <c r="R1399" s="97">
        <f t="shared" si="107"/>
        <v>0</v>
      </c>
      <c r="T1399" s="98">
        <f t="shared" si="105"/>
        <v>0</v>
      </c>
      <c r="U1399" s="99" t="str">
        <f>IFERROR(IF(#REF!="S",VLOOKUP('Raw Data'!A1399,References!#REF!,2,FALSE),(VLOOKUP($S1399,References!$B$3:$C$8,2,FALSE))),"")</f>
        <v/>
      </c>
      <c r="V1399" s="99" t="str">
        <f t="shared" si="108"/>
        <v/>
      </c>
      <c r="W1399" s="66" t="str">
        <f>IFERROR(VLOOKUP($O1399,'Customer List'!$A$1:$J$488,10,FALSE),"")</f>
        <v/>
      </c>
    </row>
    <row r="1400" spans="1:23">
      <c r="A1400" s="90" t="str">
        <f t="shared" si="106"/>
        <v/>
      </c>
      <c r="R1400" s="97">
        <f t="shared" si="107"/>
        <v>0</v>
      </c>
      <c r="T1400" s="98">
        <f t="shared" si="105"/>
        <v>0</v>
      </c>
      <c r="U1400" s="99" t="str">
        <f>IFERROR(IF(#REF!="S",VLOOKUP('Raw Data'!A1400,References!#REF!,2,FALSE),(VLOOKUP($S1400,References!$B$3:$C$8,2,FALSE))),"")</f>
        <v/>
      </c>
      <c r="V1400" s="99" t="str">
        <f t="shared" si="108"/>
        <v/>
      </c>
      <c r="W1400" s="66" t="str">
        <f>IFERROR(VLOOKUP($O1400,'Customer List'!$A$1:$J$488,10,FALSE),"")</f>
        <v/>
      </c>
    </row>
    <row r="1401" spans="1:23">
      <c r="A1401" s="90" t="str">
        <f t="shared" si="106"/>
        <v/>
      </c>
      <c r="R1401" s="97">
        <f t="shared" si="107"/>
        <v>0</v>
      </c>
      <c r="T1401" s="98">
        <f t="shared" si="105"/>
        <v>0</v>
      </c>
      <c r="U1401" s="99" t="str">
        <f>IFERROR(IF(#REF!="S",VLOOKUP('Raw Data'!A1401,References!#REF!,2,FALSE),(VLOOKUP($S1401,References!$B$3:$C$8,2,FALSE))),"")</f>
        <v/>
      </c>
      <c r="V1401" s="99" t="str">
        <f t="shared" si="108"/>
        <v/>
      </c>
      <c r="W1401" s="66" t="str">
        <f>IFERROR(VLOOKUP($O1401,'Customer List'!$A$1:$J$488,10,FALSE),"")</f>
        <v/>
      </c>
    </row>
    <row r="1402" spans="1:23">
      <c r="A1402" s="90" t="str">
        <f t="shared" si="106"/>
        <v/>
      </c>
      <c r="R1402" s="97">
        <f t="shared" si="107"/>
        <v>0</v>
      </c>
      <c r="T1402" s="98">
        <f t="shared" si="105"/>
        <v>0</v>
      </c>
      <c r="U1402" s="99" t="str">
        <f>IFERROR(IF(#REF!="S",VLOOKUP('Raw Data'!A1402,References!#REF!,2,FALSE),(VLOOKUP($S1402,References!$B$3:$C$8,2,FALSE))),"")</f>
        <v/>
      </c>
      <c r="V1402" s="99" t="str">
        <f t="shared" si="108"/>
        <v/>
      </c>
      <c r="W1402" s="66" t="str">
        <f>IFERROR(VLOOKUP($O1402,'Customer List'!$A$1:$J$488,10,FALSE),"")</f>
        <v/>
      </c>
    </row>
    <row r="1403" spans="1:23">
      <c r="A1403" s="90" t="str">
        <f t="shared" si="106"/>
        <v/>
      </c>
      <c r="R1403" s="97">
        <f t="shared" si="107"/>
        <v>0</v>
      </c>
      <c r="T1403" s="98">
        <f t="shared" si="105"/>
        <v>0</v>
      </c>
      <c r="U1403" s="99" t="str">
        <f>IFERROR(IF(#REF!="S",VLOOKUP('Raw Data'!A1403,References!#REF!,2,FALSE),(VLOOKUP($S1403,References!$B$3:$C$8,2,FALSE))),"")</f>
        <v/>
      </c>
      <c r="V1403" s="99" t="str">
        <f t="shared" si="108"/>
        <v/>
      </c>
      <c r="W1403" s="66" t="str">
        <f>IFERROR(VLOOKUP($O1403,'Customer List'!$A$1:$J$488,10,FALSE),"")</f>
        <v/>
      </c>
    </row>
    <row r="1404" spans="1:23">
      <c r="A1404" s="90" t="str">
        <f t="shared" si="106"/>
        <v/>
      </c>
      <c r="R1404" s="97">
        <f t="shared" si="107"/>
        <v>0</v>
      </c>
      <c r="T1404" s="98">
        <f t="shared" si="105"/>
        <v>0</v>
      </c>
      <c r="U1404" s="99" t="str">
        <f>IFERROR(IF(#REF!="S",VLOOKUP('Raw Data'!A1404,References!#REF!,2,FALSE),(VLOOKUP($S1404,References!$B$3:$C$8,2,FALSE))),"")</f>
        <v/>
      </c>
      <c r="V1404" s="99" t="str">
        <f t="shared" si="108"/>
        <v/>
      </c>
      <c r="W1404" s="66" t="str">
        <f>IFERROR(VLOOKUP($O1404,'Customer List'!$A$1:$J$488,10,FALSE),"")</f>
        <v/>
      </c>
    </row>
    <row r="1405" spans="1:23">
      <c r="A1405" s="90" t="str">
        <f t="shared" si="106"/>
        <v/>
      </c>
      <c r="R1405" s="97">
        <f t="shared" si="107"/>
        <v>0</v>
      </c>
      <c r="T1405" s="98">
        <f t="shared" si="105"/>
        <v>0</v>
      </c>
      <c r="U1405" s="99" t="str">
        <f>IFERROR(IF(#REF!="S",VLOOKUP('Raw Data'!A1405,References!#REF!,2,FALSE),(VLOOKUP($S1405,References!$B$3:$C$8,2,FALSE))),"")</f>
        <v/>
      </c>
      <c r="V1405" s="99" t="str">
        <f t="shared" si="108"/>
        <v/>
      </c>
      <c r="W1405" s="66" t="str">
        <f>IFERROR(VLOOKUP($O1405,'Customer List'!$A$1:$J$488,10,FALSE),"")</f>
        <v/>
      </c>
    </row>
    <row r="1406" spans="1:23">
      <c r="A1406" s="90" t="str">
        <f t="shared" si="106"/>
        <v/>
      </c>
      <c r="R1406" s="97">
        <f t="shared" si="107"/>
        <v>0</v>
      </c>
      <c r="T1406" s="98">
        <f t="shared" si="105"/>
        <v>0</v>
      </c>
      <c r="U1406" s="99" t="str">
        <f>IFERROR(IF(#REF!="S",VLOOKUP('Raw Data'!A1406,References!#REF!,2,FALSE),(VLOOKUP($S1406,References!$B$3:$C$8,2,FALSE))),"")</f>
        <v/>
      </c>
      <c r="V1406" s="99" t="str">
        <f t="shared" si="108"/>
        <v/>
      </c>
      <c r="W1406" s="66" t="str">
        <f>IFERROR(VLOOKUP($O1406,'Customer List'!$A$1:$J$488,10,FALSE),"")</f>
        <v/>
      </c>
    </row>
    <row r="1407" spans="1:23">
      <c r="R1407" s="97">
        <f t="shared" si="107"/>
        <v>0</v>
      </c>
      <c r="T1407" s="98">
        <f t="shared" si="105"/>
        <v>0</v>
      </c>
      <c r="U1407" s="99" t="str">
        <f>IFERROR(IF(#REF!="S",VLOOKUP('Raw Data'!A1407,References!#REF!,2,FALSE),(VLOOKUP($S1407,References!$B$3:$C$8,2,FALSE))),"")</f>
        <v/>
      </c>
      <c r="V1407" s="99" t="str">
        <f t="shared" si="108"/>
        <v/>
      </c>
      <c r="W1407" s="66" t="str">
        <f>IFERROR(VLOOKUP($O1407,'Customer List'!$A$1:$J$488,10,FALSE),"")</f>
        <v/>
      </c>
    </row>
    <row r="1408" spans="1:23">
      <c r="R1408" s="97">
        <f t="shared" si="107"/>
        <v>0</v>
      </c>
      <c r="T1408" s="98">
        <f t="shared" si="105"/>
        <v>0</v>
      </c>
      <c r="U1408" s="99" t="str">
        <f>IFERROR(IF(#REF!="S",VLOOKUP('Raw Data'!A1408,References!#REF!,2,FALSE),(VLOOKUP($S1408,References!$B$3:$C$8,2,FALSE))),"")</f>
        <v/>
      </c>
      <c r="V1408" s="99" t="str">
        <f t="shared" si="108"/>
        <v/>
      </c>
      <c r="W1408" s="66" t="str">
        <f>IFERROR(VLOOKUP($O1408,'Customer List'!$A$1:$J$488,10,FALSE),"")</f>
        <v/>
      </c>
    </row>
    <row r="1409" spans="18:23">
      <c r="R1409" s="97">
        <f t="shared" si="107"/>
        <v>0</v>
      </c>
      <c r="T1409" s="98">
        <f t="shared" si="105"/>
        <v>0</v>
      </c>
      <c r="U1409" s="99" t="str">
        <f>IFERROR(IF(#REF!="S",VLOOKUP('Raw Data'!A1409,References!#REF!,2,FALSE),(VLOOKUP($S1409,References!$B$3:$C$8,2,FALSE))),"")</f>
        <v/>
      </c>
      <c r="V1409" s="99" t="str">
        <f t="shared" si="108"/>
        <v/>
      </c>
      <c r="W1409" s="66" t="str">
        <f>IFERROR(VLOOKUP($O1409,'Customer List'!$A$1:$J$488,10,FALSE),"")</f>
        <v/>
      </c>
    </row>
    <row r="1410" spans="18:23">
      <c r="R1410" s="97">
        <f t="shared" si="107"/>
        <v>0</v>
      </c>
      <c r="T1410" s="98">
        <f t="shared" si="105"/>
        <v>0</v>
      </c>
      <c r="U1410" s="99" t="str">
        <f>IFERROR(IF(#REF!="S",VLOOKUP('Raw Data'!A1410,References!#REF!,2,FALSE),(VLOOKUP($S1410,References!$B$3:$C$8,2,FALSE))),"")</f>
        <v/>
      </c>
      <c r="V1410" s="99" t="str">
        <f t="shared" si="108"/>
        <v/>
      </c>
      <c r="W1410" s="66" t="str">
        <f>IFERROR(VLOOKUP($O1410,'Customer List'!$A$1:$J$488,10,FALSE),"")</f>
        <v/>
      </c>
    </row>
    <row r="1411" spans="18:23">
      <c r="R1411" s="97">
        <f t="shared" si="107"/>
        <v>0</v>
      </c>
      <c r="T1411" s="98">
        <f t="shared" si="105"/>
        <v>0</v>
      </c>
      <c r="U1411" s="99" t="str">
        <f>IFERROR(IF(#REF!="S",VLOOKUP('Raw Data'!A1411,References!#REF!,2,FALSE),(VLOOKUP($S1411,References!$B$3:$C$8,2,FALSE))),"")</f>
        <v/>
      </c>
      <c r="V1411" s="99" t="str">
        <f t="shared" si="108"/>
        <v/>
      </c>
      <c r="W1411" s="66" t="str">
        <f>IFERROR(VLOOKUP($O1411,'Customer List'!$A$1:$J$488,10,FALSE),"")</f>
        <v/>
      </c>
    </row>
    <row r="1412" spans="18:23">
      <c r="R1412" s="97">
        <f t="shared" si="107"/>
        <v>0</v>
      </c>
      <c r="T1412" s="98">
        <f t="shared" si="105"/>
        <v>0</v>
      </c>
      <c r="U1412" s="99" t="str">
        <f>IFERROR(IF(#REF!="S",VLOOKUP('Raw Data'!A1412,References!#REF!,2,FALSE),(VLOOKUP($S1412,References!$B$3:$C$8,2,FALSE))),"")</f>
        <v/>
      </c>
      <c r="V1412" s="99" t="str">
        <f t="shared" si="108"/>
        <v/>
      </c>
      <c r="W1412" s="66" t="str">
        <f>IFERROR(VLOOKUP($O1412,'Customer List'!$A$1:$J$488,10,FALSE),"")</f>
        <v/>
      </c>
    </row>
    <row r="1413" spans="18:23">
      <c r="R1413" s="97">
        <f t="shared" si="107"/>
        <v>0</v>
      </c>
      <c r="T1413" s="98">
        <f t="shared" si="105"/>
        <v>0</v>
      </c>
      <c r="U1413" s="99" t="str">
        <f>IFERROR(IF(#REF!="S",VLOOKUP('Raw Data'!A1413,References!#REF!,2,FALSE),(VLOOKUP($S1413,References!$B$3:$C$8,2,FALSE))),"")</f>
        <v/>
      </c>
      <c r="V1413" s="99" t="str">
        <f t="shared" si="108"/>
        <v/>
      </c>
      <c r="W1413" s="66" t="str">
        <f>IFERROR(VLOOKUP($O1413,'Customer List'!$A$1:$J$488,10,FALSE),"")</f>
        <v/>
      </c>
    </row>
    <row r="1414" spans="18:23">
      <c r="R1414" s="97">
        <f t="shared" si="107"/>
        <v>0</v>
      </c>
      <c r="T1414" s="98">
        <f t="shared" si="105"/>
        <v>0</v>
      </c>
      <c r="U1414" s="99" t="str">
        <f>IFERROR(IF(#REF!="S",VLOOKUP('Raw Data'!A1414,References!#REF!,2,FALSE),(VLOOKUP($S1414,References!$B$3:$C$8,2,FALSE))),"")</f>
        <v/>
      </c>
      <c r="V1414" s="99" t="str">
        <f t="shared" si="108"/>
        <v/>
      </c>
      <c r="W1414" s="66" t="str">
        <f>IFERROR(VLOOKUP($O1414,'Customer List'!$A$1:$J$488,10,FALSE),"")</f>
        <v/>
      </c>
    </row>
    <row r="1415" spans="18:23">
      <c r="R1415" s="97">
        <f t="shared" si="107"/>
        <v>0</v>
      </c>
      <c r="T1415" s="98">
        <f t="shared" si="105"/>
        <v>0</v>
      </c>
      <c r="U1415" s="99" t="str">
        <f>IFERROR(IF(#REF!="S",VLOOKUP('Raw Data'!A1415,References!#REF!,2,FALSE),(VLOOKUP($S1415,References!$B$3:$C$8,2,FALSE))),"")</f>
        <v/>
      </c>
      <c r="V1415" s="99" t="str">
        <f t="shared" si="108"/>
        <v/>
      </c>
      <c r="W1415" s="66" t="str">
        <f>IFERROR(VLOOKUP($O1415,'Customer List'!$A$1:$J$488,10,FALSE),"")</f>
        <v/>
      </c>
    </row>
    <row r="1416" spans="18:23">
      <c r="R1416" s="97">
        <f t="shared" si="107"/>
        <v>0</v>
      </c>
      <c r="T1416" s="98">
        <f t="shared" si="105"/>
        <v>0</v>
      </c>
      <c r="U1416" s="99" t="str">
        <f>IFERROR(IF(#REF!="S",VLOOKUP('Raw Data'!A1416,References!#REF!,2,FALSE),(VLOOKUP($S1416,References!$B$3:$C$8,2,FALSE))),"")</f>
        <v/>
      </c>
      <c r="V1416" s="99" t="str">
        <f t="shared" si="108"/>
        <v/>
      </c>
      <c r="W1416" s="66" t="str">
        <f>IFERROR(VLOOKUP($O1416,'Customer List'!$A$1:$J$488,10,FALSE),"")</f>
        <v/>
      </c>
    </row>
    <row r="1417" spans="18:23">
      <c r="R1417" s="97">
        <f t="shared" si="107"/>
        <v>0</v>
      </c>
      <c r="T1417" s="98">
        <f t="shared" si="105"/>
        <v>0</v>
      </c>
      <c r="U1417" s="99" t="str">
        <f>IFERROR(IF(#REF!="S",VLOOKUP('Raw Data'!A1417,References!#REF!,2,FALSE),(VLOOKUP($S1417,References!$B$3:$C$8,2,FALSE))),"")</f>
        <v/>
      </c>
      <c r="V1417" s="99" t="str">
        <f t="shared" si="108"/>
        <v/>
      </c>
      <c r="W1417" s="66" t="str">
        <f>IFERROR(VLOOKUP($O1417,'Customer List'!$A$1:$J$488,10,FALSE),"")</f>
        <v/>
      </c>
    </row>
    <row r="1418" spans="18:23">
      <c r="R1418" s="97">
        <f t="shared" si="107"/>
        <v>0</v>
      </c>
      <c r="T1418" s="98">
        <f t="shared" si="105"/>
        <v>0</v>
      </c>
      <c r="U1418" s="99" t="str">
        <f>IFERROR(IF(#REF!="S",VLOOKUP('Raw Data'!A1418,References!#REF!,2,FALSE),(VLOOKUP($S1418,References!$B$3:$C$8,2,FALSE))),"")</f>
        <v/>
      </c>
      <c r="V1418" s="99" t="str">
        <f t="shared" si="108"/>
        <v/>
      </c>
      <c r="W1418" s="66" t="str">
        <f>IFERROR(VLOOKUP($O1418,'Customer List'!$A$1:$J$488,10,FALSE),"")</f>
        <v/>
      </c>
    </row>
    <row r="1419" spans="18:23">
      <c r="R1419" s="97">
        <f t="shared" si="107"/>
        <v>0</v>
      </c>
      <c r="T1419" s="98">
        <f t="shared" si="105"/>
        <v>0</v>
      </c>
      <c r="U1419" s="99" t="str">
        <f>IFERROR(IF(#REF!="S",VLOOKUP('Raw Data'!A1419,References!#REF!,2,FALSE),(VLOOKUP($S1419,References!$B$3:$C$8,2,FALSE))),"")</f>
        <v/>
      </c>
      <c r="V1419" s="99" t="str">
        <f t="shared" si="108"/>
        <v/>
      </c>
      <c r="W1419" s="66" t="str">
        <f>IFERROR(VLOOKUP($O1419,'Customer List'!$A$1:$J$488,10,FALSE),"")</f>
        <v/>
      </c>
    </row>
    <row r="1420" spans="18:23">
      <c r="R1420" s="97">
        <f t="shared" si="107"/>
        <v>0</v>
      </c>
      <c r="T1420" s="98">
        <f t="shared" si="105"/>
        <v>0</v>
      </c>
      <c r="U1420" s="99" t="str">
        <f>IFERROR(IF(#REF!="S",VLOOKUP('Raw Data'!A1420,References!#REF!,2,FALSE),(VLOOKUP($S1420,References!$B$3:$C$8,2,FALSE))),"")</f>
        <v/>
      </c>
      <c r="V1420" s="99" t="str">
        <f t="shared" si="108"/>
        <v/>
      </c>
      <c r="W1420" s="66" t="str">
        <f>IFERROR(VLOOKUP($O1420,'Customer List'!$A$1:$J$488,10,FALSE),"")</f>
        <v/>
      </c>
    </row>
    <row r="1421" spans="18:23">
      <c r="R1421" s="97">
        <f t="shared" si="107"/>
        <v>0</v>
      </c>
      <c r="T1421" s="98">
        <f t="shared" si="105"/>
        <v>0</v>
      </c>
      <c r="U1421" s="99" t="str">
        <f>IFERROR(IF(#REF!="S",VLOOKUP('Raw Data'!A1421,References!#REF!,2,FALSE),(VLOOKUP($S1421,References!$B$3:$C$8,2,FALSE))),"")</f>
        <v/>
      </c>
      <c r="V1421" s="99" t="str">
        <f t="shared" si="108"/>
        <v/>
      </c>
      <c r="W1421" s="66" t="str">
        <f>IFERROR(VLOOKUP($O1421,'Customer List'!$A$1:$J$488,10,FALSE),"")</f>
        <v/>
      </c>
    </row>
    <row r="1422" spans="18:23">
      <c r="R1422" s="97">
        <f t="shared" si="107"/>
        <v>0</v>
      </c>
      <c r="T1422" s="98">
        <f t="shared" si="105"/>
        <v>0</v>
      </c>
      <c r="U1422" s="99" t="str">
        <f>IFERROR(IF(#REF!="S",VLOOKUP('Raw Data'!A1422,References!#REF!,2,FALSE),(VLOOKUP($S1422,References!$B$3:$C$8,2,FALSE))),"")</f>
        <v/>
      </c>
      <c r="V1422" s="99" t="str">
        <f t="shared" si="108"/>
        <v/>
      </c>
      <c r="W1422" s="66" t="str">
        <f>IFERROR(VLOOKUP($O1422,'Customer List'!$A$1:$J$488,10,FALSE),"")</f>
        <v/>
      </c>
    </row>
    <row r="1423" spans="18:23">
      <c r="R1423" s="97">
        <f t="shared" si="107"/>
        <v>0</v>
      </c>
      <c r="T1423" s="98">
        <f t="shared" si="105"/>
        <v>0</v>
      </c>
      <c r="U1423" s="99" t="str">
        <f>IFERROR(IF(#REF!="S",VLOOKUP('Raw Data'!A1423,References!#REF!,2,FALSE),(VLOOKUP($S1423,References!$B$3:$C$8,2,FALSE))),"")</f>
        <v/>
      </c>
      <c r="V1423" s="99" t="str">
        <f t="shared" si="108"/>
        <v/>
      </c>
      <c r="W1423" s="66" t="str">
        <f>IFERROR(VLOOKUP($O1423,'Customer List'!$A$1:$J$488,10,FALSE),"")</f>
        <v/>
      </c>
    </row>
    <row r="1424" spans="18:23">
      <c r="R1424" s="97">
        <f t="shared" si="107"/>
        <v>0</v>
      </c>
      <c r="T1424" s="98">
        <f t="shared" ref="T1424:T1487" si="109">IF(S1424="50 - Cleaning Fee",1,HOUR($R1424)+MINUTE(R1424)/60)</f>
        <v>0</v>
      </c>
      <c r="U1424" s="99" t="str">
        <f>IFERROR(IF(#REF!="S",VLOOKUP('Raw Data'!A1424,References!#REF!,2,FALSE),(VLOOKUP($S1424,References!$B$3:$C$8,2,FALSE))),"")</f>
        <v/>
      </c>
      <c r="V1424" s="99" t="str">
        <f t="shared" si="108"/>
        <v/>
      </c>
      <c r="W1424" s="66" t="str">
        <f>IFERROR(VLOOKUP($O1424,'Customer List'!$A$1:$J$488,10,FALSE),"")</f>
        <v/>
      </c>
    </row>
    <row r="1425" spans="18:23">
      <c r="R1425" s="97">
        <f t="shared" si="107"/>
        <v>0</v>
      </c>
      <c r="T1425" s="98">
        <f t="shared" si="109"/>
        <v>0</v>
      </c>
      <c r="U1425" s="99" t="str">
        <f>IFERROR(IF(#REF!="S",VLOOKUP('Raw Data'!A1425,References!#REF!,2,FALSE),(VLOOKUP($S1425,References!$B$3:$C$8,2,FALSE))),"")</f>
        <v/>
      </c>
      <c r="V1425" s="99" t="str">
        <f t="shared" si="108"/>
        <v/>
      </c>
      <c r="W1425" s="66" t="str">
        <f>IFERROR(VLOOKUP($O1425,'Customer List'!$A$1:$J$488,10,FALSE),"")</f>
        <v/>
      </c>
    </row>
    <row r="1426" spans="18:23">
      <c r="R1426" s="97">
        <f t="shared" si="107"/>
        <v>0</v>
      </c>
      <c r="T1426" s="98">
        <f t="shared" si="109"/>
        <v>0</v>
      </c>
      <c r="U1426" s="99" t="str">
        <f>IFERROR(IF(#REF!="S",VLOOKUP('Raw Data'!A1426,References!#REF!,2,FALSE),(VLOOKUP($S1426,References!$B$3:$C$8,2,FALSE))),"")</f>
        <v/>
      </c>
      <c r="V1426" s="99" t="str">
        <f t="shared" si="108"/>
        <v/>
      </c>
      <c r="W1426" s="66" t="str">
        <f>IFERROR(VLOOKUP($O1426,'Customer List'!$A$1:$J$488,10,FALSE),"")</f>
        <v/>
      </c>
    </row>
    <row r="1427" spans="18:23">
      <c r="R1427" s="97">
        <f t="shared" si="107"/>
        <v>0</v>
      </c>
      <c r="T1427" s="98">
        <f t="shared" si="109"/>
        <v>0</v>
      </c>
      <c r="U1427" s="99" t="str">
        <f>IFERROR(IF(#REF!="S",VLOOKUP('Raw Data'!A1427,References!#REF!,2,FALSE),(VLOOKUP($S1427,References!$B$3:$C$8,2,FALSE))),"")</f>
        <v/>
      </c>
      <c r="V1427" s="99" t="str">
        <f t="shared" si="108"/>
        <v/>
      </c>
      <c r="W1427" s="66" t="str">
        <f>IFERROR(VLOOKUP($O1427,'Customer List'!$A$1:$J$488,10,FALSE),"")</f>
        <v/>
      </c>
    </row>
    <row r="1428" spans="18:23">
      <c r="R1428" s="97">
        <f t="shared" si="107"/>
        <v>0</v>
      </c>
      <c r="T1428" s="98">
        <f t="shared" si="109"/>
        <v>0</v>
      </c>
      <c r="U1428" s="99" t="str">
        <f>IFERROR(IF(#REF!="S",VLOOKUP('Raw Data'!A1428,References!#REF!,2,FALSE),(VLOOKUP($S1428,References!$B$3:$C$8,2,FALSE))),"")</f>
        <v/>
      </c>
      <c r="V1428" s="99" t="str">
        <f t="shared" si="108"/>
        <v/>
      </c>
      <c r="W1428" s="66" t="str">
        <f>IFERROR(VLOOKUP($O1428,'Customer List'!$A$1:$J$488,10,FALSE),"")</f>
        <v/>
      </c>
    </row>
    <row r="1429" spans="18:23">
      <c r="R1429" s="97">
        <f t="shared" si="107"/>
        <v>0</v>
      </c>
      <c r="T1429" s="98">
        <f t="shared" si="109"/>
        <v>0</v>
      </c>
      <c r="U1429" s="99" t="str">
        <f>IFERROR(IF(#REF!="S",VLOOKUP('Raw Data'!A1429,References!#REF!,2,FALSE),(VLOOKUP($S1429,References!$B$3:$C$8,2,FALSE))),"")</f>
        <v/>
      </c>
      <c r="V1429" s="99" t="str">
        <f t="shared" si="108"/>
        <v/>
      </c>
      <c r="W1429" s="66" t="str">
        <f>IFERROR(VLOOKUP($O1429,'Customer List'!$A$1:$J$488,10,FALSE),"")</f>
        <v/>
      </c>
    </row>
    <row r="1430" spans="18:23">
      <c r="R1430" s="97">
        <f t="shared" si="107"/>
        <v>0</v>
      </c>
      <c r="T1430" s="98">
        <f t="shared" si="109"/>
        <v>0</v>
      </c>
      <c r="U1430" s="99" t="str">
        <f>IFERROR(IF(#REF!="S",VLOOKUP('Raw Data'!A1430,References!#REF!,2,FALSE),(VLOOKUP($S1430,References!$B$3:$C$8,2,FALSE))),"")</f>
        <v/>
      </c>
      <c r="V1430" s="99" t="str">
        <f t="shared" si="108"/>
        <v/>
      </c>
      <c r="W1430" s="66" t="str">
        <f>IFERROR(VLOOKUP($O1430,'Customer List'!$A$1:$J$488,10,FALSE),"")</f>
        <v/>
      </c>
    </row>
    <row r="1431" spans="18:23">
      <c r="R1431" s="97">
        <f t="shared" si="107"/>
        <v>0</v>
      </c>
      <c r="T1431" s="98">
        <f t="shared" si="109"/>
        <v>0</v>
      </c>
      <c r="U1431" s="99" t="str">
        <f>IFERROR(IF(#REF!="S",VLOOKUP('Raw Data'!A1431,References!#REF!,2,FALSE),(VLOOKUP($S1431,References!$B$3:$C$8,2,FALSE))),"")</f>
        <v/>
      </c>
      <c r="V1431" s="99" t="str">
        <f t="shared" si="108"/>
        <v/>
      </c>
      <c r="W1431" s="66" t="str">
        <f>IFERROR(VLOOKUP($O1431,'Customer List'!$A$1:$J$488,10,FALSE),"")</f>
        <v/>
      </c>
    </row>
    <row r="1432" spans="18:23">
      <c r="R1432" s="97">
        <f t="shared" si="107"/>
        <v>0</v>
      </c>
      <c r="T1432" s="98">
        <f t="shared" si="109"/>
        <v>0</v>
      </c>
      <c r="U1432" s="99" t="str">
        <f>IFERROR(IF(#REF!="S",VLOOKUP('Raw Data'!A1432,References!#REF!,2,FALSE),(VLOOKUP($S1432,References!$B$3:$C$8,2,FALSE))),"")</f>
        <v/>
      </c>
      <c r="V1432" s="99" t="str">
        <f t="shared" si="108"/>
        <v/>
      </c>
      <c r="W1432" s="66" t="str">
        <f>IFERROR(VLOOKUP($O1432,'Customer List'!$A$1:$J$488,10,FALSE),"")</f>
        <v/>
      </c>
    </row>
    <row r="1433" spans="18:23">
      <c r="R1433" s="97">
        <f t="shared" si="107"/>
        <v>0</v>
      </c>
      <c r="T1433" s="98">
        <f t="shared" si="109"/>
        <v>0</v>
      </c>
      <c r="U1433" s="99" t="str">
        <f>IFERROR(IF(#REF!="S",VLOOKUP('Raw Data'!A1433,References!#REF!,2,FALSE),(VLOOKUP($S1433,References!$B$3:$C$8,2,FALSE))),"")</f>
        <v/>
      </c>
      <c r="V1433" s="99" t="str">
        <f t="shared" si="108"/>
        <v/>
      </c>
      <c r="W1433" s="66" t="str">
        <f>IFERROR(VLOOKUP($O1433,'Customer List'!$A$1:$J$488,10,FALSE),"")</f>
        <v/>
      </c>
    </row>
    <row r="1434" spans="18:23">
      <c r="R1434" s="97">
        <f t="shared" si="107"/>
        <v>0</v>
      </c>
      <c r="T1434" s="98">
        <f t="shared" si="109"/>
        <v>0</v>
      </c>
      <c r="U1434" s="99" t="str">
        <f>IFERROR(IF(#REF!="S",VLOOKUP('Raw Data'!A1434,References!#REF!,2,FALSE),(VLOOKUP($S1434,References!$B$3:$C$8,2,FALSE))),"")</f>
        <v/>
      </c>
      <c r="V1434" s="99" t="str">
        <f t="shared" si="108"/>
        <v/>
      </c>
      <c r="W1434" s="66" t="str">
        <f>IFERROR(VLOOKUP($O1434,'Customer List'!$A$1:$J$488,10,FALSE),"")</f>
        <v/>
      </c>
    </row>
    <row r="1435" spans="18:23">
      <c r="R1435" s="97">
        <f t="shared" si="107"/>
        <v>0</v>
      </c>
      <c r="T1435" s="98">
        <f t="shared" si="109"/>
        <v>0</v>
      </c>
      <c r="U1435" s="99" t="str">
        <f>IFERROR(IF(#REF!="S",VLOOKUP('Raw Data'!A1435,References!#REF!,2,FALSE),(VLOOKUP($S1435,References!$B$3:$C$8,2,FALSE))),"")</f>
        <v/>
      </c>
      <c r="V1435" s="99" t="str">
        <f t="shared" si="108"/>
        <v/>
      </c>
      <c r="W1435" s="66" t="str">
        <f>IFERROR(VLOOKUP($O1435,'Customer List'!$A$1:$J$488,10,FALSE),"")</f>
        <v/>
      </c>
    </row>
    <row r="1436" spans="18:23">
      <c r="R1436" s="97">
        <f t="shared" si="107"/>
        <v>0</v>
      </c>
      <c r="T1436" s="98">
        <f t="shared" si="109"/>
        <v>0</v>
      </c>
      <c r="U1436" s="99" t="str">
        <f>IFERROR(IF(#REF!="S",VLOOKUP('Raw Data'!A1436,References!#REF!,2,FALSE),(VLOOKUP($S1436,References!$B$3:$C$8,2,FALSE))),"")</f>
        <v/>
      </c>
      <c r="V1436" s="99" t="str">
        <f t="shared" si="108"/>
        <v/>
      </c>
      <c r="W1436" s="66" t="str">
        <f>IFERROR(VLOOKUP($O1436,'Customer List'!$A$1:$J$488,10,FALSE),"")</f>
        <v/>
      </c>
    </row>
    <row r="1437" spans="18:23">
      <c r="R1437" s="97">
        <f t="shared" si="107"/>
        <v>0</v>
      </c>
      <c r="T1437" s="98">
        <f t="shared" si="109"/>
        <v>0</v>
      </c>
      <c r="U1437" s="99" t="str">
        <f>IFERROR(IF(#REF!="S",VLOOKUP('Raw Data'!A1437,References!#REF!,2,FALSE),(VLOOKUP($S1437,References!$B$3:$C$8,2,FALSE))),"")</f>
        <v/>
      </c>
      <c r="V1437" s="99" t="str">
        <f t="shared" si="108"/>
        <v/>
      </c>
      <c r="W1437" s="66" t="str">
        <f>IFERROR(VLOOKUP($O1437,'Customer List'!$A$1:$J$488,10,FALSE),"")</f>
        <v/>
      </c>
    </row>
    <row r="1438" spans="18:23">
      <c r="R1438" s="97">
        <f t="shared" si="107"/>
        <v>0</v>
      </c>
      <c r="T1438" s="98">
        <f t="shared" si="109"/>
        <v>0</v>
      </c>
      <c r="U1438" s="99" t="str">
        <f>IFERROR(IF(#REF!="S",VLOOKUP('Raw Data'!A1438,References!#REF!,2,FALSE),(VLOOKUP($S1438,References!$B$3:$C$8,2,FALSE))),"")</f>
        <v/>
      </c>
      <c r="V1438" s="99" t="str">
        <f t="shared" si="108"/>
        <v/>
      </c>
      <c r="W1438" s="66" t="str">
        <f>IFERROR(VLOOKUP($O1438,'Customer List'!$A$1:$J$488,10,FALSE),"")</f>
        <v/>
      </c>
    </row>
    <row r="1439" spans="18:23">
      <c r="R1439" s="97">
        <f t="shared" si="107"/>
        <v>0</v>
      </c>
      <c r="T1439" s="98">
        <f t="shared" si="109"/>
        <v>0</v>
      </c>
      <c r="U1439" s="99" t="str">
        <f>IFERROR(IF(#REF!="S",VLOOKUP('Raw Data'!A1439,References!#REF!,2,FALSE),(VLOOKUP($S1439,References!$B$3:$C$8,2,FALSE))),"")</f>
        <v/>
      </c>
      <c r="V1439" s="99" t="str">
        <f t="shared" si="108"/>
        <v/>
      </c>
      <c r="W1439" s="66" t="str">
        <f>IFERROR(VLOOKUP($O1439,'Customer List'!$A$1:$J$488,10,FALSE),"")</f>
        <v/>
      </c>
    </row>
    <row r="1440" spans="18:23">
      <c r="R1440" s="97">
        <f t="shared" si="107"/>
        <v>0</v>
      </c>
      <c r="T1440" s="98">
        <f t="shared" si="109"/>
        <v>0</v>
      </c>
      <c r="U1440" s="99" t="str">
        <f>IFERROR(IF(#REF!="S",VLOOKUP('Raw Data'!A1440,References!#REF!,2,FALSE),(VLOOKUP($S1440,References!$B$3:$C$8,2,FALSE))),"")</f>
        <v/>
      </c>
      <c r="V1440" s="99" t="str">
        <f t="shared" si="108"/>
        <v/>
      </c>
      <c r="W1440" s="66" t="str">
        <f>IFERROR(VLOOKUP($O1440,'Customer List'!$A$1:$J$488,10,FALSE),"")</f>
        <v/>
      </c>
    </row>
    <row r="1441" spans="18:23">
      <c r="R1441" s="97">
        <f t="shared" si="107"/>
        <v>0</v>
      </c>
      <c r="T1441" s="98">
        <f t="shared" si="109"/>
        <v>0</v>
      </c>
      <c r="U1441" s="99" t="str">
        <f>IFERROR(IF(#REF!="S",VLOOKUP('Raw Data'!A1441,References!#REF!,2,FALSE),(VLOOKUP($S1441,References!$B$3:$C$8,2,FALSE))),"")</f>
        <v/>
      </c>
      <c r="V1441" s="99" t="str">
        <f t="shared" si="108"/>
        <v/>
      </c>
      <c r="W1441" s="66" t="str">
        <f>IFERROR(VLOOKUP($O1441,'Customer List'!$A$1:$J$488,10,FALSE),"")</f>
        <v/>
      </c>
    </row>
    <row r="1442" spans="18:23">
      <c r="R1442" s="97">
        <f t="shared" si="107"/>
        <v>0</v>
      </c>
      <c r="T1442" s="98">
        <f t="shared" si="109"/>
        <v>0</v>
      </c>
      <c r="U1442" s="99" t="str">
        <f>IFERROR(IF(#REF!="S",VLOOKUP('Raw Data'!A1442,References!#REF!,2,FALSE),(VLOOKUP($S1442,References!$B$3:$C$8,2,FALSE))),"")</f>
        <v/>
      </c>
      <c r="V1442" s="99" t="str">
        <f t="shared" si="108"/>
        <v/>
      </c>
      <c r="W1442" s="66" t="str">
        <f>IFERROR(VLOOKUP($O1442,'Customer List'!$A$1:$J$488,10,FALSE),"")</f>
        <v/>
      </c>
    </row>
    <row r="1443" spans="18:23">
      <c r="R1443" s="97">
        <f t="shared" si="107"/>
        <v>0</v>
      </c>
      <c r="T1443" s="98">
        <f t="shared" si="109"/>
        <v>0</v>
      </c>
      <c r="U1443" s="99" t="str">
        <f>IFERROR(IF(#REF!="S",VLOOKUP('Raw Data'!A1443,References!#REF!,2,FALSE),(VLOOKUP($S1443,References!$B$3:$C$8,2,FALSE))),"")</f>
        <v/>
      </c>
      <c r="V1443" s="99" t="str">
        <f t="shared" si="108"/>
        <v/>
      </c>
      <c r="W1443" s="66" t="str">
        <f>IFERROR(VLOOKUP($O1443,'Customer List'!$A$1:$J$488,10,FALSE),"")</f>
        <v/>
      </c>
    </row>
    <row r="1444" spans="18:23">
      <c r="R1444" s="97">
        <f t="shared" si="107"/>
        <v>0</v>
      </c>
      <c r="T1444" s="98">
        <f t="shared" si="109"/>
        <v>0</v>
      </c>
      <c r="U1444" s="99" t="str">
        <f>IFERROR(IF(#REF!="S",VLOOKUP('Raw Data'!A1444,References!#REF!,2,FALSE),(VLOOKUP($S1444,References!$B$3:$C$8,2,FALSE))),"")</f>
        <v/>
      </c>
      <c r="V1444" s="99" t="str">
        <f t="shared" si="108"/>
        <v/>
      </c>
      <c r="W1444" s="66" t="str">
        <f>IFERROR(VLOOKUP($O1444,'Customer List'!$A$1:$J$488,10,FALSE),"")</f>
        <v/>
      </c>
    </row>
    <row r="1445" spans="18:23">
      <c r="R1445" s="97">
        <f t="shared" si="107"/>
        <v>0</v>
      </c>
      <c r="T1445" s="98">
        <f t="shared" si="109"/>
        <v>0</v>
      </c>
      <c r="U1445" s="99" t="str">
        <f>IFERROR(IF(#REF!="S",VLOOKUP('Raw Data'!A1445,References!#REF!,2,FALSE),(VLOOKUP($S1445,References!$B$3:$C$8,2,FALSE))),"")</f>
        <v/>
      </c>
      <c r="V1445" s="99" t="str">
        <f t="shared" si="108"/>
        <v/>
      </c>
      <c r="W1445" s="66" t="str">
        <f>IFERROR(VLOOKUP($O1445,'Customer List'!$A$1:$J$488,10,FALSE),"")</f>
        <v/>
      </c>
    </row>
    <row r="1446" spans="18:23">
      <c r="R1446" s="97">
        <f t="shared" si="107"/>
        <v>0</v>
      </c>
      <c r="T1446" s="98">
        <f t="shared" si="109"/>
        <v>0</v>
      </c>
      <c r="U1446" s="99" t="str">
        <f>IFERROR(IF(#REF!="S",VLOOKUP('Raw Data'!A1446,References!#REF!,2,FALSE),(VLOOKUP($S1446,References!$B$3:$C$8,2,FALSE))),"")</f>
        <v/>
      </c>
      <c r="V1446" s="99" t="str">
        <f t="shared" si="108"/>
        <v/>
      </c>
      <c r="W1446" s="66" t="str">
        <f>IFERROR(VLOOKUP($O1446,'Customer List'!$A$1:$J$488,10,FALSE),"")</f>
        <v/>
      </c>
    </row>
    <row r="1447" spans="18:23">
      <c r="R1447" s="97">
        <f t="shared" si="107"/>
        <v>0</v>
      </c>
      <c r="T1447" s="98">
        <f t="shared" si="109"/>
        <v>0</v>
      </c>
      <c r="U1447" s="99" t="str">
        <f>IFERROR(IF(#REF!="S",VLOOKUP('Raw Data'!A1447,References!#REF!,2,FALSE),(VLOOKUP($S1447,References!$B$3:$C$8,2,FALSE))),"")</f>
        <v/>
      </c>
      <c r="V1447" s="99" t="str">
        <f t="shared" si="108"/>
        <v/>
      </c>
      <c r="W1447" s="66" t="str">
        <f>IFERROR(VLOOKUP($O1447,'Customer List'!$A$1:$J$488,10,FALSE),"")</f>
        <v/>
      </c>
    </row>
    <row r="1448" spans="18:23">
      <c r="R1448" s="97">
        <f t="shared" si="107"/>
        <v>0</v>
      </c>
      <c r="T1448" s="98">
        <f t="shared" si="109"/>
        <v>0</v>
      </c>
      <c r="U1448" s="99" t="str">
        <f>IFERROR(IF(#REF!="S",VLOOKUP('Raw Data'!A1448,References!#REF!,2,FALSE),(VLOOKUP($S1448,References!$B$3:$C$8,2,FALSE))),"")</f>
        <v/>
      </c>
      <c r="V1448" s="99" t="str">
        <f t="shared" si="108"/>
        <v/>
      </c>
      <c r="W1448" s="66" t="str">
        <f>IFERROR(VLOOKUP($O1448,'Customer List'!$A$1:$J$488,10,FALSE),"")</f>
        <v/>
      </c>
    </row>
    <row r="1449" spans="18:23">
      <c r="R1449" s="97">
        <f t="shared" si="107"/>
        <v>0</v>
      </c>
      <c r="T1449" s="98">
        <f t="shared" si="109"/>
        <v>0</v>
      </c>
      <c r="U1449" s="99" t="str">
        <f>IFERROR(IF(#REF!="S",VLOOKUP('Raw Data'!A1449,References!#REF!,2,FALSE),(VLOOKUP($S1449,References!$B$3:$C$8,2,FALSE))),"")</f>
        <v/>
      </c>
      <c r="V1449" s="99" t="str">
        <f t="shared" si="108"/>
        <v/>
      </c>
      <c r="W1449" s="66" t="str">
        <f>IFERROR(VLOOKUP($O1449,'Customer List'!$A$1:$J$488,10,FALSE),"")</f>
        <v/>
      </c>
    </row>
    <row r="1450" spans="18:23">
      <c r="R1450" s="97">
        <f t="shared" si="107"/>
        <v>0</v>
      </c>
      <c r="T1450" s="98">
        <f t="shared" si="109"/>
        <v>0</v>
      </c>
      <c r="U1450" s="99" t="str">
        <f>IFERROR(IF(#REF!="S",VLOOKUP('Raw Data'!A1450,References!#REF!,2,FALSE),(VLOOKUP($S1450,References!$B$3:$C$8,2,FALSE))),"")</f>
        <v/>
      </c>
      <c r="V1450" s="99" t="str">
        <f t="shared" si="108"/>
        <v/>
      </c>
      <c r="W1450" s="66" t="str">
        <f>IFERROR(VLOOKUP($O1450,'Customer List'!$A$1:$J$488,10,FALSE),"")</f>
        <v/>
      </c>
    </row>
    <row r="1451" spans="18:23">
      <c r="R1451" s="97">
        <f t="shared" si="107"/>
        <v>0</v>
      </c>
      <c r="T1451" s="98">
        <f t="shared" si="109"/>
        <v>0</v>
      </c>
      <c r="U1451" s="99" t="str">
        <f>IFERROR(IF(#REF!="S",VLOOKUP('Raw Data'!A1451,References!#REF!,2,FALSE),(VLOOKUP($S1451,References!$B$3:$C$8,2,FALSE))),"")</f>
        <v/>
      </c>
      <c r="V1451" s="99" t="str">
        <f t="shared" si="108"/>
        <v/>
      </c>
      <c r="W1451" s="66" t="str">
        <f>IFERROR(VLOOKUP($O1451,'Customer List'!$A$1:$J$488,10,FALSE),"")</f>
        <v/>
      </c>
    </row>
    <row r="1452" spans="18:23">
      <c r="R1452" s="97">
        <f t="shared" ref="R1452:R1515" si="110">L1452-K1452</f>
        <v>0</v>
      </c>
      <c r="T1452" s="98">
        <f t="shared" si="109"/>
        <v>0</v>
      </c>
      <c r="U1452" s="99" t="str">
        <f>IFERROR(IF(#REF!="S",VLOOKUP('Raw Data'!A1452,References!#REF!,2,FALSE),(VLOOKUP($S1452,References!$B$3:$C$8,2,FALSE))),"")</f>
        <v/>
      </c>
      <c r="V1452" s="99" t="str">
        <f t="shared" si="108"/>
        <v/>
      </c>
      <c r="W1452" s="66" t="str">
        <f>IFERROR(VLOOKUP($O1452,'Customer List'!$A$1:$J$488,10,FALSE),"")</f>
        <v/>
      </c>
    </row>
    <row r="1453" spans="18:23">
      <c r="R1453" s="97">
        <f t="shared" si="110"/>
        <v>0</v>
      </c>
      <c r="T1453" s="98">
        <f t="shared" si="109"/>
        <v>0</v>
      </c>
      <c r="U1453" s="99" t="str">
        <f>IFERROR(IF(#REF!="S",VLOOKUP('Raw Data'!A1453,References!#REF!,2,FALSE),(VLOOKUP($S1453,References!$B$3:$C$8,2,FALSE))),"")</f>
        <v/>
      </c>
      <c r="V1453" s="99" t="str">
        <f t="shared" si="108"/>
        <v/>
      </c>
      <c r="W1453" s="66" t="str">
        <f>IFERROR(VLOOKUP($O1453,'Customer List'!$A$1:$J$488,10,FALSE),"")</f>
        <v/>
      </c>
    </row>
    <row r="1454" spans="18:23">
      <c r="R1454" s="97">
        <f t="shared" si="110"/>
        <v>0</v>
      </c>
      <c r="T1454" s="98">
        <f t="shared" si="109"/>
        <v>0</v>
      </c>
      <c r="U1454" s="99" t="str">
        <f>IFERROR(IF(#REF!="S",VLOOKUP('Raw Data'!A1454,References!#REF!,2,FALSE),(VLOOKUP($S1454,References!$B$3:$C$8,2,FALSE))),"")</f>
        <v/>
      </c>
      <c r="V1454" s="99" t="str">
        <f t="shared" ref="V1454:V1517" si="111">IFERROR(T1454*U1454,"")</f>
        <v/>
      </c>
      <c r="W1454" s="66" t="str">
        <f>IFERROR(VLOOKUP($O1454,'Customer List'!$A$1:$J$488,10,FALSE),"")</f>
        <v/>
      </c>
    </row>
    <row r="1455" spans="18:23">
      <c r="R1455" s="97">
        <f t="shared" si="110"/>
        <v>0</v>
      </c>
      <c r="T1455" s="98">
        <f t="shared" si="109"/>
        <v>0</v>
      </c>
      <c r="U1455" s="99" t="str">
        <f>IFERROR(IF(#REF!="S",VLOOKUP('Raw Data'!A1455,References!#REF!,2,FALSE),(VLOOKUP($S1455,References!$B$3:$C$8,2,FALSE))),"")</f>
        <v/>
      </c>
      <c r="V1455" s="99" t="str">
        <f t="shared" si="111"/>
        <v/>
      </c>
      <c r="W1455" s="66" t="str">
        <f>IFERROR(VLOOKUP($O1455,'Customer List'!$A$1:$J$488,10,FALSE),"")</f>
        <v/>
      </c>
    </row>
    <row r="1456" spans="18:23">
      <c r="R1456" s="97">
        <f t="shared" si="110"/>
        <v>0</v>
      </c>
      <c r="T1456" s="98">
        <f t="shared" si="109"/>
        <v>0</v>
      </c>
      <c r="U1456" s="99" t="str">
        <f>IFERROR(IF(#REF!="S",VLOOKUP('Raw Data'!A1456,References!#REF!,2,FALSE),(VLOOKUP($S1456,References!$B$3:$C$8,2,FALSE))),"")</f>
        <v/>
      </c>
      <c r="V1456" s="99" t="str">
        <f t="shared" si="111"/>
        <v/>
      </c>
      <c r="W1456" s="66" t="str">
        <f>IFERROR(VLOOKUP($O1456,'Customer List'!$A$1:$J$488,10,FALSE),"")</f>
        <v/>
      </c>
    </row>
    <row r="1457" spans="18:23">
      <c r="R1457" s="97">
        <f t="shared" si="110"/>
        <v>0</v>
      </c>
      <c r="T1457" s="98">
        <f t="shared" si="109"/>
        <v>0</v>
      </c>
      <c r="U1457" s="99" t="str">
        <f>IFERROR(IF(#REF!="S",VLOOKUP('Raw Data'!A1457,References!#REF!,2,FALSE),(VLOOKUP($S1457,References!$B$3:$C$8,2,FALSE))),"")</f>
        <v/>
      </c>
      <c r="V1457" s="99" t="str">
        <f t="shared" si="111"/>
        <v/>
      </c>
      <c r="W1457" s="66" t="str">
        <f>IFERROR(VLOOKUP($O1457,'Customer List'!$A$1:$J$488,10,FALSE),"")</f>
        <v/>
      </c>
    </row>
    <row r="1458" spans="18:23">
      <c r="R1458" s="97">
        <f t="shared" si="110"/>
        <v>0</v>
      </c>
      <c r="T1458" s="98">
        <f t="shared" si="109"/>
        <v>0</v>
      </c>
      <c r="U1458" s="99" t="str">
        <f>IFERROR(IF(#REF!="S",VLOOKUP('Raw Data'!A1458,References!#REF!,2,FALSE),(VLOOKUP($S1458,References!$B$3:$C$8,2,FALSE))),"")</f>
        <v/>
      </c>
      <c r="V1458" s="99" t="str">
        <f t="shared" si="111"/>
        <v/>
      </c>
      <c r="W1458" s="66" t="str">
        <f>IFERROR(VLOOKUP($O1458,'Customer List'!$A$1:$J$488,10,FALSE),"")</f>
        <v/>
      </c>
    </row>
    <row r="1459" spans="18:23">
      <c r="R1459" s="97">
        <f t="shared" si="110"/>
        <v>0</v>
      </c>
      <c r="T1459" s="98">
        <f t="shared" si="109"/>
        <v>0</v>
      </c>
      <c r="U1459" s="99" t="str">
        <f>IFERROR(IF(#REF!="S",VLOOKUP('Raw Data'!A1459,References!#REF!,2,FALSE),(VLOOKUP($S1459,References!$B$3:$C$8,2,FALSE))),"")</f>
        <v/>
      </c>
      <c r="V1459" s="99" t="str">
        <f t="shared" si="111"/>
        <v/>
      </c>
      <c r="W1459" s="66" t="str">
        <f>IFERROR(VLOOKUP($O1459,'Customer List'!$A$1:$J$488,10,FALSE),"")</f>
        <v/>
      </c>
    </row>
    <row r="1460" spans="18:23">
      <c r="R1460" s="97">
        <f t="shared" si="110"/>
        <v>0</v>
      </c>
      <c r="T1460" s="98">
        <f t="shared" si="109"/>
        <v>0</v>
      </c>
      <c r="U1460" s="99" t="str">
        <f>IFERROR(IF(#REF!="S",VLOOKUP('Raw Data'!A1460,References!#REF!,2,FALSE),(VLOOKUP($S1460,References!$B$3:$C$8,2,FALSE))),"")</f>
        <v/>
      </c>
      <c r="V1460" s="99" t="str">
        <f t="shared" si="111"/>
        <v/>
      </c>
      <c r="W1460" s="66" t="str">
        <f>IFERROR(VLOOKUP($O1460,'Customer List'!$A$1:$J$488,10,FALSE),"")</f>
        <v/>
      </c>
    </row>
    <row r="1461" spans="18:23">
      <c r="R1461" s="97">
        <f t="shared" si="110"/>
        <v>0</v>
      </c>
      <c r="T1461" s="98">
        <f t="shared" si="109"/>
        <v>0</v>
      </c>
      <c r="U1461" s="99" t="str">
        <f>IFERROR(IF(#REF!="S",VLOOKUP('Raw Data'!A1461,References!#REF!,2,FALSE),(VLOOKUP($S1461,References!$B$3:$C$8,2,FALSE))),"")</f>
        <v/>
      </c>
      <c r="V1461" s="99" t="str">
        <f t="shared" si="111"/>
        <v/>
      </c>
      <c r="W1461" s="66" t="str">
        <f>IFERROR(VLOOKUP($O1461,'Customer List'!$A$1:$J$488,10,FALSE),"")</f>
        <v/>
      </c>
    </row>
    <row r="1462" spans="18:23">
      <c r="R1462" s="97">
        <f t="shared" si="110"/>
        <v>0</v>
      </c>
      <c r="T1462" s="98">
        <f t="shared" si="109"/>
        <v>0</v>
      </c>
      <c r="U1462" s="99" t="str">
        <f>IFERROR(IF(#REF!="S",VLOOKUP('Raw Data'!A1462,References!#REF!,2,FALSE),(VLOOKUP($S1462,References!$B$3:$C$8,2,FALSE))),"")</f>
        <v/>
      </c>
      <c r="V1462" s="99" t="str">
        <f t="shared" si="111"/>
        <v/>
      </c>
      <c r="W1462" s="66" t="str">
        <f>IFERROR(VLOOKUP($O1462,'Customer List'!$A$1:$J$488,10,FALSE),"")</f>
        <v/>
      </c>
    </row>
    <row r="1463" spans="18:23">
      <c r="R1463" s="97">
        <f t="shared" si="110"/>
        <v>0</v>
      </c>
      <c r="T1463" s="98">
        <f t="shared" si="109"/>
        <v>0</v>
      </c>
      <c r="U1463" s="99" t="str">
        <f>IFERROR(IF(#REF!="S",VLOOKUP('Raw Data'!A1463,References!#REF!,2,FALSE),(VLOOKUP($S1463,References!$B$3:$C$8,2,FALSE))),"")</f>
        <v/>
      </c>
      <c r="V1463" s="99" t="str">
        <f t="shared" si="111"/>
        <v/>
      </c>
      <c r="W1463" s="66" t="str">
        <f>IFERROR(VLOOKUP($O1463,'Customer List'!$A$1:$J$488,10,FALSE),"")</f>
        <v/>
      </c>
    </row>
    <row r="1464" spans="18:23">
      <c r="R1464" s="97">
        <f t="shared" si="110"/>
        <v>0</v>
      </c>
      <c r="T1464" s="98">
        <f t="shared" si="109"/>
        <v>0</v>
      </c>
      <c r="U1464" s="99" t="str">
        <f>IFERROR(IF(#REF!="S",VLOOKUP('Raw Data'!A1464,References!#REF!,2,FALSE),(VLOOKUP($S1464,References!$B$3:$C$8,2,FALSE))),"")</f>
        <v/>
      </c>
      <c r="V1464" s="99" t="str">
        <f t="shared" si="111"/>
        <v/>
      </c>
      <c r="W1464" s="66" t="str">
        <f>IFERROR(VLOOKUP($O1464,'Customer List'!$A$1:$J$488,10,FALSE),"")</f>
        <v/>
      </c>
    </row>
    <row r="1465" spans="18:23">
      <c r="R1465" s="97">
        <f t="shared" si="110"/>
        <v>0</v>
      </c>
      <c r="T1465" s="98">
        <f t="shared" si="109"/>
        <v>0</v>
      </c>
      <c r="U1465" s="99" t="str">
        <f>IFERROR(IF(#REF!="S",VLOOKUP('Raw Data'!A1465,References!#REF!,2,FALSE),(VLOOKUP($S1465,References!$B$3:$C$8,2,FALSE))),"")</f>
        <v/>
      </c>
      <c r="V1465" s="99" t="str">
        <f t="shared" si="111"/>
        <v/>
      </c>
      <c r="W1465" s="66" t="str">
        <f>IFERROR(VLOOKUP($O1465,'Customer List'!$A$1:$J$488,10,FALSE),"")</f>
        <v/>
      </c>
    </row>
    <row r="1466" spans="18:23">
      <c r="R1466" s="97">
        <f t="shared" si="110"/>
        <v>0</v>
      </c>
      <c r="T1466" s="98">
        <f t="shared" si="109"/>
        <v>0</v>
      </c>
      <c r="U1466" s="99" t="str">
        <f>IFERROR(IF(#REF!="S",VLOOKUP('Raw Data'!A1466,References!#REF!,2,FALSE),(VLOOKUP($S1466,References!$B$3:$C$8,2,FALSE))),"")</f>
        <v/>
      </c>
      <c r="V1466" s="99" t="str">
        <f t="shared" si="111"/>
        <v/>
      </c>
      <c r="W1466" s="66" t="str">
        <f>IFERROR(VLOOKUP($O1466,'Customer List'!$A$1:$J$488,10,FALSE),"")</f>
        <v/>
      </c>
    </row>
    <row r="1467" spans="18:23">
      <c r="R1467" s="97">
        <f t="shared" si="110"/>
        <v>0</v>
      </c>
      <c r="T1467" s="98">
        <f t="shared" si="109"/>
        <v>0</v>
      </c>
      <c r="U1467" s="99" t="str">
        <f>IFERROR(IF(#REF!="S",VLOOKUP('Raw Data'!A1467,References!#REF!,2,FALSE),(VLOOKUP($S1467,References!$B$3:$C$8,2,FALSE))),"")</f>
        <v/>
      </c>
      <c r="V1467" s="99" t="str">
        <f t="shared" si="111"/>
        <v/>
      </c>
      <c r="W1467" s="66" t="str">
        <f>IFERROR(VLOOKUP($O1467,'Customer List'!$A$1:$J$488,10,FALSE),"")</f>
        <v/>
      </c>
    </row>
    <row r="1468" spans="18:23">
      <c r="R1468" s="97">
        <f t="shared" si="110"/>
        <v>0</v>
      </c>
      <c r="T1468" s="98">
        <f t="shared" si="109"/>
        <v>0</v>
      </c>
      <c r="U1468" s="99" t="str">
        <f>IFERROR(IF(#REF!="S",VLOOKUP('Raw Data'!A1468,References!#REF!,2,FALSE),(VLOOKUP($S1468,References!$B$3:$C$8,2,FALSE))),"")</f>
        <v/>
      </c>
      <c r="V1468" s="99" t="str">
        <f t="shared" si="111"/>
        <v/>
      </c>
      <c r="W1468" s="66" t="str">
        <f>IFERROR(VLOOKUP($O1468,'Customer List'!$A$1:$J$488,10,FALSE),"")</f>
        <v/>
      </c>
    </row>
    <row r="1469" spans="18:23">
      <c r="R1469" s="97">
        <f t="shared" si="110"/>
        <v>0</v>
      </c>
      <c r="T1469" s="98">
        <f t="shared" si="109"/>
        <v>0</v>
      </c>
      <c r="U1469" s="99" t="str">
        <f>IFERROR(IF(#REF!="S",VLOOKUP('Raw Data'!A1469,References!#REF!,2,FALSE),(VLOOKUP($S1469,References!$B$3:$C$8,2,FALSE))),"")</f>
        <v/>
      </c>
      <c r="V1469" s="99" t="str">
        <f t="shared" si="111"/>
        <v/>
      </c>
      <c r="W1469" s="66" t="str">
        <f>IFERROR(VLOOKUP($O1469,'Customer List'!$A$1:$J$488,10,FALSE),"")</f>
        <v/>
      </c>
    </row>
    <row r="1470" spans="18:23">
      <c r="R1470" s="97">
        <f t="shared" si="110"/>
        <v>0</v>
      </c>
      <c r="T1470" s="98">
        <f t="shared" si="109"/>
        <v>0</v>
      </c>
      <c r="U1470" s="99" t="str">
        <f>IFERROR(IF(#REF!="S",VLOOKUP('Raw Data'!A1470,References!#REF!,2,FALSE),(VLOOKUP($S1470,References!$B$3:$C$8,2,FALSE))),"")</f>
        <v/>
      </c>
      <c r="V1470" s="99" t="str">
        <f t="shared" si="111"/>
        <v/>
      </c>
      <c r="W1470" s="66" t="str">
        <f>IFERROR(VLOOKUP($O1470,'Customer List'!$A$1:$J$488,10,FALSE),"")</f>
        <v/>
      </c>
    </row>
    <row r="1471" spans="18:23">
      <c r="R1471" s="97">
        <f t="shared" si="110"/>
        <v>0</v>
      </c>
      <c r="T1471" s="98">
        <f t="shared" si="109"/>
        <v>0</v>
      </c>
      <c r="U1471" s="99" t="str">
        <f>IFERROR(IF(#REF!="S",VLOOKUP('Raw Data'!A1471,References!#REF!,2,FALSE),(VLOOKUP($S1471,References!$B$3:$C$8,2,FALSE))),"")</f>
        <v/>
      </c>
      <c r="V1471" s="99" t="str">
        <f t="shared" si="111"/>
        <v/>
      </c>
      <c r="W1471" s="66" t="str">
        <f>IFERROR(VLOOKUP($O1471,'Customer List'!$A$1:$J$488,10,FALSE),"")</f>
        <v/>
      </c>
    </row>
    <row r="1472" spans="18:23">
      <c r="R1472" s="97">
        <f t="shared" si="110"/>
        <v>0</v>
      </c>
      <c r="T1472" s="98">
        <f t="shared" si="109"/>
        <v>0</v>
      </c>
      <c r="U1472" s="99" t="str">
        <f>IFERROR(IF(#REF!="S",VLOOKUP('Raw Data'!A1472,References!#REF!,2,FALSE),(VLOOKUP($S1472,References!$B$3:$C$8,2,FALSE))),"")</f>
        <v/>
      </c>
      <c r="V1472" s="99" t="str">
        <f t="shared" si="111"/>
        <v/>
      </c>
      <c r="W1472" s="66" t="str">
        <f>IFERROR(VLOOKUP($O1472,'Customer List'!$A$1:$J$488,10,FALSE),"")</f>
        <v/>
      </c>
    </row>
    <row r="1473" spans="18:23">
      <c r="R1473" s="97">
        <f t="shared" si="110"/>
        <v>0</v>
      </c>
      <c r="T1473" s="98">
        <f t="shared" si="109"/>
        <v>0</v>
      </c>
      <c r="U1473" s="99" t="str">
        <f>IFERROR(IF(#REF!="S",VLOOKUP('Raw Data'!A1473,References!#REF!,2,FALSE),(VLOOKUP($S1473,References!$B$3:$C$8,2,FALSE))),"")</f>
        <v/>
      </c>
      <c r="V1473" s="99" t="str">
        <f t="shared" si="111"/>
        <v/>
      </c>
      <c r="W1473" s="66" t="str">
        <f>IFERROR(VLOOKUP($O1473,'Customer List'!$A$1:$J$488,10,FALSE),"")</f>
        <v/>
      </c>
    </row>
    <row r="1474" spans="18:23">
      <c r="R1474" s="97">
        <f t="shared" si="110"/>
        <v>0</v>
      </c>
      <c r="T1474" s="98">
        <f t="shared" si="109"/>
        <v>0</v>
      </c>
      <c r="U1474" s="99" t="str">
        <f>IFERROR(IF(#REF!="S",VLOOKUP('Raw Data'!A1474,References!#REF!,2,FALSE),(VLOOKUP($S1474,References!$B$3:$C$8,2,FALSE))),"")</f>
        <v/>
      </c>
      <c r="V1474" s="99" t="str">
        <f t="shared" si="111"/>
        <v/>
      </c>
      <c r="W1474" s="66" t="str">
        <f>IFERROR(VLOOKUP($O1474,'Customer List'!$A$1:$J$488,10,FALSE),"")</f>
        <v/>
      </c>
    </row>
    <row r="1475" spans="18:23">
      <c r="R1475" s="97">
        <f t="shared" si="110"/>
        <v>0</v>
      </c>
      <c r="T1475" s="98">
        <f t="shared" si="109"/>
        <v>0</v>
      </c>
      <c r="U1475" s="99" t="str">
        <f>IFERROR(IF(#REF!="S",VLOOKUP('Raw Data'!A1475,References!#REF!,2,FALSE),(VLOOKUP($S1475,References!$B$3:$C$8,2,FALSE))),"")</f>
        <v/>
      </c>
      <c r="V1475" s="99" t="str">
        <f t="shared" si="111"/>
        <v/>
      </c>
      <c r="W1475" s="66" t="str">
        <f>IFERROR(VLOOKUP($O1475,'Customer List'!$A$1:$J$488,10,FALSE),"")</f>
        <v/>
      </c>
    </row>
    <row r="1476" spans="18:23">
      <c r="R1476" s="97">
        <f t="shared" si="110"/>
        <v>0</v>
      </c>
      <c r="T1476" s="98">
        <f t="shared" si="109"/>
        <v>0</v>
      </c>
      <c r="U1476" s="99" t="str">
        <f>IFERROR(IF(#REF!="S",VLOOKUP('Raw Data'!A1476,References!#REF!,2,FALSE),(VLOOKUP($S1476,References!$B$3:$C$8,2,FALSE))),"")</f>
        <v/>
      </c>
      <c r="V1476" s="99" t="str">
        <f t="shared" si="111"/>
        <v/>
      </c>
      <c r="W1476" s="66" t="str">
        <f>IFERROR(VLOOKUP($O1476,'Customer List'!$A$1:$J$488,10,FALSE),"")</f>
        <v/>
      </c>
    </row>
    <row r="1477" spans="18:23">
      <c r="R1477" s="97">
        <f t="shared" si="110"/>
        <v>0</v>
      </c>
      <c r="T1477" s="98">
        <f t="shared" si="109"/>
        <v>0</v>
      </c>
      <c r="U1477" s="99" t="str">
        <f>IFERROR(IF(#REF!="S",VLOOKUP('Raw Data'!A1477,References!#REF!,2,FALSE),(VLOOKUP($S1477,References!$B$3:$C$8,2,FALSE))),"")</f>
        <v/>
      </c>
      <c r="V1477" s="99" t="str">
        <f t="shared" si="111"/>
        <v/>
      </c>
      <c r="W1477" s="66" t="str">
        <f>IFERROR(VLOOKUP($O1477,'Customer List'!$A$1:$J$488,10,FALSE),"")</f>
        <v/>
      </c>
    </row>
    <row r="1478" spans="18:23">
      <c r="R1478" s="97">
        <f t="shared" si="110"/>
        <v>0</v>
      </c>
      <c r="T1478" s="98">
        <f t="shared" si="109"/>
        <v>0</v>
      </c>
      <c r="U1478" s="99" t="str">
        <f>IFERROR(IF(#REF!="S",VLOOKUP('Raw Data'!A1478,References!#REF!,2,FALSE),(VLOOKUP($S1478,References!$B$3:$C$8,2,FALSE))),"")</f>
        <v/>
      </c>
      <c r="V1478" s="99" t="str">
        <f t="shared" si="111"/>
        <v/>
      </c>
      <c r="W1478" s="66" t="str">
        <f>IFERROR(VLOOKUP($O1478,'Customer List'!$A$1:$J$488,10,FALSE),"")</f>
        <v/>
      </c>
    </row>
    <row r="1479" spans="18:23">
      <c r="R1479" s="97">
        <f t="shared" si="110"/>
        <v>0</v>
      </c>
      <c r="T1479" s="98">
        <f t="shared" si="109"/>
        <v>0</v>
      </c>
      <c r="U1479" s="99" t="str">
        <f>IFERROR(IF(#REF!="S",VLOOKUP('Raw Data'!A1479,References!#REF!,2,FALSE),(VLOOKUP($S1479,References!$B$3:$C$8,2,FALSE))),"")</f>
        <v/>
      </c>
      <c r="V1479" s="99" t="str">
        <f t="shared" si="111"/>
        <v/>
      </c>
      <c r="W1479" s="66" t="str">
        <f>IFERROR(VLOOKUP($O1479,'Customer List'!$A$1:$J$488,10,FALSE),"")</f>
        <v/>
      </c>
    </row>
    <row r="1480" spans="18:23">
      <c r="R1480" s="97">
        <f t="shared" si="110"/>
        <v>0</v>
      </c>
      <c r="T1480" s="98">
        <f t="shared" si="109"/>
        <v>0</v>
      </c>
      <c r="U1480" s="99" t="str">
        <f>IFERROR(IF(#REF!="S",VLOOKUP('Raw Data'!A1480,References!#REF!,2,FALSE),(VLOOKUP($S1480,References!$B$3:$C$8,2,FALSE))),"")</f>
        <v/>
      </c>
      <c r="V1480" s="99" t="str">
        <f t="shared" si="111"/>
        <v/>
      </c>
      <c r="W1480" s="66" t="str">
        <f>IFERROR(VLOOKUP($O1480,'Customer List'!$A$1:$J$488,10,FALSE),"")</f>
        <v/>
      </c>
    </row>
    <row r="1481" spans="18:23">
      <c r="R1481" s="97">
        <f t="shared" si="110"/>
        <v>0</v>
      </c>
      <c r="T1481" s="98">
        <f t="shared" si="109"/>
        <v>0</v>
      </c>
      <c r="U1481" s="99" t="str">
        <f>IFERROR(IF(#REF!="S",VLOOKUP('Raw Data'!A1481,References!#REF!,2,FALSE),(VLOOKUP($S1481,References!$B$3:$C$8,2,FALSE))),"")</f>
        <v/>
      </c>
      <c r="V1481" s="99" t="str">
        <f t="shared" si="111"/>
        <v/>
      </c>
      <c r="W1481" s="66" t="str">
        <f>IFERROR(VLOOKUP($O1481,'Customer List'!$A$1:$J$488,10,FALSE),"")</f>
        <v/>
      </c>
    </row>
    <row r="1482" spans="18:23">
      <c r="R1482" s="97">
        <f t="shared" si="110"/>
        <v>0</v>
      </c>
      <c r="T1482" s="98">
        <f t="shared" si="109"/>
        <v>0</v>
      </c>
      <c r="U1482" s="99" t="str">
        <f>IFERROR(IF(#REF!="S",VLOOKUP('Raw Data'!A1482,References!#REF!,2,FALSE),(VLOOKUP($S1482,References!$B$3:$C$8,2,FALSE))),"")</f>
        <v/>
      </c>
      <c r="V1482" s="99" t="str">
        <f t="shared" si="111"/>
        <v/>
      </c>
      <c r="W1482" s="66" t="str">
        <f>IFERROR(VLOOKUP($O1482,'Customer List'!$A$1:$J$488,10,FALSE),"")</f>
        <v/>
      </c>
    </row>
    <row r="1483" spans="18:23">
      <c r="R1483" s="97">
        <f t="shared" si="110"/>
        <v>0</v>
      </c>
      <c r="T1483" s="98">
        <f t="shared" si="109"/>
        <v>0</v>
      </c>
      <c r="U1483" s="99" t="str">
        <f>IFERROR(IF(#REF!="S",VLOOKUP('Raw Data'!A1483,References!#REF!,2,FALSE),(VLOOKUP($S1483,References!$B$3:$C$8,2,FALSE))),"")</f>
        <v/>
      </c>
      <c r="V1483" s="99" t="str">
        <f t="shared" si="111"/>
        <v/>
      </c>
      <c r="W1483" s="66" t="str">
        <f>IFERROR(VLOOKUP($O1483,'Customer List'!$A$1:$J$488,10,FALSE),"")</f>
        <v/>
      </c>
    </row>
    <row r="1484" spans="18:23">
      <c r="R1484" s="97">
        <f t="shared" si="110"/>
        <v>0</v>
      </c>
      <c r="T1484" s="98">
        <f t="shared" si="109"/>
        <v>0</v>
      </c>
      <c r="U1484" s="99" t="str">
        <f>IFERROR(IF(#REF!="S",VLOOKUP('Raw Data'!A1484,References!#REF!,2,FALSE),(VLOOKUP($S1484,References!$B$3:$C$8,2,FALSE))),"")</f>
        <v/>
      </c>
      <c r="V1484" s="99" t="str">
        <f t="shared" si="111"/>
        <v/>
      </c>
      <c r="W1484" s="66" t="str">
        <f>IFERROR(VLOOKUP($O1484,'Customer List'!$A$1:$J$488,10,FALSE),"")</f>
        <v/>
      </c>
    </row>
    <row r="1485" spans="18:23">
      <c r="R1485" s="97">
        <f t="shared" si="110"/>
        <v>0</v>
      </c>
      <c r="T1485" s="98">
        <f t="shared" si="109"/>
        <v>0</v>
      </c>
      <c r="U1485" s="99" t="str">
        <f>IFERROR(IF(#REF!="S",VLOOKUP('Raw Data'!A1485,References!#REF!,2,FALSE),(VLOOKUP($S1485,References!$B$3:$C$8,2,FALSE))),"")</f>
        <v/>
      </c>
      <c r="V1485" s="99" t="str">
        <f t="shared" si="111"/>
        <v/>
      </c>
      <c r="W1485" s="66" t="str">
        <f>IFERROR(VLOOKUP($O1485,'Customer List'!$A$1:$J$488,10,FALSE),"")</f>
        <v/>
      </c>
    </row>
    <row r="1486" spans="18:23">
      <c r="R1486" s="97">
        <f t="shared" si="110"/>
        <v>0</v>
      </c>
      <c r="T1486" s="98">
        <f t="shared" si="109"/>
        <v>0</v>
      </c>
      <c r="U1486" s="99" t="str">
        <f>IFERROR(IF(#REF!="S",VLOOKUP('Raw Data'!A1486,References!#REF!,2,FALSE),(VLOOKUP($S1486,References!$B$3:$C$8,2,FALSE))),"")</f>
        <v/>
      </c>
      <c r="V1486" s="99" t="str">
        <f t="shared" si="111"/>
        <v/>
      </c>
      <c r="W1486" s="66" t="str">
        <f>IFERROR(VLOOKUP($O1486,'Customer List'!$A$1:$J$488,10,FALSE),"")</f>
        <v/>
      </c>
    </row>
    <row r="1487" spans="18:23">
      <c r="R1487" s="97">
        <f t="shared" si="110"/>
        <v>0</v>
      </c>
      <c r="T1487" s="98">
        <f t="shared" si="109"/>
        <v>0</v>
      </c>
      <c r="U1487" s="99" t="str">
        <f>IFERROR(IF(#REF!="S",VLOOKUP('Raw Data'!A1487,References!#REF!,2,FALSE),(VLOOKUP($S1487,References!$B$3:$C$8,2,FALSE))),"")</f>
        <v/>
      </c>
      <c r="V1487" s="99" t="str">
        <f t="shared" si="111"/>
        <v/>
      </c>
      <c r="W1487" s="66" t="str">
        <f>IFERROR(VLOOKUP($O1487,'Customer List'!$A$1:$J$488,10,FALSE),"")</f>
        <v/>
      </c>
    </row>
    <row r="1488" spans="18:23">
      <c r="R1488" s="97">
        <f t="shared" si="110"/>
        <v>0</v>
      </c>
      <c r="T1488" s="98">
        <f t="shared" ref="T1488:T1551" si="112">IF(S1488="50 - Cleaning Fee",1,HOUR($R1488)+MINUTE(R1488)/60)</f>
        <v>0</v>
      </c>
      <c r="U1488" s="99" t="str">
        <f>IFERROR(IF(#REF!="S",VLOOKUP('Raw Data'!A1488,References!#REF!,2,FALSE),(VLOOKUP($S1488,References!$B$3:$C$8,2,FALSE))),"")</f>
        <v/>
      </c>
      <c r="V1488" s="99" t="str">
        <f t="shared" si="111"/>
        <v/>
      </c>
      <c r="W1488" s="66" t="str">
        <f>IFERROR(VLOOKUP($O1488,'Customer List'!$A$1:$J$488,10,FALSE),"")</f>
        <v/>
      </c>
    </row>
    <row r="1489" spans="18:23">
      <c r="R1489" s="97">
        <f t="shared" si="110"/>
        <v>0</v>
      </c>
      <c r="T1489" s="98">
        <f t="shared" si="112"/>
        <v>0</v>
      </c>
      <c r="U1489" s="99" t="str">
        <f>IFERROR(IF(#REF!="S",VLOOKUP('Raw Data'!A1489,References!#REF!,2,FALSE),(VLOOKUP($S1489,References!$B$3:$C$8,2,FALSE))),"")</f>
        <v/>
      </c>
      <c r="V1489" s="99" t="str">
        <f t="shared" si="111"/>
        <v/>
      </c>
      <c r="W1489" s="66" t="str">
        <f>IFERROR(VLOOKUP($O1489,'Customer List'!$A$1:$J$488,10,FALSE),"")</f>
        <v/>
      </c>
    </row>
    <row r="1490" spans="18:23">
      <c r="R1490" s="97">
        <f t="shared" si="110"/>
        <v>0</v>
      </c>
      <c r="T1490" s="98">
        <f t="shared" si="112"/>
        <v>0</v>
      </c>
      <c r="U1490" s="99" t="str">
        <f>IFERROR(IF(#REF!="S",VLOOKUP('Raw Data'!A1490,References!#REF!,2,FALSE),(VLOOKUP($S1490,References!$B$3:$C$8,2,FALSE))),"")</f>
        <v/>
      </c>
      <c r="V1490" s="99" t="str">
        <f t="shared" si="111"/>
        <v/>
      </c>
      <c r="W1490" s="66" t="str">
        <f>IFERROR(VLOOKUP($O1490,'Customer List'!$A$1:$J$488,10,FALSE),"")</f>
        <v/>
      </c>
    </row>
    <row r="1491" spans="18:23">
      <c r="R1491" s="97">
        <f t="shared" si="110"/>
        <v>0</v>
      </c>
      <c r="T1491" s="98">
        <f t="shared" si="112"/>
        <v>0</v>
      </c>
      <c r="U1491" s="99" t="str">
        <f>IFERROR(IF(#REF!="S",VLOOKUP('Raw Data'!A1491,References!#REF!,2,FALSE),(VLOOKUP($S1491,References!$B$3:$C$8,2,FALSE))),"")</f>
        <v/>
      </c>
      <c r="V1491" s="99" t="str">
        <f t="shared" si="111"/>
        <v/>
      </c>
      <c r="W1491" s="66" t="str">
        <f>IFERROR(VLOOKUP($O1491,'Customer List'!$A$1:$J$488,10,FALSE),"")</f>
        <v/>
      </c>
    </row>
    <row r="1492" spans="18:23">
      <c r="R1492" s="97">
        <f t="shared" si="110"/>
        <v>0</v>
      </c>
      <c r="T1492" s="98">
        <f t="shared" si="112"/>
        <v>0</v>
      </c>
      <c r="U1492" s="99" t="str">
        <f>IFERROR(IF(#REF!="S",VLOOKUP('Raw Data'!A1492,References!#REF!,2,FALSE),(VLOOKUP($S1492,References!$B$3:$C$8,2,FALSE))),"")</f>
        <v/>
      </c>
      <c r="V1492" s="99" t="str">
        <f t="shared" si="111"/>
        <v/>
      </c>
      <c r="W1492" s="66" t="str">
        <f>IFERROR(VLOOKUP($O1492,'Customer List'!$A$1:$J$488,10,FALSE),"")</f>
        <v/>
      </c>
    </row>
    <row r="1493" spans="18:23">
      <c r="R1493" s="97">
        <f t="shared" si="110"/>
        <v>0</v>
      </c>
      <c r="T1493" s="98">
        <f t="shared" si="112"/>
        <v>0</v>
      </c>
      <c r="U1493" s="99" t="str">
        <f>IFERROR(IF(#REF!="S",VLOOKUP('Raw Data'!A1493,References!#REF!,2,FALSE),(VLOOKUP($S1493,References!$B$3:$C$8,2,FALSE))),"")</f>
        <v/>
      </c>
      <c r="V1493" s="99" t="str">
        <f t="shared" si="111"/>
        <v/>
      </c>
      <c r="W1493" s="66" t="str">
        <f>IFERROR(VLOOKUP($O1493,'Customer List'!$A$1:$J$488,10,FALSE),"")</f>
        <v/>
      </c>
    </row>
    <row r="1494" spans="18:23">
      <c r="R1494" s="97">
        <f t="shared" si="110"/>
        <v>0</v>
      </c>
      <c r="T1494" s="98">
        <f t="shared" si="112"/>
        <v>0</v>
      </c>
      <c r="U1494" s="99" t="str">
        <f>IFERROR(IF(#REF!="S",VLOOKUP('Raw Data'!A1494,References!#REF!,2,FALSE),(VLOOKUP($S1494,References!$B$3:$C$8,2,FALSE))),"")</f>
        <v/>
      </c>
      <c r="V1494" s="99" t="str">
        <f t="shared" si="111"/>
        <v/>
      </c>
      <c r="W1494" s="66" t="str">
        <f>IFERROR(VLOOKUP($O1494,'Customer List'!$A$1:$J$488,10,FALSE),"")</f>
        <v/>
      </c>
    </row>
    <row r="1495" spans="18:23">
      <c r="R1495" s="97">
        <f t="shared" si="110"/>
        <v>0</v>
      </c>
      <c r="T1495" s="98">
        <f t="shared" si="112"/>
        <v>0</v>
      </c>
      <c r="U1495" s="99" t="str">
        <f>IFERROR(IF(#REF!="S",VLOOKUP('Raw Data'!A1495,References!#REF!,2,FALSE),(VLOOKUP($S1495,References!$B$3:$C$8,2,FALSE))),"")</f>
        <v/>
      </c>
      <c r="V1495" s="99" t="str">
        <f t="shared" si="111"/>
        <v/>
      </c>
      <c r="W1495" s="66" t="str">
        <f>IFERROR(VLOOKUP($O1495,'Customer List'!$A$1:$J$488,10,FALSE),"")</f>
        <v/>
      </c>
    </row>
    <row r="1496" spans="18:23">
      <c r="R1496" s="97">
        <f t="shared" si="110"/>
        <v>0</v>
      </c>
      <c r="T1496" s="98">
        <f t="shared" si="112"/>
        <v>0</v>
      </c>
      <c r="U1496" s="99" t="str">
        <f>IFERROR(IF(#REF!="S",VLOOKUP('Raw Data'!A1496,References!#REF!,2,FALSE),(VLOOKUP($S1496,References!$B$3:$C$8,2,FALSE))),"")</f>
        <v/>
      </c>
      <c r="V1496" s="99" t="str">
        <f t="shared" si="111"/>
        <v/>
      </c>
      <c r="W1496" s="66" t="str">
        <f>IFERROR(VLOOKUP($O1496,'Customer List'!$A$1:$J$488,10,FALSE),"")</f>
        <v/>
      </c>
    </row>
    <row r="1497" spans="18:23">
      <c r="R1497" s="97">
        <f t="shared" si="110"/>
        <v>0</v>
      </c>
      <c r="T1497" s="98">
        <f t="shared" si="112"/>
        <v>0</v>
      </c>
      <c r="U1497" s="99" t="str">
        <f>IFERROR(IF(#REF!="S",VLOOKUP('Raw Data'!A1497,References!#REF!,2,FALSE),(VLOOKUP($S1497,References!$B$3:$C$8,2,FALSE))),"")</f>
        <v/>
      </c>
      <c r="V1497" s="99" t="str">
        <f t="shared" si="111"/>
        <v/>
      </c>
      <c r="W1497" s="66" t="str">
        <f>IFERROR(VLOOKUP($O1497,'Customer List'!$A$1:$J$488,10,FALSE),"")</f>
        <v/>
      </c>
    </row>
    <row r="1498" spans="18:23">
      <c r="R1498" s="97">
        <f t="shared" si="110"/>
        <v>0</v>
      </c>
      <c r="T1498" s="98">
        <f t="shared" si="112"/>
        <v>0</v>
      </c>
      <c r="U1498" s="99" t="str">
        <f>IFERROR(IF(#REF!="S",VLOOKUP('Raw Data'!A1498,References!#REF!,2,FALSE),(VLOOKUP($S1498,References!$B$3:$C$8,2,FALSE))),"")</f>
        <v/>
      </c>
      <c r="V1498" s="99" t="str">
        <f t="shared" si="111"/>
        <v/>
      </c>
      <c r="W1498" s="66" t="str">
        <f>IFERROR(VLOOKUP($O1498,'Customer List'!$A$1:$J$488,10,FALSE),"")</f>
        <v/>
      </c>
    </row>
    <row r="1499" spans="18:23">
      <c r="R1499" s="97">
        <f t="shared" si="110"/>
        <v>0</v>
      </c>
      <c r="T1499" s="98">
        <f t="shared" si="112"/>
        <v>0</v>
      </c>
      <c r="U1499" s="99" t="str">
        <f>IFERROR(IF(#REF!="S",VLOOKUP('Raw Data'!A1499,References!#REF!,2,FALSE),(VLOOKUP($S1499,References!$B$3:$C$8,2,FALSE))),"")</f>
        <v/>
      </c>
      <c r="V1499" s="99" t="str">
        <f t="shared" si="111"/>
        <v/>
      </c>
      <c r="W1499" s="66" t="str">
        <f>IFERROR(VLOOKUP($O1499,'Customer List'!$A$1:$J$488,10,FALSE),"")</f>
        <v/>
      </c>
    </row>
    <row r="1500" spans="18:23">
      <c r="R1500" s="97">
        <f t="shared" si="110"/>
        <v>0</v>
      </c>
      <c r="T1500" s="98">
        <f t="shared" si="112"/>
        <v>0</v>
      </c>
      <c r="U1500" s="99" t="str">
        <f>IFERROR(IF(#REF!="S",VLOOKUP('Raw Data'!A1500,References!#REF!,2,FALSE),(VLOOKUP($S1500,References!$B$3:$C$8,2,FALSE))),"")</f>
        <v/>
      </c>
      <c r="V1500" s="99" t="str">
        <f t="shared" si="111"/>
        <v/>
      </c>
      <c r="W1500" s="66" t="str">
        <f>IFERROR(VLOOKUP($O1500,'Customer List'!$A$1:$J$488,10,FALSE),"")</f>
        <v/>
      </c>
    </row>
    <row r="1501" spans="18:23">
      <c r="R1501" s="97">
        <f t="shared" si="110"/>
        <v>0</v>
      </c>
      <c r="T1501" s="98">
        <f t="shared" si="112"/>
        <v>0</v>
      </c>
      <c r="U1501" s="99" t="str">
        <f>IFERROR(IF(#REF!="S",VLOOKUP('Raw Data'!A1501,References!#REF!,2,FALSE),(VLOOKUP($S1501,References!$B$3:$C$8,2,FALSE))),"")</f>
        <v/>
      </c>
      <c r="V1501" s="99" t="str">
        <f t="shared" si="111"/>
        <v/>
      </c>
      <c r="W1501" s="66" t="str">
        <f>IFERROR(VLOOKUP($O1501,'Customer List'!$A$1:$J$488,10,FALSE),"")</f>
        <v/>
      </c>
    </row>
    <row r="1502" spans="18:23">
      <c r="R1502" s="97">
        <f t="shared" si="110"/>
        <v>0</v>
      </c>
      <c r="T1502" s="98">
        <f t="shared" si="112"/>
        <v>0</v>
      </c>
      <c r="U1502" s="99" t="str">
        <f>IFERROR(IF(#REF!="S",VLOOKUP('Raw Data'!A1502,References!#REF!,2,FALSE),(VLOOKUP($S1502,References!$B$3:$C$8,2,FALSE))),"")</f>
        <v/>
      </c>
      <c r="V1502" s="99" t="str">
        <f t="shared" si="111"/>
        <v/>
      </c>
      <c r="W1502" s="66" t="str">
        <f>IFERROR(VLOOKUP($O1502,'Customer List'!$A$1:$J$488,10,FALSE),"")</f>
        <v/>
      </c>
    </row>
    <row r="1503" spans="18:23">
      <c r="R1503" s="97">
        <f t="shared" si="110"/>
        <v>0</v>
      </c>
      <c r="T1503" s="98">
        <f t="shared" si="112"/>
        <v>0</v>
      </c>
      <c r="U1503" s="99" t="str">
        <f>IFERROR(IF(#REF!="S",VLOOKUP('Raw Data'!A1503,References!#REF!,2,FALSE),(VLOOKUP($S1503,References!$B$3:$C$8,2,FALSE))),"")</f>
        <v/>
      </c>
      <c r="V1503" s="99" t="str">
        <f t="shared" si="111"/>
        <v/>
      </c>
      <c r="W1503" s="66" t="str">
        <f>IFERROR(VLOOKUP($O1503,'Customer List'!$A$1:$J$488,10,FALSE),"")</f>
        <v/>
      </c>
    </row>
    <row r="1504" spans="18:23">
      <c r="R1504" s="97">
        <f t="shared" si="110"/>
        <v>0</v>
      </c>
      <c r="T1504" s="98">
        <f t="shared" si="112"/>
        <v>0</v>
      </c>
      <c r="U1504" s="99" t="str">
        <f>IFERROR(IF(#REF!="S",VLOOKUP('Raw Data'!A1504,References!#REF!,2,FALSE),(VLOOKUP($S1504,References!$B$3:$C$8,2,FALSE))),"")</f>
        <v/>
      </c>
      <c r="V1504" s="99" t="str">
        <f t="shared" si="111"/>
        <v/>
      </c>
      <c r="W1504" s="66" t="str">
        <f>IFERROR(VLOOKUP($O1504,'Customer List'!$A$1:$J$488,10,FALSE),"")</f>
        <v/>
      </c>
    </row>
    <row r="1505" spans="18:23">
      <c r="R1505" s="97">
        <f t="shared" si="110"/>
        <v>0</v>
      </c>
      <c r="T1505" s="98">
        <f t="shared" si="112"/>
        <v>0</v>
      </c>
      <c r="U1505" s="99" t="str">
        <f>IFERROR(IF(#REF!="S",VLOOKUP('Raw Data'!A1505,References!#REF!,2,FALSE),(VLOOKUP($S1505,References!$B$3:$C$8,2,FALSE))),"")</f>
        <v/>
      </c>
      <c r="V1505" s="99" t="str">
        <f t="shared" si="111"/>
        <v/>
      </c>
      <c r="W1505" s="66" t="str">
        <f>IFERROR(VLOOKUP($O1505,'Customer List'!$A$1:$J$488,10,FALSE),"")</f>
        <v/>
      </c>
    </row>
    <row r="1506" spans="18:23">
      <c r="R1506" s="97">
        <f t="shared" si="110"/>
        <v>0</v>
      </c>
      <c r="T1506" s="98">
        <f t="shared" si="112"/>
        <v>0</v>
      </c>
      <c r="U1506" s="99" t="str">
        <f>IFERROR(IF(#REF!="S",VLOOKUP('Raw Data'!A1506,References!#REF!,2,FALSE),(VLOOKUP($S1506,References!$B$3:$C$8,2,FALSE))),"")</f>
        <v/>
      </c>
      <c r="V1506" s="99" t="str">
        <f t="shared" si="111"/>
        <v/>
      </c>
      <c r="W1506" s="66" t="str">
        <f>IFERROR(VLOOKUP($O1506,'Customer List'!$A$1:$J$488,10,FALSE),"")</f>
        <v/>
      </c>
    </row>
    <row r="1507" spans="18:23">
      <c r="R1507" s="97">
        <f t="shared" si="110"/>
        <v>0</v>
      </c>
      <c r="T1507" s="98">
        <f t="shared" si="112"/>
        <v>0</v>
      </c>
      <c r="U1507" s="99" t="str">
        <f>IFERROR(IF(#REF!="S",VLOOKUP('Raw Data'!A1507,References!#REF!,2,FALSE),(VLOOKUP($S1507,References!$B$3:$C$8,2,FALSE))),"")</f>
        <v/>
      </c>
      <c r="V1507" s="99" t="str">
        <f t="shared" si="111"/>
        <v/>
      </c>
      <c r="W1507" s="66" t="str">
        <f>IFERROR(VLOOKUP($O1507,'Customer List'!$A$1:$J$488,10,FALSE),"")</f>
        <v/>
      </c>
    </row>
    <row r="1508" spans="18:23">
      <c r="R1508" s="97">
        <f t="shared" si="110"/>
        <v>0</v>
      </c>
      <c r="T1508" s="98">
        <f t="shared" si="112"/>
        <v>0</v>
      </c>
      <c r="U1508" s="99" t="str">
        <f>IFERROR(IF(#REF!="S",VLOOKUP('Raw Data'!A1508,References!#REF!,2,FALSE),(VLOOKUP($S1508,References!$B$3:$C$8,2,FALSE))),"")</f>
        <v/>
      </c>
      <c r="V1508" s="99" t="str">
        <f t="shared" si="111"/>
        <v/>
      </c>
      <c r="W1508" s="66" t="str">
        <f>IFERROR(VLOOKUP($O1508,'Customer List'!$A$1:$J$488,10,FALSE),"")</f>
        <v/>
      </c>
    </row>
    <row r="1509" spans="18:23">
      <c r="R1509" s="97">
        <f t="shared" si="110"/>
        <v>0</v>
      </c>
      <c r="T1509" s="98">
        <f t="shared" si="112"/>
        <v>0</v>
      </c>
      <c r="U1509" s="99" t="str">
        <f>IFERROR(IF(#REF!="S",VLOOKUP('Raw Data'!A1509,References!#REF!,2,FALSE),(VLOOKUP($S1509,References!$B$3:$C$8,2,FALSE))),"")</f>
        <v/>
      </c>
      <c r="V1509" s="99" t="str">
        <f t="shared" si="111"/>
        <v/>
      </c>
      <c r="W1509" s="66" t="str">
        <f>IFERROR(VLOOKUP($O1509,'Customer List'!$A$1:$J$488,10,FALSE),"")</f>
        <v/>
      </c>
    </row>
    <row r="1510" spans="18:23">
      <c r="R1510" s="97">
        <f t="shared" si="110"/>
        <v>0</v>
      </c>
      <c r="T1510" s="98">
        <f t="shared" si="112"/>
        <v>0</v>
      </c>
      <c r="U1510" s="99" t="str">
        <f>IFERROR(IF(#REF!="S",VLOOKUP('Raw Data'!A1510,References!#REF!,2,FALSE),(VLOOKUP($S1510,References!$B$3:$C$8,2,FALSE))),"")</f>
        <v/>
      </c>
      <c r="V1510" s="99" t="str">
        <f t="shared" si="111"/>
        <v/>
      </c>
      <c r="W1510" s="66" t="str">
        <f>IFERROR(VLOOKUP($O1510,'Customer List'!$A$1:$J$488,10,FALSE),"")</f>
        <v/>
      </c>
    </row>
    <row r="1511" spans="18:23">
      <c r="R1511" s="97">
        <f t="shared" si="110"/>
        <v>0</v>
      </c>
      <c r="T1511" s="98">
        <f t="shared" si="112"/>
        <v>0</v>
      </c>
      <c r="U1511" s="99" t="str">
        <f>IFERROR(IF(#REF!="S",VLOOKUP('Raw Data'!A1511,References!#REF!,2,FALSE),(VLOOKUP($S1511,References!$B$3:$C$8,2,FALSE))),"")</f>
        <v/>
      </c>
      <c r="V1511" s="99" t="str">
        <f t="shared" si="111"/>
        <v/>
      </c>
      <c r="W1511" s="66" t="str">
        <f>IFERROR(VLOOKUP($O1511,'Customer List'!$A$1:$J$488,10,FALSE),"")</f>
        <v/>
      </c>
    </row>
    <row r="1512" spans="18:23">
      <c r="R1512" s="97">
        <f t="shared" si="110"/>
        <v>0</v>
      </c>
      <c r="T1512" s="98">
        <f t="shared" si="112"/>
        <v>0</v>
      </c>
      <c r="U1512" s="99" t="str">
        <f>IFERROR(IF(#REF!="S",VLOOKUP('Raw Data'!A1512,References!#REF!,2,FALSE),(VLOOKUP($S1512,References!$B$3:$C$8,2,FALSE))),"")</f>
        <v/>
      </c>
      <c r="V1512" s="99" t="str">
        <f t="shared" si="111"/>
        <v/>
      </c>
      <c r="W1512" s="66" t="str">
        <f>IFERROR(VLOOKUP($O1512,'Customer List'!$A$1:$J$488,10,FALSE),"")</f>
        <v/>
      </c>
    </row>
    <row r="1513" spans="18:23">
      <c r="R1513" s="97">
        <f t="shared" si="110"/>
        <v>0</v>
      </c>
      <c r="T1513" s="98">
        <f t="shared" si="112"/>
        <v>0</v>
      </c>
      <c r="U1513" s="99" t="str">
        <f>IFERROR(IF(#REF!="S",VLOOKUP('Raw Data'!A1513,References!#REF!,2,FALSE),(VLOOKUP($S1513,References!$B$3:$C$8,2,FALSE))),"")</f>
        <v/>
      </c>
      <c r="V1513" s="99" t="str">
        <f t="shared" si="111"/>
        <v/>
      </c>
      <c r="W1513" s="66" t="str">
        <f>IFERROR(VLOOKUP($O1513,'Customer List'!$A$1:$J$488,10,FALSE),"")</f>
        <v/>
      </c>
    </row>
    <row r="1514" spans="18:23">
      <c r="R1514" s="97">
        <f t="shared" si="110"/>
        <v>0</v>
      </c>
      <c r="T1514" s="98">
        <f t="shared" si="112"/>
        <v>0</v>
      </c>
      <c r="U1514" s="99" t="str">
        <f>IFERROR(IF(#REF!="S",VLOOKUP('Raw Data'!A1514,References!#REF!,2,FALSE),(VLOOKUP($S1514,References!$B$3:$C$8,2,FALSE))),"")</f>
        <v/>
      </c>
      <c r="V1514" s="99" t="str">
        <f t="shared" si="111"/>
        <v/>
      </c>
      <c r="W1514" s="66" t="str">
        <f>IFERROR(VLOOKUP($O1514,'Customer List'!$A$1:$J$488,10,FALSE),"")</f>
        <v/>
      </c>
    </row>
    <row r="1515" spans="18:23">
      <c r="R1515" s="97">
        <f t="shared" si="110"/>
        <v>0</v>
      </c>
      <c r="T1515" s="98">
        <f t="shared" si="112"/>
        <v>0</v>
      </c>
      <c r="U1515" s="99" t="str">
        <f>IFERROR(IF(#REF!="S",VLOOKUP('Raw Data'!A1515,References!#REF!,2,FALSE),(VLOOKUP($S1515,References!$B$3:$C$8,2,FALSE))),"")</f>
        <v/>
      </c>
      <c r="V1515" s="99" t="str">
        <f t="shared" si="111"/>
        <v/>
      </c>
      <c r="W1515" s="66" t="str">
        <f>IFERROR(VLOOKUP($O1515,'Customer List'!$A$1:$J$488,10,FALSE),"")</f>
        <v/>
      </c>
    </row>
    <row r="1516" spans="18:23">
      <c r="R1516" s="97">
        <f t="shared" ref="R1516:R1579" si="113">L1516-K1516</f>
        <v>0</v>
      </c>
      <c r="T1516" s="98">
        <f t="shared" si="112"/>
        <v>0</v>
      </c>
      <c r="U1516" s="99" t="str">
        <f>IFERROR(IF(#REF!="S",VLOOKUP('Raw Data'!A1516,References!#REF!,2,FALSE),(VLOOKUP($S1516,References!$B$3:$C$8,2,FALSE))),"")</f>
        <v/>
      </c>
      <c r="V1516" s="99" t="str">
        <f t="shared" si="111"/>
        <v/>
      </c>
      <c r="W1516" s="66" t="str">
        <f>IFERROR(VLOOKUP($O1516,'Customer List'!$A$1:$J$488,10,FALSE),"")</f>
        <v/>
      </c>
    </row>
    <row r="1517" spans="18:23">
      <c r="R1517" s="97">
        <f t="shared" si="113"/>
        <v>0</v>
      </c>
      <c r="T1517" s="98">
        <f t="shared" si="112"/>
        <v>0</v>
      </c>
      <c r="U1517" s="99" t="str">
        <f>IFERROR(IF(#REF!="S",VLOOKUP('Raw Data'!A1517,References!#REF!,2,FALSE),(VLOOKUP($S1517,References!$B$3:$C$8,2,FALSE))),"")</f>
        <v/>
      </c>
      <c r="V1517" s="99" t="str">
        <f t="shared" si="111"/>
        <v/>
      </c>
      <c r="W1517" s="66" t="str">
        <f>IFERROR(VLOOKUP($O1517,'Customer List'!$A$1:$J$488,10,FALSE),"")</f>
        <v/>
      </c>
    </row>
    <row r="1518" spans="18:23">
      <c r="R1518" s="97">
        <f t="shared" si="113"/>
        <v>0</v>
      </c>
      <c r="T1518" s="98">
        <f t="shared" si="112"/>
        <v>0</v>
      </c>
      <c r="U1518" s="99" t="str">
        <f>IFERROR(IF(#REF!="S",VLOOKUP('Raw Data'!A1518,References!#REF!,2,FALSE),(VLOOKUP($S1518,References!$B$3:$C$8,2,FALSE))),"")</f>
        <v/>
      </c>
      <c r="V1518" s="99" t="str">
        <f t="shared" ref="V1518:V1564" si="114">IFERROR(T1518*U1518,"")</f>
        <v/>
      </c>
      <c r="W1518" s="66" t="str">
        <f>IFERROR(VLOOKUP($O1518,'Customer List'!$A$1:$J$488,10,FALSE),"")</f>
        <v/>
      </c>
    </row>
    <row r="1519" spans="18:23">
      <c r="R1519" s="97">
        <f t="shared" si="113"/>
        <v>0</v>
      </c>
      <c r="T1519" s="98">
        <f t="shared" si="112"/>
        <v>0</v>
      </c>
      <c r="U1519" s="99" t="str">
        <f>IFERROR(IF(#REF!="S",VLOOKUP('Raw Data'!A1519,References!#REF!,2,FALSE),(VLOOKUP($S1519,References!$B$3:$C$8,2,FALSE))),"")</f>
        <v/>
      </c>
      <c r="V1519" s="99" t="str">
        <f t="shared" si="114"/>
        <v/>
      </c>
      <c r="W1519" s="66" t="str">
        <f>IFERROR(VLOOKUP($O1519,'Customer List'!$A$1:$J$488,10,FALSE),"")</f>
        <v/>
      </c>
    </row>
    <row r="1520" spans="18:23">
      <c r="R1520" s="97">
        <f t="shared" si="113"/>
        <v>0</v>
      </c>
      <c r="T1520" s="98">
        <f t="shared" si="112"/>
        <v>0</v>
      </c>
      <c r="U1520" s="99" t="str">
        <f>IFERROR(IF(#REF!="S",VLOOKUP('Raw Data'!A1520,References!#REF!,2,FALSE),(VLOOKUP($S1520,References!$B$3:$C$8,2,FALSE))),"")</f>
        <v/>
      </c>
      <c r="V1520" s="99" t="str">
        <f t="shared" si="114"/>
        <v/>
      </c>
      <c r="W1520" s="66" t="str">
        <f>IFERROR(VLOOKUP($O1520,'Customer List'!$A$1:$J$488,10,FALSE),"")</f>
        <v/>
      </c>
    </row>
    <row r="1521" spans="18:23">
      <c r="R1521" s="97">
        <f t="shared" si="113"/>
        <v>0</v>
      </c>
      <c r="T1521" s="98">
        <f t="shared" si="112"/>
        <v>0</v>
      </c>
      <c r="U1521" s="99" t="str">
        <f>IFERROR(IF(#REF!="S",VLOOKUP('Raw Data'!A1521,References!#REF!,2,FALSE),(VLOOKUP($S1521,References!$B$3:$C$8,2,FALSE))),"")</f>
        <v/>
      </c>
      <c r="V1521" s="99" t="str">
        <f t="shared" si="114"/>
        <v/>
      </c>
      <c r="W1521" s="66" t="str">
        <f>IFERROR(VLOOKUP($O1521,'Customer List'!$A$1:$J$488,10,FALSE),"")</f>
        <v/>
      </c>
    </row>
    <row r="1522" spans="18:23">
      <c r="R1522" s="97">
        <f t="shared" si="113"/>
        <v>0</v>
      </c>
      <c r="T1522" s="98">
        <f t="shared" si="112"/>
        <v>0</v>
      </c>
      <c r="U1522" s="99" t="str">
        <f>IFERROR(IF(#REF!="S",VLOOKUP('Raw Data'!A1522,References!#REF!,2,FALSE),(VLOOKUP($S1522,References!$B$3:$C$8,2,FALSE))),"")</f>
        <v/>
      </c>
      <c r="V1522" s="99" t="str">
        <f t="shared" si="114"/>
        <v/>
      </c>
      <c r="W1522" s="66" t="str">
        <f>IFERROR(VLOOKUP($O1522,'Customer List'!$A$1:$J$488,10,FALSE),"")</f>
        <v/>
      </c>
    </row>
    <row r="1523" spans="18:23">
      <c r="R1523" s="97">
        <f t="shared" si="113"/>
        <v>0</v>
      </c>
      <c r="T1523" s="98">
        <f t="shared" si="112"/>
        <v>0</v>
      </c>
      <c r="U1523" s="99" t="str">
        <f>IFERROR(IF(#REF!="S",VLOOKUP('Raw Data'!A1523,References!#REF!,2,FALSE),(VLOOKUP($S1523,References!$B$3:$C$8,2,FALSE))),"")</f>
        <v/>
      </c>
      <c r="V1523" s="99" t="str">
        <f t="shared" si="114"/>
        <v/>
      </c>
      <c r="W1523" s="66" t="str">
        <f>IFERROR(VLOOKUP($O1523,'Customer List'!$A$1:$J$488,10,FALSE),"")</f>
        <v/>
      </c>
    </row>
    <row r="1524" spans="18:23">
      <c r="R1524" s="97">
        <f t="shared" si="113"/>
        <v>0</v>
      </c>
      <c r="T1524" s="98">
        <f t="shared" si="112"/>
        <v>0</v>
      </c>
      <c r="U1524" s="99" t="str">
        <f>IFERROR(IF(#REF!="S",VLOOKUP('Raw Data'!A1524,References!#REF!,2,FALSE),(VLOOKUP($S1524,References!$B$3:$C$8,2,FALSE))),"")</f>
        <v/>
      </c>
      <c r="V1524" s="99" t="str">
        <f t="shared" si="114"/>
        <v/>
      </c>
      <c r="W1524" s="66" t="str">
        <f>IFERROR(VLOOKUP($O1524,'Customer List'!$A$1:$J$488,10,FALSE),"")</f>
        <v/>
      </c>
    </row>
    <row r="1525" spans="18:23">
      <c r="R1525" s="97">
        <f t="shared" si="113"/>
        <v>0</v>
      </c>
      <c r="T1525" s="98">
        <f t="shared" si="112"/>
        <v>0</v>
      </c>
      <c r="U1525" s="99" t="str">
        <f>IFERROR(IF(#REF!="S",VLOOKUP('Raw Data'!A1525,References!#REF!,2,FALSE),(VLOOKUP($S1525,References!$B$3:$C$8,2,FALSE))),"")</f>
        <v/>
      </c>
      <c r="V1525" s="99" t="str">
        <f t="shared" si="114"/>
        <v/>
      </c>
      <c r="W1525" s="66" t="str">
        <f>IFERROR(VLOOKUP($O1525,'Customer List'!$A$1:$J$488,10,FALSE),"")</f>
        <v/>
      </c>
    </row>
    <row r="1526" spans="18:23">
      <c r="R1526" s="97">
        <f t="shared" si="113"/>
        <v>0</v>
      </c>
      <c r="T1526" s="98">
        <f t="shared" si="112"/>
        <v>0</v>
      </c>
      <c r="U1526" s="99" t="str">
        <f>IFERROR(IF(#REF!="S",VLOOKUP('Raw Data'!A1526,References!#REF!,2,FALSE),(VLOOKUP($S1526,References!$B$3:$C$8,2,FALSE))),"")</f>
        <v/>
      </c>
      <c r="V1526" s="99" t="str">
        <f t="shared" si="114"/>
        <v/>
      </c>
      <c r="W1526" s="66" t="str">
        <f>IFERROR(VLOOKUP($O1526,'Customer List'!$A$1:$J$488,10,FALSE),"")</f>
        <v/>
      </c>
    </row>
    <row r="1527" spans="18:23">
      <c r="R1527" s="97">
        <f t="shared" si="113"/>
        <v>0</v>
      </c>
      <c r="T1527" s="98">
        <f t="shared" si="112"/>
        <v>0</v>
      </c>
      <c r="U1527" s="99" t="str">
        <f>IFERROR(IF(#REF!="S",VLOOKUP('Raw Data'!A1527,References!#REF!,2,FALSE),(VLOOKUP($S1527,References!$B$3:$C$8,2,FALSE))),"")</f>
        <v/>
      </c>
      <c r="V1527" s="99" t="str">
        <f t="shared" si="114"/>
        <v/>
      </c>
      <c r="W1527" s="66" t="str">
        <f>IFERROR(VLOOKUP($O1527,'Customer List'!$A$1:$J$488,10,FALSE),"")</f>
        <v/>
      </c>
    </row>
    <row r="1528" spans="18:23">
      <c r="R1528" s="97">
        <f t="shared" si="113"/>
        <v>0</v>
      </c>
      <c r="T1528" s="98">
        <f t="shared" si="112"/>
        <v>0</v>
      </c>
      <c r="U1528" s="99" t="str">
        <f>IFERROR(IF(#REF!="S",VLOOKUP('Raw Data'!A1528,References!#REF!,2,FALSE),(VLOOKUP($S1528,References!$B$3:$C$8,2,FALSE))),"")</f>
        <v/>
      </c>
      <c r="V1528" s="99" t="str">
        <f t="shared" si="114"/>
        <v/>
      </c>
      <c r="W1528" s="66" t="str">
        <f>IFERROR(VLOOKUP($O1528,'Customer List'!$A$1:$J$488,10,FALSE),"")</f>
        <v/>
      </c>
    </row>
    <row r="1529" spans="18:23">
      <c r="R1529" s="97">
        <f t="shared" si="113"/>
        <v>0</v>
      </c>
      <c r="T1529" s="98">
        <f t="shared" si="112"/>
        <v>0</v>
      </c>
      <c r="U1529" s="99" t="str">
        <f>IFERROR(IF(#REF!="S",VLOOKUP('Raw Data'!A1529,References!#REF!,2,FALSE),(VLOOKUP($S1529,References!$B$3:$C$8,2,FALSE))),"")</f>
        <v/>
      </c>
      <c r="V1529" s="99" t="str">
        <f t="shared" si="114"/>
        <v/>
      </c>
      <c r="W1529" s="66" t="str">
        <f>IFERROR(VLOOKUP($O1529,'Customer List'!$A$1:$J$488,10,FALSE),"")</f>
        <v/>
      </c>
    </row>
    <row r="1530" spans="18:23">
      <c r="R1530" s="97">
        <f t="shared" si="113"/>
        <v>0</v>
      </c>
      <c r="T1530" s="98">
        <f t="shared" si="112"/>
        <v>0</v>
      </c>
      <c r="U1530" s="99" t="str">
        <f>IFERROR(IF(#REF!="S",VLOOKUP('Raw Data'!A1530,References!#REF!,2,FALSE),(VLOOKUP($S1530,References!$B$3:$C$8,2,FALSE))),"")</f>
        <v/>
      </c>
      <c r="V1530" s="99" t="str">
        <f t="shared" si="114"/>
        <v/>
      </c>
      <c r="W1530" s="66" t="str">
        <f>IFERROR(VLOOKUP($O1530,'Customer List'!$A$1:$J$488,10,FALSE),"")</f>
        <v/>
      </c>
    </row>
    <row r="1531" spans="18:23">
      <c r="R1531" s="97">
        <f t="shared" si="113"/>
        <v>0</v>
      </c>
      <c r="T1531" s="98">
        <f t="shared" si="112"/>
        <v>0</v>
      </c>
      <c r="U1531" s="99" t="str">
        <f>IFERROR(IF(#REF!="S",VLOOKUP('Raw Data'!A1531,References!#REF!,2,FALSE),(VLOOKUP($S1531,References!$B$3:$C$8,2,FALSE))),"")</f>
        <v/>
      </c>
      <c r="V1531" s="99" t="str">
        <f t="shared" si="114"/>
        <v/>
      </c>
      <c r="W1531" s="66" t="str">
        <f>IFERROR(VLOOKUP($O1531,'Customer List'!$A$1:$J$488,10,FALSE),"")</f>
        <v/>
      </c>
    </row>
    <row r="1532" spans="18:23">
      <c r="R1532" s="97">
        <f t="shared" si="113"/>
        <v>0</v>
      </c>
      <c r="T1532" s="98">
        <f t="shared" si="112"/>
        <v>0</v>
      </c>
      <c r="U1532" s="99" t="str">
        <f>IFERROR(IF(#REF!="S",VLOOKUP('Raw Data'!A1532,References!#REF!,2,FALSE),(VLOOKUP($S1532,References!$B$3:$C$8,2,FALSE))),"")</f>
        <v/>
      </c>
      <c r="V1532" s="99" t="str">
        <f t="shared" si="114"/>
        <v/>
      </c>
      <c r="W1532" s="66" t="str">
        <f>IFERROR(VLOOKUP($O1532,'Customer List'!$A$1:$J$488,10,FALSE),"")</f>
        <v/>
      </c>
    </row>
    <row r="1533" spans="18:23">
      <c r="R1533" s="97">
        <f t="shared" si="113"/>
        <v>0</v>
      </c>
      <c r="T1533" s="98">
        <f t="shared" si="112"/>
        <v>0</v>
      </c>
      <c r="U1533" s="99" t="str">
        <f>IFERROR(IF(#REF!="S",VLOOKUP('Raw Data'!A1533,References!#REF!,2,FALSE),(VLOOKUP($S1533,References!$B$3:$C$8,2,FALSE))),"")</f>
        <v/>
      </c>
      <c r="V1533" s="99" t="str">
        <f t="shared" si="114"/>
        <v/>
      </c>
      <c r="W1533" s="66" t="str">
        <f>IFERROR(VLOOKUP($O1533,'Customer List'!$A$1:$J$488,10,FALSE),"")</f>
        <v/>
      </c>
    </row>
    <row r="1534" spans="18:23">
      <c r="R1534" s="97">
        <f t="shared" si="113"/>
        <v>0</v>
      </c>
      <c r="T1534" s="98">
        <f t="shared" si="112"/>
        <v>0</v>
      </c>
      <c r="U1534" s="99" t="str">
        <f>IFERROR(IF(#REF!="S",VLOOKUP('Raw Data'!A1534,References!#REF!,2,FALSE),(VLOOKUP($S1534,References!$B$3:$C$8,2,FALSE))),"")</f>
        <v/>
      </c>
      <c r="V1534" s="99" t="str">
        <f t="shared" si="114"/>
        <v/>
      </c>
      <c r="W1534" s="66" t="str">
        <f>IFERROR(VLOOKUP($O1534,'Customer List'!$A$1:$J$488,10,FALSE),"")</f>
        <v/>
      </c>
    </row>
    <row r="1535" spans="18:23">
      <c r="R1535" s="97">
        <f t="shared" si="113"/>
        <v>0</v>
      </c>
      <c r="T1535" s="98">
        <f t="shared" si="112"/>
        <v>0</v>
      </c>
      <c r="U1535" s="99" t="str">
        <f>IFERROR(IF(#REF!="S",VLOOKUP('Raw Data'!A1535,References!#REF!,2,FALSE),(VLOOKUP($S1535,References!$B$3:$C$8,2,FALSE))),"")</f>
        <v/>
      </c>
      <c r="V1535" s="99" t="str">
        <f t="shared" si="114"/>
        <v/>
      </c>
      <c r="W1535" s="66" t="str">
        <f>IFERROR(VLOOKUP($O1535,'Customer List'!$A$1:$J$488,10,FALSE),"")</f>
        <v/>
      </c>
    </row>
    <row r="1536" spans="18:23">
      <c r="R1536" s="97">
        <f t="shared" si="113"/>
        <v>0</v>
      </c>
      <c r="T1536" s="98">
        <f t="shared" si="112"/>
        <v>0</v>
      </c>
      <c r="U1536" s="99" t="str">
        <f>IFERROR(IF(#REF!="S",VLOOKUP('Raw Data'!A1536,References!#REF!,2,FALSE),(VLOOKUP($S1536,References!$B$3:$C$8,2,FALSE))),"")</f>
        <v/>
      </c>
      <c r="V1536" s="99" t="str">
        <f t="shared" si="114"/>
        <v/>
      </c>
      <c r="W1536" s="66" t="str">
        <f>IFERROR(VLOOKUP($O1536,'Customer List'!$A$1:$J$488,10,FALSE),"")</f>
        <v/>
      </c>
    </row>
    <row r="1537" spans="18:23">
      <c r="R1537" s="97">
        <f t="shared" si="113"/>
        <v>0</v>
      </c>
      <c r="T1537" s="98">
        <f t="shared" si="112"/>
        <v>0</v>
      </c>
      <c r="U1537" s="99" t="str">
        <f>IFERROR(IF(#REF!="S",VLOOKUP('Raw Data'!A1537,References!#REF!,2,FALSE),(VLOOKUP($S1537,References!$B$3:$C$8,2,FALSE))),"")</f>
        <v/>
      </c>
      <c r="V1537" s="99" t="str">
        <f t="shared" si="114"/>
        <v/>
      </c>
      <c r="W1537" s="66" t="str">
        <f>IFERROR(VLOOKUP($O1537,'Customer List'!$A$1:$J$488,10,FALSE),"")</f>
        <v/>
      </c>
    </row>
    <row r="1538" spans="18:23">
      <c r="R1538" s="97">
        <f t="shared" si="113"/>
        <v>0</v>
      </c>
      <c r="T1538" s="98">
        <f t="shared" si="112"/>
        <v>0</v>
      </c>
      <c r="U1538" s="99" t="str">
        <f>IFERROR(IF(#REF!="S",VLOOKUP('Raw Data'!A1538,References!#REF!,2,FALSE),(VLOOKUP($S1538,References!$B$3:$C$8,2,FALSE))),"")</f>
        <v/>
      </c>
      <c r="V1538" s="99" t="str">
        <f t="shared" si="114"/>
        <v/>
      </c>
      <c r="W1538" s="66" t="str">
        <f>IFERROR(VLOOKUP($O1538,'Customer List'!$A$1:$J$488,10,FALSE),"")</f>
        <v/>
      </c>
    </row>
    <row r="1539" spans="18:23">
      <c r="R1539" s="97">
        <f t="shared" si="113"/>
        <v>0</v>
      </c>
      <c r="T1539" s="98">
        <f t="shared" si="112"/>
        <v>0</v>
      </c>
      <c r="U1539" s="99" t="str">
        <f>IFERROR(IF(#REF!="S",VLOOKUP('Raw Data'!A1539,References!#REF!,2,FALSE),(VLOOKUP($S1539,References!$B$3:$C$8,2,FALSE))),"")</f>
        <v/>
      </c>
      <c r="V1539" s="99" t="str">
        <f t="shared" si="114"/>
        <v/>
      </c>
      <c r="W1539" s="66" t="str">
        <f>IFERROR(VLOOKUP($O1539,'Customer List'!$A$1:$J$488,10,FALSE),"")</f>
        <v/>
      </c>
    </row>
    <row r="1540" spans="18:23">
      <c r="R1540" s="97">
        <f t="shared" si="113"/>
        <v>0</v>
      </c>
      <c r="T1540" s="98">
        <f t="shared" si="112"/>
        <v>0</v>
      </c>
      <c r="U1540" s="99" t="str">
        <f>IFERROR(IF(#REF!="S",VLOOKUP('Raw Data'!A1540,References!#REF!,2,FALSE),(VLOOKUP($S1540,References!$B$3:$C$8,2,FALSE))),"")</f>
        <v/>
      </c>
      <c r="V1540" s="99" t="str">
        <f t="shared" si="114"/>
        <v/>
      </c>
      <c r="W1540" s="66" t="str">
        <f>IFERROR(VLOOKUP($O1540,'Customer List'!$A$1:$J$488,10,FALSE),"")</f>
        <v/>
      </c>
    </row>
    <row r="1541" spans="18:23">
      <c r="R1541" s="97">
        <f t="shared" si="113"/>
        <v>0</v>
      </c>
      <c r="T1541" s="98">
        <f t="shared" si="112"/>
        <v>0</v>
      </c>
      <c r="U1541" s="99" t="str">
        <f>IFERROR(IF(#REF!="S",VLOOKUP('Raw Data'!A1541,References!#REF!,2,FALSE),(VLOOKUP($S1541,References!$B$3:$C$8,2,FALSE))),"")</f>
        <v/>
      </c>
      <c r="V1541" s="99" t="str">
        <f t="shared" si="114"/>
        <v/>
      </c>
      <c r="W1541" s="66" t="str">
        <f>IFERROR(VLOOKUP($O1541,'Customer List'!$A$1:$J$488,10,FALSE),"")</f>
        <v/>
      </c>
    </row>
    <row r="1542" spans="18:23">
      <c r="R1542" s="97">
        <f t="shared" si="113"/>
        <v>0</v>
      </c>
      <c r="T1542" s="98">
        <f t="shared" si="112"/>
        <v>0</v>
      </c>
      <c r="U1542" s="99" t="str">
        <f>IFERROR(IF(#REF!="S",VLOOKUP('Raw Data'!A1542,References!#REF!,2,FALSE),(VLOOKUP($S1542,References!$B$3:$C$8,2,FALSE))),"")</f>
        <v/>
      </c>
      <c r="V1542" s="99" t="str">
        <f t="shared" si="114"/>
        <v/>
      </c>
      <c r="W1542" s="66" t="str">
        <f>IFERROR(VLOOKUP($O1542,'Customer List'!$A$1:$J$488,10,FALSE),"")</f>
        <v/>
      </c>
    </row>
    <row r="1543" spans="18:23">
      <c r="R1543" s="97">
        <f t="shared" si="113"/>
        <v>0</v>
      </c>
      <c r="T1543" s="98">
        <f t="shared" si="112"/>
        <v>0</v>
      </c>
      <c r="U1543" s="99" t="str">
        <f>IFERROR(IF(#REF!="S",VLOOKUP('Raw Data'!A1543,References!#REF!,2,FALSE),(VLOOKUP($S1543,References!$B$3:$C$8,2,FALSE))),"")</f>
        <v/>
      </c>
      <c r="V1543" s="99" t="str">
        <f t="shared" si="114"/>
        <v/>
      </c>
      <c r="W1543" s="66" t="str">
        <f>IFERROR(VLOOKUP($O1543,'Customer List'!$A$1:$J$488,10,FALSE),"")</f>
        <v/>
      </c>
    </row>
    <row r="1544" spans="18:23">
      <c r="R1544" s="97">
        <f t="shared" si="113"/>
        <v>0</v>
      </c>
      <c r="T1544" s="98">
        <f t="shared" si="112"/>
        <v>0</v>
      </c>
      <c r="U1544" s="99" t="str">
        <f>IFERROR(IF(#REF!="S",VLOOKUP('Raw Data'!A1544,References!#REF!,2,FALSE),(VLOOKUP($S1544,References!$B$3:$C$8,2,FALSE))),"")</f>
        <v/>
      </c>
      <c r="V1544" s="99" t="str">
        <f t="shared" si="114"/>
        <v/>
      </c>
      <c r="W1544" s="66" t="str">
        <f>IFERROR(VLOOKUP($O1544,'Customer List'!$A$1:$J$488,10,FALSE),"")</f>
        <v/>
      </c>
    </row>
    <row r="1545" spans="18:23">
      <c r="R1545" s="97">
        <f t="shared" si="113"/>
        <v>0</v>
      </c>
      <c r="T1545" s="98">
        <f t="shared" si="112"/>
        <v>0</v>
      </c>
      <c r="U1545" s="99" t="str">
        <f>IFERROR(IF(#REF!="S",VLOOKUP('Raw Data'!A1545,References!#REF!,2,FALSE),(VLOOKUP($S1545,References!$B$3:$C$8,2,FALSE))),"")</f>
        <v/>
      </c>
      <c r="V1545" s="99" t="str">
        <f t="shared" si="114"/>
        <v/>
      </c>
      <c r="W1545" s="66" t="str">
        <f>IFERROR(VLOOKUP($O1545,'Customer List'!$A$1:$J$488,10,FALSE),"")</f>
        <v/>
      </c>
    </row>
    <row r="1546" spans="18:23">
      <c r="R1546" s="97">
        <f t="shared" si="113"/>
        <v>0</v>
      </c>
      <c r="T1546" s="98">
        <f t="shared" si="112"/>
        <v>0</v>
      </c>
      <c r="U1546" s="99" t="str">
        <f>IFERROR(IF(#REF!="S",VLOOKUP('Raw Data'!A1546,References!#REF!,2,FALSE),(VLOOKUP($S1546,References!$B$3:$C$8,2,FALSE))),"")</f>
        <v/>
      </c>
      <c r="V1546" s="99" t="str">
        <f t="shared" si="114"/>
        <v/>
      </c>
      <c r="W1546" s="66" t="str">
        <f>IFERROR(VLOOKUP($O1546,'Customer List'!$A$1:$J$488,10,FALSE),"")</f>
        <v/>
      </c>
    </row>
    <row r="1547" spans="18:23">
      <c r="R1547" s="97">
        <f t="shared" si="113"/>
        <v>0</v>
      </c>
      <c r="T1547" s="98">
        <f t="shared" si="112"/>
        <v>0</v>
      </c>
      <c r="U1547" s="99" t="str">
        <f>IFERROR(IF(#REF!="S",VLOOKUP('Raw Data'!A1547,References!#REF!,2,FALSE),(VLOOKUP($S1547,References!$B$3:$C$8,2,FALSE))),"")</f>
        <v/>
      </c>
      <c r="V1547" s="99" t="str">
        <f t="shared" si="114"/>
        <v/>
      </c>
      <c r="W1547" s="66" t="str">
        <f>IFERROR(VLOOKUP($O1547,'Customer List'!$A$1:$J$488,10,FALSE),"")</f>
        <v/>
      </c>
    </row>
    <row r="1548" spans="18:23">
      <c r="R1548" s="97">
        <f t="shared" si="113"/>
        <v>0</v>
      </c>
      <c r="T1548" s="98">
        <f t="shared" si="112"/>
        <v>0</v>
      </c>
      <c r="U1548" s="99" t="str">
        <f>IFERROR(IF(#REF!="S",VLOOKUP('Raw Data'!A1548,References!#REF!,2,FALSE),(VLOOKUP($S1548,References!$B$3:$C$8,2,FALSE))),"")</f>
        <v/>
      </c>
      <c r="V1548" s="99" t="str">
        <f t="shared" si="114"/>
        <v/>
      </c>
      <c r="W1548" s="66" t="str">
        <f>IFERROR(VLOOKUP($O1548,'Customer List'!$A$1:$J$488,10,FALSE),"")</f>
        <v/>
      </c>
    </row>
    <row r="1549" spans="18:23">
      <c r="R1549" s="97">
        <f t="shared" si="113"/>
        <v>0</v>
      </c>
      <c r="T1549" s="98">
        <f t="shared" si="112"/>
        <v>0</v>
      </c>
      <c r="U1549" s="99" t="str">
        <f>IFERROR(IF(#REF!="S",VLOOKUP('Raw Data'!A1549,References!#REF!,2,FALSE),(VLOOKUP($S1549,References!$B$3:$C$8,2,FALSE))),"")</f>
        <v/>
      </c>
      <c r="V1549" s="99" t="str">
        <f t="shared" si="114"/>
        <v/>
      </c>
      <c r="W1549" s="66" t="str">
        <f>IFERROR(VLOOKUP($O1549,'Customer List'!$A$1:$J$488,10,FALSE),"")</f>
        <v/>
      </c>
    </row>
    <row r="1550" spans="18:23">
      <c r="R1550" s="97">
        <f t="shared" si="113"/>
        <v>0</v>
      </c>
      <c r="T1550" s="98">
        <f t="shared" si="112"/>
        <v>0</v>
      </c>
      <c r="U1550" s="99" t="str">
        <f>IFERROR(IF(#REF!="S",VLOOKUP('Raw Data'!A1550,References!#REF!,2,FALSE),(VLOOKUP($S1550,References!$B$3:$C$8,2,FALSE))),"")</f>
        <v/>
      </c>
      <c r="V1550" s="99" t="str">
        <f t="shared" si="114"/>
        <v/>
      </c>
      <c r="W1550" s="66" t="str">
        <f>IFERROR(VLOOKUP($O1550,'Customer List'!$A$1:$J$488,10,FALSE),"")</f>
        <v/>
      </c>
    </row>
    <row r="1551" spans="18:23">
      <c r="R1551" s="97">
        <f t="shared" si="113"/>
        <v>0</v>
      </c>
      <c r="T1551" s="98">
        <f t="shared" si="112"/>
        <v>0</v>
      </c>
      <c r="U1551" s="99" t="str">
        <f>IFERROR(IF(#REF!="S",VLOOKUP('Raw Data'!A1551,References!#REF!,2,FALSE),(VLOOKUP($S1551,References!$B$3:$C$8,2,FALSE))),"")</f>
        <v/>
      </c>
      <c r="V1551" s="99" t="str">
        <f t="shared" si="114"/>
        <v/>
      </c>
      <c r="W1551" s="66" t="str">
        <f>IFERROR(VLOOKUP($O1551,'Customer List'!$A$1:$J$488,10,FALSE),"")</f>
        <v/>
      </c>
    </row>
    <row r="1552" spans="18:23">
      <c r="R1552" s="97">
        <f t="shared" si="113"/>
        <v>0</v>
      </c>
      <c r="T1552" s="98">
        <f t="shared" ref="T1552:T1615" si="115">IF(S1552="50 - Cleaning Fee",1,HOUR($R1552)+MINUTE(R1552)/60)</f>
        <v>0</v>
      </c>
      <c r="U1552" s="99" t="str">
        <f>IFERROR(IF(#REF!="S",VLOOKUP('Raw Data'!A1552,References!#REF!,2,FALSE),(VLOOKUP($S1552,References!$B$3:$C$8,2,FALSE))),"")</f>
        <v/>
      </c>
      <c r="V1552" s="99" t="str">
        <f t="shared" si="114"/>
        <v/>
      </c>
      <c r="W1552" s="66" t="str">
        <f>IFERROR(VLOOKUP($O1552,'Customer List'!$A$1:$J$488,10,FALSE),"")</f>
        <v/>
      </c>
    </row>
    <row r="1553" spans="18:23">
      <c r="R1553" s="97">
        <f t="shared" si="113"/>
        <v>0</v>
      </c>
      <c r="T1553" s="98">
        <f t="shared" si="115"/>
        <v>0</v>
      </c>
      <c r="U1553" s="99" t="str">
        <f>IFERROR(IF(#REF!="S",VLOOKUP('Raw Data'!A1553,References!#REF!,2,FALSE),(VLOOKUP($S1553,References!$B$3:$C$8,2,FALSE))),"")</f>
        <v/>
      </c>
      <c r="V1553" s="99" t="str">
        <f t="shared" si="114"/>
        <v/>
      </c>
      <c r="W1553" s="66" t="str">
        <f>IFERROR(VLOOKUP($O1553,'Customer List'!$A$1:$J$488,10,FALSE),"")</f>
        <v/>
      </c>
    </row>
    <row r="1554" spans="18:23">
      <c r="R1554" s="97">
        <f t="shared" si="113"/>
        <v>0</v>
      </c>
      <c r="T1554" s="98">
        <f t="shared" si="115"/>
        <v>0</v>
      </c>
      <c r="U1554" s="99" t="str">
        <f>IFERROR(IF(#REF!="S",VLOOKUP('Raw Data'!A1554,References!#REF!,2,FALSE),(VLOOKUP($S1554,References!$B$3:$C$8,2,FALSE))),"")</f>
        <v/>
      </c>
      <c r="V1554" s="99" t="str">
        <f t="shared" si="114"/>
        <v/>
      </c>
      <c r="W1554" s="66" t="str">
        <f>IFERROR(VLOOKUP($O1554,'Customer List'!$A$1:$J$488,10,FALSE),"")</f>
        <v/>
      </c>
    </row>
    <row r="1555" spans="18:23">
      <c r="R1555" s="97">
        <f t="shared" si="113"/>
        <v>0</v>
      </c>
      <c r="T1555" s="98">
        <f t="shared" si="115"/>
        <v>0</v>
      </c>
      <c r="U1555" s="99" t="str">
        <f>IFERROR(IF(#REF!="S",VLOOKUP('Raw Data'!A1555,References!#REF!,2,FALSE),(VLOOKUP($S1555,References!$B$3:$C$8,2,FALSE))),"")</f>
        <v/>
      </c>
      <c r="V1555" s="99" t="str">
        <f t="shared" si="114"/>
        <v/>
      </c>
      <c r="W1555" s="66" t="str">
        <f>IFERROR(VLOOKUP($O1555,'Customer List'!$A$1:$J$488,10,FALSE),"")</f>
        <v/>
      </c>
    </row>
    <row r="1556" spans="18:23">
      <c r="R1556" s="97">
        <f t="shared" si="113"/>
        <v>0</v>
      </c>
      <c r="T1556" s="98">
        <f t="shared" si="115"/>
        <v>0</v>
      </c>
      <c r="U1556" s="99" t="str">
        <f>IFERROR(IF(#REF!="S",VLOOKUP('Raw Data'!A1556,References!#REF!,2,FALSE),(VLOOKUP($S1556,References!$B$3:$C$8,2,FALSE))),"")</f>
        <v/>
      </c>
      <c r="V1556" s="99" t="str">
        <f t="shared" si="114"/>
        <v/>
      </c>
      <c r="W1556" s="66" t="str">
        <f>IFERROR(VLOOKUP($O1556,'Customer List'!$A$1:$J$488,10,FALSE),"")</f>
        <v/>
      </c>
    </row>
    <row r="1557" spans="18:23">
      <c r="R1557" s="97">
        <f t="shared" si="113"/>
        <v>0</v>
      </c>
      <c r="T1557" s="98">
        <f t="shared" si="115"/>
        <v>0</v>
      </c>
      <c r="U1557" s="99" t="str">
        <f>IFERROR(IF(#REF!="S",VLOOKUP('Raw Data'!A1557,References!#REF!,2,FALSE),(VLOOKUP($S1557,References!$B$3:$C$8,2,FALSE))),"")</f>
        <v/>
      </c>
      <c r="V1557" s="99" t="str">
        <f t="shared" si="114"/>
        <v/>
      </c>
      <c r="W1557" s="66" t="str">
        <f>IFERROR(VLOOKUP($O1557,'Customer List'!$A$1:$J$488,10,FALSE),"")</f>
        <v/>
      </c>
    </row>
    <row r="1558" spans="18:23">
      <c r="R1558" s="97">
        <f t="shared" si="113"/>
        <v>0</v>
      </c>
      <c r="T1558" s="98">
        <f t="shared" si="115"/>
        <v>0</v>
      </c>
      <c r="U1558" s="99" t="str">
        <f>IFERROR(IF(#REF!="S",VLOOKUP('Raw Data'!A1558,References!#REF!,2,FALSE),(VLOOKUP($S1558,References!$B$3:$C$8,2,FALSE))),"")</f>
        <v/>
      </c>
      <c r="V1558" s="99" t="str">
        <f t="shared" si="114"/>
        <v/>
      </c>
      <c r="W1558" s="66" t="str">
        <f>IFERROR(VLOOKUP($O1558,'Customer List'!$A$1:$J$488,10,FALSE),"")</f>
        <v/>
      </c>
    </row>
    <row r="1559" spans="18:23">
      <c r="R1559" s="97">
        <f t="shared" si="113"/>
        <v>0</v>
      </c>
      <c r="T1559" s="98">
        <f t="shared" si="115"/>
        <v>0</v>
      </c>
      <c r="U1559" s="99" t="str">
        <f>IFERROR(IF(#REF!="S",VLOOKUP('Raw Data'!A1559,References!#REF!,2,FALSE),(VLOOKUP($S1559,References!$B$3:$C$8,2,FALSE))),"")</f>
        <v/>
      </c>
      <c r="V1559" s="99" t="str">
        <f t="shared" si="114"/>
        <v/>
      </c>
      <c r="W1559" s="66" t="str">
        <f>IFERROR(VLOOKUP($O1559,'Customer List'!$A$1:$J$488,10,FALSE),"")</f>
        <v/>
      </c>
    </row>
    <row r="1560" spans="18:23">
      <c r="R1560" s="97">
        <f t="shared" si="113"/>
        <v>0</v>
      </c>
      <c r="T1560" s="98">
        <f t="shared" si="115"/>
        <v>0</v>
      </c>
      <c r="U1560" s="99" t="str">
        <f>IFERROR(IF(#REF!="S",VLOOKUP('Raw Data'!A1560,References!#REF!,2,FALSE),(VLOOKUP($S1560,References!$B$3:$C$8,2,FALSE))),"")</f>
        <v/>
      </c>
      <c r="V1560" s="99" t="str">
        <f t="shared" si="114"/>
        <v/>
      </c>
      <c r="W1560" s="66" t="str">
        <f>IFERROR(VLOOKUP($O1560,'Customer List'!$A$1:$J$488,10,FALSE),"")</f>
        <v/>
      </c>
    </row>
    <row r="1561" spans="18:23">
      <c r="R1561" s="97">
        <f t="shared" si="113"/>
        <v>0</v>
      </c>
      <c r="T1561" s="98">
        <f t="shared" si="115"/>
        <v>0</v>
      </c>
      <c r="U1561" s="99" t="str">
        <f>IFERROR(IF(#REF!="S",VLOOKUP('Raw Data'!A1561,References!#REF!,2,FALSE),(VLOOKUP($S1561,References!$B$3:$C$8,2,FALSE))),"")</f>
        <v/>
      </c>
      <c r="V1561" s="99" t="str">
        <f t="shared" si="114"/>
        <v/>
      </c>
      <c r="W1561" s="66" t="str">
        <f>IFERROR(VLOOKUP($O1561,'Customer List'!$A$1:$J$488,10,FALSE),"")</f>
        <v/>
      </c>
    </row>
    <row r="1562" spans="18:23">
      <c r="R1562" s="97">
        <f t="shared" si="113"/>
        <v>0</v>
      </c>
      <c r="T1562" s="98">
        <f t="shared" si="115"/>
        <v>0</v>
      </c>
      <c r="U1562" s="99" t="str">
        <f>IFERROR(IF(#REF!="S",VLOOKUP('Raw Data'!A1562,References!#REF!,2,FALSE),(VLOOKUP($S1562,References!$B$3:$C$8,2,FALSE))),"")</f>
        <v/>
      </c>
      <c r="V1562" s="99" t="str">
        <f t="shared" si="114"/>
        <v/>
      </c>
      <c r="W1562" s="66" t="str">
        <f>IFERROR(VLOOKUP($O1562,'Customer List'!$A$1:$J$488,10,FALSE),"")</f>
        <v/>
      </c>
    </row>
    <row r="1563" spans="18:23">
      <c r="R1563" s="97">
        <f t="shared" si="113"/>
        <v>0</v>
      </c>
      <c r="T1563" s="98">
        <f t="shared" si="115"/>
        <v>0</v>
      </c>
      <c r="U1563" s="99" t="str">
        <f>IFERROR(IF(#REF!="S",VLOOKUP('Raw Data'!A1563,References!#REF!,2,FALSE),(VLOOKUP($S1563,References!$B$3:$C$8,2,FALSE))),"")</f>
        <v/>
      </c>
      <c r="V1563" s="99" t="str">
        <f t="shared" si="114"/>
        <v/>
      </c>
      <c r="W1563" s="66" t="str">
        <f>IFERROR(VLOOKUP($O1563,'Customer List'!$A$1:$J$488,10,FALSE),"")</f>
        <v/>
      </c>
    </row>
    <row r="1564" spans="18:23">
      <c r="R1564" s="97">
        <f t="shared" si="113"/>
        <v>0</v>
      </c>
      <c r="T1564" s="98">
        <f t="shared" si="115"/>
        <v>0</v>
      </c>
      <c r="U1564" s="99" t="str">
        <f>IFERROR(IF(#REF!="S",VLOOKUP('Raw Data'!A1564,References!#REF!,2,FALSE),(VLOOKUP($S1564,References!$B$3:$C$8,2,FALSE))),"")</f>
        <v/>
      </c>
      <c r="V1564" s="99" t="str">
        <f t="shared" si="114"/>
        <v/>
      </c>
      <c r="W1564" s="66" t="str">
        <f>IFERROR(VLOOKUP($O1564,'Customer List'!$A$1:$J$488,10,FALSE),"")</f>
        <v/>
      </c>
    </row>
    <row r="1565" spans="18:23">
      <c r="R1565" s="97">
        <f t="shared" si="113"/>
        <v>0</v>
      </c>
      <c r="T1565" s="98">
        <f t="shared" si="115"/>
        <v>0</v>
      </c>
      <c r="U1565" s="99" t="str">
        <f>IFERROR(IF(#REF!="S",VLOOKUP('Raw Data'!A1565,References!#REF!,2,FALSE),(VLOOKUP($S1565,References!$B$3:$C$8,2,FALSE))),"")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3"/>
        <v>0</v>
      </c>
      <c r="T1566" s="98">
        <f t="shared" si="115"/>
        <v>0</v>
      </c>
      <c r="U1566" s="99" t="str">
        <f>IFERROR(IF(#REF!="S",VLOOKUP('Raw Data'!A1566,References!#REF!,2,FALSE),(VLOOKUP($S1566,References!$B$3:$C$8,2,FALSE))),"")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3"/>
        <v>0</v>
      </c>
      <c r="T1567" s="98">
        <f t="shared" si="115"/>
        <v>0</v>
      </c>
      <c r="U1567" s="99" t="str">
        <f>IFERROR(IF(#REF!="S",VLOOKUP('Raw Data'!A1567,References!#REF!,2,FALSE),(VLOOKUP($S1567,References!$B$3:$C$8,2,FALSE))),"")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3"/>
        <v>0</v>
      </c>
      <c r="T1568" s="98">
        <f t="shared" si="115"/>
        <v>0</v>
      </c>
      <c r="U1568" s="99" t="str">
        <f>IFERROR(IF(#REF!="S",VLOOKUP('Raw Data'!A1568,References!#REF!,2,FALSE),(VLOOKUP($S1568,References!$B$3:$C$8,2,FALSE))),"")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3"/>
        <v>0</v>
      </c>
      <c r="T1569" s="98">
        <f t="shared" si="115"/>
        <v>0</v>
      </c>
      <c r="U1569" s="99" t="str">
        <f>IFERROR(IF(#REF!="S",VLOOKUP('Raw Data'!A1569,References!#REF!,2,FALSE),(VLOOKUP($S1569,References!$B$3:$C$8,2,FALSE))),"")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3"/>
        <v>0</v>
      </c>
      <c r="T1570" s="98">
        <f t="shared" si="115"/>
        <v>0</v>
      </c>
      <c r="U1570" s="99" t="str">
        <f>IFERROR(IF(#REF!="S",VLOOKUP('Raw Data'!A1570,References!#REF!,2,FALSE),(VLOOKUP($S1570,References!$B$3:$C$8,2,FALSE))),"")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3"/>
        <v>0</v>
      </c>
      <c r="T1571" s="98">
        <f t="shared" si="115"/>
        <v>0</v>
      </c>
      <c r="U1571" s="99" t="str">
        <f>IFERROR(IF(#REF!="S",VLOOKUP('Raw Data'!A1571,References!#REF!,2,FALSE),(VLOOKUP($S1571,References!$B$3:$C$8,2,FALSE))),"")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3"/>
        <v>0</v>
      </c>
      <c r="T1572" s="98">
        <f t="shared" si="115"/>
        <v>0</v>
      </c>
      <c r="U1572" s="99" t="str">
        <f>IFERROR(IF(#REF!="S",VLOOKUP('Raw Data'!A1572,References!#REF!,2,FALSE),(VLOOKUP($S1572,References!$B$3:$C$8,2,FALSE))),"")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3"/>
        <v>0</v>
      </c>
      <c r="T1573" s="98">
        <f t="shared" si="115"/>
        <v>0</v>
      </c>
      <c r="U1573" s="99" t="str">
        <f>IFERROR(IF(#REF!="S",VLOOKUP('Raw Data'!A1573,References!#REF!,2,FALSE),(VLOOKUP($S1573,References!$B$3:$C$8,2,FALSE))),"")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3"/>
        <v>0</v>
      </c>
      <c r="T1574" s="98">
        <f t="shared" si="115"/>
        <v>0</v>
      </c>
      <c r="U1574" s="99" t="str">
        <f>IFERROR(IF(#REF!="S",VLOOKUP('Raw Data'!A1574,References!#REF!,2,FALSE),(VLOOKUP($S1574,References!$B$3:$C$8,2,FALSE))),"")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3"/>
        <v>0</v>
      </c>
      <c r="T1575" s="98">
        <f t="shared" si="115"/>
        <v>0</v>
      </c>
      <c r="U1575" s="99" t="str">
        <f>IFERROR(IF(#REF!="S",VLOOKUP('Raw Data'!A1575,References!#REF!,2,FALSE),(VLOOKUP($S1575,References!$B$3:$C$8,2,FALSE))),"")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3"/>
        <v>0</v>
      </c>
      <c r="T1576" s="98">
        <f t="shared" si="115"/>
        <v>0</v>
      </c>
      <c r="U1576" s="99" t="str">
        <f>IFERROR(IF(#REF!="S",VLOOKUP('Raw Data'!A1576,References!#REF!,2,FALSE),(VLOOKUP($S1576,References!$B$3:$C$8,2,FALSE))),"")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3"/>
        <v>0</v>
      </c>
      <c r="T1577" s="98">
        <f t="shared" si="115"/>
        <v>0</v>
      </c>
      <c r="U1577" s="99" t="str">
        <f>IFERROR(IF(#REF!="S",VLOOKUP('Raw Data'!A1577,References!#REF!,2,FALSE),(VLOOKUP($S1577,References!$B$3:$C$8,2,FALSE))),"")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3"/>
        <v>0</v>
      </c>
      <c r="T1578" s="98">
        <f t="shared" si="115"/>
        <v>0</v>
      </c>
      <c r="U1578" s="99" t="str">
        <f>IFERROR(IF(#REF!="S",VLOOKUP('Raw Data'!A1578,References!#REF!,2,FALSE),(VLOOKUP($S1578,References!$B$3:$C$8,2,FALSE))),"")</f>
        <v/>
      </c>
      <c r="W1578" s="66" t="str">
        <f>IFERROR(VLOOKUP($O1578,'Customer List'!$A$1:$J$488,10,FALSE),"")</f>
        <v/>
      </c>
    </row>
    <row r="1579" spans="18:23">
      <c r="R1579" s="97">
        <f t="shared" si="113"/>
        <v>0</v>
      </c>
      <c r="T1579" s="98">
        <f t="shared" si="115"/>
        <v>0</v>
      </c>
      <c r="U1579" s="99" t="str">
        <f>IFERROR(IF(#REF!="S",VLOOKUP('Raw Data'!A1579,References!#REF!,2,FALSE),(VLOOKUP($S1579,References!$B$3:$C$8,2,FALSE))),"")</f>
        <v/>
      </c>
      <c r="W1579" s="66" t="str">
        <f>IFERROR(VLOOKUP($O1579,'Customer List'!$A$1:$J$488,10,FALSE),"")</f>
        <v/>
      </c>
    </row>
    <row r="1580" spans="18:23">
      <c r="R1580" s="97">
        <f t="shared" ref="R1580:R1643" si="116">L1580-K1580</f>
        <v>0</v>
      </c>
      <c r="T1580" s="98">
        <f t="shared" si="115"/>
        <v>0</v>
      </c>
      <c r="U1580" s="99" t="str">
        <f>IFERROR(IF(#REF!="S",VLOOKUP('Raw Data'!A1580,References!#REF!,2,FALSE),(VLOOKUP($S1580,References!$B$3:$C$8,2,FALSE))),"")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6"/>
        <v>0</v>
      </c>
      <c r="T1581" s="98">
        <f t="shared" si="115"/>
        <v>0</v>
      </c>
      <c r="U1581" s="99" t="str">
        <f>IFERROR(IF(#REF!="S",VLOOKUP('Raw Data'!A1581,References!#REF!,2,FALSE),(VLOOKUP($S1581,References!$B$3:$C$8,2,FALSE))),"")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6"/>
        <v>0</v>
      </c>
      <c r="T1582" s="98">
        <f t="shared" si="115"/>
        <v>0</v>
      </c>
      <c r="U1582" s="99" t="str">
        <f>IFERROR(IF(#REF!="S",VLOOKUP('Raw Data'!A1582,References!#REF!,2,FALSE),(VLOOKUP($S1582,References!$B$3:$C$8,2,FALSE))),"")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6"/>
        <v>0</v>
      </c>
      <c r="T1583" s="98">
        <f t="shared" si="115"/>
        <v>0</v>
      </c>
      <c r="U1583" s="99" t="str">
        <f>IFERROR(IF(#REF!="S",VLOOKUP('Raw Data'!A1583,References!#REF!,2,FALSE),(VLOOKUP($S1583,References!$B$3:$C$8,2,FALSE))),"")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6"/>
        <v>0</v>
      </c>
      <c r="T1584" s="98">
        <f t="shared" si="115"/>
        <v>0</v>
      </c>
      <c r="U1584" s="99" t="str">
        <f>IFERROR(IF(#REF!="S",VLOOKUP('Raw Data'!A1584,References!#REF!,2,FALSE),(VLOOKUP($S1584,References!$B$3:$C$8,2,FALSE))),"")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6"/>
        <v>0</v>
      </c>
      <c r="T1585" s="98">
        <f t="shared" si="115"/>
        <v>0</v>
      </c>
      <c r="U1585" s="99" t="str">
        <f>IFERROR(IF(#REF!="S",VLOOKUP('Raw Data'!A1585,References!#REF!,2,FALSE),(VLOOKUP($S1585,References!$B$3:$C$8,2,FALSE))),"")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6"/>
        <v>0</v>
      </c>
      <c r="T1586" s="98">
        <f t="shared" si="115"/>
        <v>0</v>
      </c>
      <c r="U1586" s="99" t="str">
        <f>IFERROR(IF(#REF!="S",VLOOKUP('Raw Data'!A1586,References!#REF!,2,FALSE),(VLOOKUP($S1586,References!$B$3:$C$8,2,FALSE))),"")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6"/>
        <v>0</v>
      </c>
      <c r="T1587" s="98">
        <f t="shared" si="115"/>
        <v>0</v>
      </c>
      <c r="U1587" s="99" t="str">
        <f>IFERROR(IF(#REF!="S",VLOOKUP('Raw Data'!A1587,References!#REF!,2,FALSE),(VLOOKUP($S1587,References!$B$3:$C$8,2,FALSE))),"")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6"/>
        <v>0</v>
      </c>
      <c r="T1588" s="98">
        <f t="shared" si="115"/>
        <v>0</v>
      </c>
      <c r="U1588" s="99" t="str">
        <f>IFERROR(IF(#REF!="S",VLOOKUP('Raw Data'!A1588,References!#REF!,2,FALSE),(VLOOKUP($S1588,References!$B$3:$C$8,2,FALSE))),"")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6"/>
        <v>0</v>
      </c>
      <c r="T1589" s="98">
        <f t="shared" si="115"/>
        <v>0</v>
      </c>
      <c r="U1589" s="99" t="str">
        <f>IFERROR(IF(#REF!="S",VLOOKUP('Raw Data'!A1589,References!#REF!,2,FALSE),(VLOOKUP($S1589,References!$B$3:$C$8,2,FALSE))),"")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6"/>
        <v>0</v>
      </c>
      <c r="T1590" s="98">
        <f t="shared" si="115"/>
        <v>0</v>
      </c>
      <c r="U1590" s="99" t="str">
        <f>IFERROR(IF(#REF!="S",VLOOKUP('Raw Data'!A1590,References!#REF!,2,FALSE),(VLOOKUP($S1590,References!$B$3:$C$8,2,FALSE))),"")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6"/>
        <v>0</v>
      </c>
      <c r="T1591" s="98">
        <f t="shared" si="115"/>
        <v>0</v>
      </c>
      <c r="U1591" s="99" t="str">
        <f>IFERROR(IF(#REF!="S",VLOOKUP('Raw Data'!A1591,References!#REF!,2,FALSE),(VLOOKUP($S1591,References!$B$3:$C$8,2,FALSE))),"")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6"/>
        <v>0</v>
      </c>
      <c r="T1592" s="98">
        <f t="shared" si="115"/>
        <v>0</v>
      </c>
      <c r="U1592" s="99" t="str">
        <f>IFERROR(IF(#REF!="S",VLOOKUP('Raw Data'!A1592,References!#REF!,2,FALSE),(VLOOKUP($S1592,References!$B$3:$C$8,2,FALSE))),"")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6"/>
        <v>0</v>
      </c>
      <c r="T1593" s="98">
        <f t="shared" si="115"/>
        <v>0</v>
      </c>
      <c r="U1593" s="99" t="str">
        <f>IFERROR(IF(#REF!="S",VLOOKUP('Raw Data'!A1593,References!#REF!,2,FALSE),(VLOOKUP($S1593,References!$B$3:$C$8,2,FALSE))),"")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6"/>
        <v>0</v>
      </c>
      <c r="T1594" s="98">
        <f t="shared" si="115"/>
        <v>0</v>
      </c>
      <c r="U1594" s="99" t="str">
        <f>IFERROR(IF(#REF!="S",VLOOKUP('Raw Data'!A1594,References!#REF!,2,FALSE),(VLOOKUP($S1594,References!$B$3:$C$8,2,FALSE))),"")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6"/>
        <v>0</v>
      </c>
      <c r="T1595" s="98">
        <f t="shared" si="115"/>
        <v>0</v>
      </c>
      <c r="U1595" s="99" t="str">
        <f>IFERROR(IF(#REF!="S",VLOOKUP('Raw Data'!A1595,References!#REF!,2,FALSE),(VLOOKUP($S1595,References!$B$3:$C$8,2,FALSE))),"")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6"/>
        <v>0</v>
      </c>
      <c r="T1596" s="98">
        <f t="shared" si="115"/>
        <v>0</v>
      </c>
      <c r="U1596" s="99" t="str">
        <f>IFERROR(IF(#REF!="S",VLOOKUP('Raw Data'!A1596,References!#REF!,2,FALSE),(VLOOKUP($S1596,References!$B$3:$C$8,2,FALSE))),"")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6"/>
        <v>0</v>
      </c>
      <c r="T1597" s="98">
        <f t="shared" si="115"/>
        <v>0</v>
      </c>
      <c r="U1597" s="99" t="str">
        <f>IFERROR(IF(#REF!="S",VLOOKUP('Raw Data'!A1597,References!#REF!,2,FALSE),(VLOOKUP($S1597,References!$B$3:$C$8,2,FALSE))),"")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6"/>
        <v>0</v>
      </c>
      <c r="T1598" s="98">
        <f t="shared" si="115"/>
        <v>0</v>
      </c>
      <c r="U1598" s="99" t="str">
        <f>IFERROR(IF(#REF!="S",VLOOKUP('Raw Data'!A1598,References!#REF!,2,FALSE),(VLOOKUP($S1598,References!$B$3:$C$8,2,FALSE))),"")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6"/>
        <v>0</v>
      </c>
      <c r="T1599" s="98">
        <f t="shared" si="115"/>
        <v>0</v>
      </c>
      <c r="U1599" s="99" t="str">
        <f>IFERROR(IF(#REF!="S",VLOOKUP('Raw Data'!A1599,References!#REF!,2,FALSE),(VLOOKUP($S1599,References!$B$3:$C$8,2,FALSE))),"")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6"/>
        <v>0</v>
      </c>
      <c r="T1600" s="98">
        <f t="shared" si="115"/>
        <v>0</v>
      </c>
      <c r="U1600" s="99" t="str">
        <f>IFERROR(IF(#REF!="S",VLOOKUP('Raw Data'!A1600,References!#REF!,2,FALSE),(VLOOKUP($S1600,References!$B$3:$C$8,2,FALSE))),"")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6"/>
        <v>0</v>
      </c>
      <c r="T1601" s="98">
        <f t="shared" si="115"/>
        <v>0</v>
      </c>
      <c r="U1601" s="99" t="str">
        <f>IFERROR(IF(#REF!="S",VLOOKUP('Raw Data'!A1601,References!#REF!,2,FALSE),(VLOOKUP($S1601,References!$B$3:$C$8,2,FALSE))),"")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6"/>
        <v>0</v>
      </c>
      <c r="T1602" s="98">
        <f t="shared" si="115"/>
        <v>0</v>
      </c>
      <c r="U1602" s="99" t="str">
        <f>IFERROR(IF(#REF!="S",VLOOKUP('Raw Data'!A1602,References!#REF!,2,FALSE),(VLOOKUP($S1602,References!$B$3:$C$8,2,FALSE))),"")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6"/>
        <v>0</v>
      </c>
      <c r="T1603" s="98">
        <f t="shared" si="115"/>
        <v>0</v>
      </c>
      <c r="U1603" s="99" t="str">
        <f>IFERROR(IF(#REF!="S",VLOOKUP('Raw Data'!A1603,References!#REF!,2,FALSE),(VLOOKUP($S1603,References!$B$3:$C$8,2,FALSE))),"")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6"/>
        <v>0</v>
      </c>
      <c r="T1604" s="98">
        <f t="shared" si="115"/>
        <v>0</v>
      </c>
      <c r="U1604" s="99" t="str">
        <f>IFERROR(IF(#REF!="S",VLOOKUP('Raw Data'!A1604,References!#REF!,2,FALSE),(VLOOKUP($S1604,References!$B$3:$C$8,2,FALSE))),"")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6"/>
        <v>0</v>
      </c>
      <c r="T1605" s="98">
        <f t="shared" si="115"/>
        <v>0</v>
      </c>
      <c r="U1605" s="99" t="str">
        <f>IFERROR(IF(#REF!="S",VLOOKUP('Raw Data'!A1605,References!#REF!,2,FALSE),(VLOOKUP($S1605,References!$B$3:$C$8,2,FALSE))),"")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6"/>
        <v>0</v>
      </c>
      <c r="T1606" s="98">
        <f t="shared" si="115"/>
        <v>0</v>
      </c>
      <c r="U1606" s="99" t="str">
        <f>IFERROR(IF(#REF!="S",VLOOKUP('Raw Data'!A1606,References!#REF!,2,FALSE),(VLOOKUP($S1606,References!$B$3:$C$8,2,FALSE))),"")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6"/>
        <v>0</v>
      </c>
      <c r="T1607" s="98">
        <f t="shared" si="115"/>
        <v>0</v>
      </c>
      <c r="U1607" s="99" t="str">
        <f>IFERROR(IF(#REF!="S",VLOOKUP('Raw Data'!A1607,References!#REF!,2,FALSE),(VLOOKUP($S1607,References!$B$3:$C$8,2,FALSE))),"")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6"/>
        <v>0</v>
      </c>
      <c r="T1608" s="98">
        <f t="shared" si="115"/>
        <v>0</v>
      </c>
      <c r="U1608" s="99" t="str">
        <f>IFERROR(IF(#REF!="S",VLOOKUP('Raw Data'!A1608,References!#REF!,2,FALSE),(VLOOKUP($S1608,References!$B$3:$C$8,2,FALSE))),"")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6"/>
        <v>0</v>
      </c>
      <c r="T1609" s="98">
        <f t="shared" si="115"/>
        <v>0</v>
      </c>
      <c r="U1609" s="99" t="str">
        <f>IFERROR(IF(#REF!="S",VLOOKUP('Raw Data'!A1609,References!#REF!,2,FALSE),(VLOOKUP($S1609,References!$B$3:$C$8,2,FALSE))),"")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6"/>
        <v>0</v>
      </c>
      <c r="T1610" s="98">
        <f t="shared" si="115"/>
        <v>0</v>
      </c>
      <c r="U1610" s="99" t="str">
        <f>IFERROR(IF(#REF!="S",VLOOKUP('Raw Data'!A1610,References!#REF!,2,FALSE),(VLOOKUP($S1610,References!$B$3:$C$8,2,FALSE))),"")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6"/>
        <v>0</v>
      </c>
      <c r="T1611" s="98">
        <f t="shared" si="115"/>
        <v>0</v>
      </c>
      <c r="U1611" s="99" t="str">
        <f>IFERROR(IF(#REF!="S",VLOOKUP('Raw Data'!A1611,References!#REF!,2,FALSE),(VLOOKUP($S1611,References!$B$3:$C$8,2,FALSE))),"")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6"/>
        <v>0</v>
      </c>
      <c r="T1612" s="98">
        <f t="shared" si="115"/>
        <v>0</v>
      </c>
      <c r="U1612" s="99" t="str">
        <f>IFERROR(IF(#REF!="S",VLOOKUP('Raw Data'!A1612,References!#REF!,2,FALSE),(VLOOKUP($S1612,References!$B$3:$C$8,2,FALSE))),"")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6"/>
        <v>0</v>
      </c>
      <c r="T1613" s="98">
        <f t="shared" si="115"/>
        <v>0</v>
      </c>
      <c r="U1613" s="99" t="str">
        <f>IFERROR(IF(#REF!="S",VLOOKUP('Raw Data'!A1613,References!#REF!,2,FALSE),(VLOOKUP($S1613,References!$B$3:$C$8,2,FALSE))),"")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6"/>
        <v>0</v>
      </c>
      <c r="T1614" s="98">
        <f t="shared" si="115"/>
        <v>0</v>
      </c>
      <c r="U1614" s="99" t="str">
        <f>IFERROR(IF(#REF!="S",VLOOKUP('Raw Data'!A1614,References!#REF!,2,FALSE),(VLOOKUP($S1614,References!$B$3:$C$8,2,FALSE))),"")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6"/>
        <v>0</v>
      </c>
      <c r="T1615" s="98">
        <f t="shared" si="115"/>
        <v>0</v>
      </c>
      <c r="U1615" s="99" t="str">
        <f>IFERROR(IF(#REF!="S",VLOOKUP('Raw Data'!A1615,References!#REF!,2,FALSE),(VLOOKUP($S1615,References!$B$3:$C$8,2,FALSE))),"")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6"/>
        <v>0</v>
      </c>
      <c r="T1616" s="98">
        <f t="shared" ref="T1616:T1679" si="117">IF(S1616="50 - Cleaning Fee",1,HOUR($R1616)+MINUTE(R1616)/60)</f>
        <v>0</v>
      </c>
      <c r="U1616" s="99" t="str">
        <f>IFERROR(IF(#REF!="S",VLOOKUP('Raw Data'!A1616,References!#REF!,2,FALSE),(VLOOKUP($S1616,References!$B$3:$C$8,2,FALSE))),"")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6"/>
        <v>0</v>
      </c>
      <c r="T1617" s="98">
        <f t="shared" si="117"/>
        <v>0</v>
      </c>
      <c r="U1617" s="99" t="str">
        <f>IFERROR(IF(#REF!="S",VLOOKUP('Raw Data'!A1617,References!#REF!,2,FALSE),(VLOOKUP($S1617,References!$B$3:$C$8,2,FALSE))),"")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6"/>
        <v>0</v>
      </c>
      <c r="T1618" s="98">
        <f t="shared" si="117"/>
        <v>0</v>
      </c>
      <c r="U1618" s="99" t="str">
        <f>IFERROR(IF(#REF!="S",VLOOKUP('Raw Data'!A1618,References!#REF!,2,FALSE),(VLOOKUP($S1618,References!$B$3:$C$8,2,FALSE))),"")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6"/>
        <v>0</v>
      </c>
      <c r="T1619" s="98">
        <f t="shared" si="117"/>
        <v>0</v>
      </c>
      <c r="U1619" s="99" t="str">
        <f>IFERROR(IF(#REF!="S",VLOOKUP('Raw Data'!A1619,References!#REF!,2,FALSE),(VLOOKUP($S1619,References!$B$3:$C$8,2,FALSE))),"")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6"/>
        <v>0</v>
      </c>
      <c r="T1620" s="98">
        <f t="shared" si="117"/>
        <v>0</v>
      </c>
      <c r="U1620" s="99" t="str">
        <f>IFERROR(IF(#REF!="S",VLOOKUP('Raw Data'!A1620,References!#REF!,2,FALSE),(VLOOKUP($S1620,References!$B$3:$C$8,2,FALSE))),"")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6"/>
        <v>0</v>
      </c>
      <c r="T1621" s="98">
        <f t="shared" si="117"/>
        <v>0</v>
      </c>
      <c r="U1621" s="99" t="str">
        <f>IFERROR(IF(#REF!="S",VLOOKUP('Raw Data'!A1621,References!#REF!,2,FALSE),(VLOOKUP($S1621,References!$B$3:$C$8,2,FALSE))),"")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6"/>
        <v>0</v>
      </c>
      <c r="T1622" s="98">
        <f t="shared" si="117"/>
        <v>0</v>
      </c>
      <c r="U1622" s="99" t="str">
        <f>IFERROR(IF(#REF!="S",VLOOKUP('Raw Data'!A1622,References!#REF!,2,FALSE),(VLOOKUP($S1622,References!$B$3:$C$8,2,FALSE))),"")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6"/>
        <v>0</v>
      </c>
      <c r="T1623" s="98">
        <f t="shared" si="117"/>
        <v>0</v>
      </c>
      <c r="U1623" s="99" t="str">
        <f>IFERROR(IF(#REF!="S",VLOOKUP('Raw Data'!A1623,References!#REF!,2,FALSE),(VLOOKUP($S1623,References!$B$3:$C$8,2,FALSE))),"")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6"/>
        <v>0</v>
      </c>
      <c r="T1624" s="98">
        <f t="shared" si="117"/>
        <v>0</v>
      </c>
      <c r="U1624" s="99" t="str">
        <f>IFERROR(IF(#REF!="S",VLOOKUP('Raw Data'!A1624,References!#REF!,2,FALSE),(VLOOKUP($S1624,References!$B$3:$C$8,2,FALSE))),"")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6"/>
        <v>0</v>
      </c>
      <c r="T1625" s="98">
        <f t="shared" si="117"/>
        <v>0</v>
      </c>
      <c r="U1625" s="99" t="str">
        <f>IFERROR(IF(#REF!="S",VLOOKUP('Raw Data'!A1625,References!#REF!,2,FALSE),(VLOOKUP($S1625,References!$B$3:$C$8,2,FALSE))),"")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6"/>
        <v>0</v>
      </c>
      <c r="T1626" s="98">
        <f t="shared" si="117"/>
        <v>0</v>
      </c>
      <c r="U1626" s="99" t="str">
        <f>IFERROR(IF(#REF!="S",VLOOKUP('Raw Data'!A1626,References!#REF!,2,FALSE),(VLOOKUP($S1626,References!$B$3:$C$8,2,FALSE))),"")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6"/>
        <v>0</v>
      </c>
      <c r="T1627" s="98">
        <f t="shared" si="117"/>
        <v>0</v>
      </c>
      <c r="U1627" s="99" t="str">
        <f>IFERROR(IF(#REF!="S",VLOOKUP('Raw Data'!A1627,References!#REF!,2,FALSE),(VLOOKUP($S1627,References!$B$3:$C$8,2,FALSE))),"")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6"/>
        <v>0</v>
      </c>
      <c r="T1628" s="98">
        <f t="shared" si="117"/>
        <v>0</v>
      </c>
      <c r="U1628" s="99" t="str">
        <f>IFERROR(IF(#REF!="S",VLOOKUP('Raw Data'!A1628,References!#REF!,2,FALSE),(VLOOKUP($S1628,References!$B$3:$C$8,2,FALSE))),"")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6"/>
        <v>0</v>
      </c>
      <c r="T1629" s="98">
        <f t="shared" si="117"/>
        <v>0</v>
      </c>
      <c r="U1629" s="99" t="str">
        <f>IFERROR(IF(#REF!="S",VLOOKUP('Raw Data'!A1629,References!#REF!,2,FALSE),(VLOOKUP($S1629,References!$B$3:$C$8,2,FALSE))),"")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6"/>
        <v>0</v>
      </c>
      <c r="T1630" s="98">
        <f t="shared" si="117"/>
        <v>0</v>
      </c>
      <c r="U1630" s="99" t="str">
        <f>IFERROR(IF(#REF!="S",VLOOKUP('Raw Data'!A1630,References!#REF!,2,FALSE),(VLOOKUP($S1630,References!$B$3:$C$8,2,FALSE))),"")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6"/>
        <v>0</v>
      </c>
      <c r="T1631" s="98">
        <f t="shared" si="117"/>
        <v>0</v>
      </c>
      <c r="U1631" s="99" t="str">
        <f>IFERROR(IF(#REF!="S",VLOOKUP('Raw Data'!A1631,References!#REF!,2,FALSE),(VLOOKUP($S1631,References!$B$3:$C$8,2,FALSE))),"")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6"/>
        <v>0</v>
      </c>
      <c r="T1632" s="98">
        <f t="shared" si="117"/>
        <v>0</v>
      </c>
      <c r="U1632" s="99" t="str">
        <f>IFERROR(IF(#REF!="S",VLOOKUP('Raw Data'!A1632,References!#REF!,2,FALSE),(VLOOKUP($S1632,References!$B$3:$C$8,2,FALSE))),"")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6"/>
        <v>0</v>
      </c>
      <c r="T1633" s="98">
        <f t="shared" si="117"/>
        <v>0</v>
      </c>
      <c r="U1633" s="99" t="str">
        <f>IFERROR(IF(#REF!="S",VLOOKUP('Raw Data'!A1633,References!#REF!,2,FALSE),(VLOOKUP($S1633,References!$B$3:$C$8,2,FALSE))),"")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6"/>
        <v>0</v>
      </c>
      <c r="T1634" s="98">
        <f t="shared" si="117"/>
        <v>0</v>
      </c>
      <c r="U1634" s="99" t="str">
        <f>IFERROR(IF(#REF!="S",VLOOKUP('Raw Data'!A1634,References!#REF!,2,FALSE),(VLOOKUP($S1634,References!$B$3:$C$8,2,FALSE))),"")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6"/>
        <v>0</v>
      </c>
      <c r="T1635" s="98">
        <f t="shared" si="117"/>
        <v>0</v>
      </c>
      <c r="U1635" s="99" t="str">
        <f>IFERROR(IF(#REF!="S",VLOOKUP('Raw Data'!A1635,References!#REF!,2,FALSE),(VLOOKUP($S1635,References!$B$3:$C$8,2,FALSE))),"")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6"/>
        <v>0</v>
      </c>
      <c r="T1636" s="98">
        <f t="shared" si="117"/>
        <v>0</v>
      </c>
      <c r="U1636" s="99" t="str">
        <f>IFERROR(IF(#REF!="S",VLOOKUP('Raw Data'!A1636,References!#REF!,2,FALSE),(VLOOKUP($S1636,References!$B$3:$C$8,2,FALSE))),"")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6"/>
        <v>0</v>
      </c>
      <c r="T1637" s="98">
        <f t="shared" si="117"/>
        <v>0</v>
      </c>
      <c r="U1637" s="99" t="str">
        <f>IFERROR(IF(#REF!="S",VLOOKUP('Raw Data'!A1637,References!#REF!,2,FALSE),(VLOOKUP($S1637,References!$B$3:$C$8,2,FALSE))),"")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6"/>
        <v>0</v>
      </c>
      <c r="T1638" s="98">
        <f t="shared" si="117"/>
        <v>0</v>
      </c>
      <c r="U1638" s="99" t="str">
        <f>IFERROR(IF(#REF!="S",VLOOKUP('Raw Data'!A1638,References!#REF!,2,FALSE),(VLOOKUP($S1638,References!$B$3:$C$8,2,FALSE))),"")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6"/>
        <v>0</v>
      </c>
      <c r="T1639" s="98">
        <f t="shared" si="117"/>
        <v>0</v>
      </c>
      <c r="U1639" s="99" t="str">
        <f>IFERROR(IF(#REF!="S",VLOOKUP('Raw Data'!A1639,References!#REF!,2,FALSE),(VLOOKUP($S1639,References!$B$3:$C$8,2,FALSE))),"")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6"/>
        <v>0</v>
      </c>
      <c r="T1640" s="98">
        <f t="shared" si="117"/>
        <v>0</v>
      </c>
      <c r="U1640" s="99" t="str">
        <f>IFERROR(IF(#REF!="S",VLOOKUP('Raw Data'!A1640,References!#REF!,2,FALSE),(VLOOKUP($S1640,References!$B$3:$C$8,2,FALSE))),"")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6"/>
        <v>0</v>
      </c>
      <c r="T1641" s="98">
        <f t="shared" si="117"/>
        <v>0</v>
      </c>
      <c r="U1641" s="99" t="str">
        <f>IFERROR(IF(#REF!="S",VLOOKUP('Raw Data'!A1641,References!#REF!,2,FALSE),(VLOOKUP($S1641,References!$B$3:$C$8,2,FALSE))),"")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6"/>
        <v>0</v>
      </c>
      <c r="T1642" s="98">
        <f t="shared" si="117"/>
        <v>0</v>
      </c>
      <c r="U1642" s="99" t="str">
        <f>IFERROR(IF(#REF!="S",VLOOKUP('Raw Data'!A1642,References!#REF!,2,FALSE),(VLOOKUP($S1642,References!$B$3:$C$8,2,FALSE))),"")</f>
        <v/>
      </c>
      <c r="W1642" s="66" t="str">
        <f>IFERROR(VLOOKUP($O1642,'Customer List'!$A$1:$J$488,10,FALSE),"")</f>
        <v/>
      </c>
    </row>
    <row r="1643" spans="18:23">
      <c r="R1643" s="97">
        <f t="shared" si="116"/>
        <v>0</v>
      </c>
      <c r="T1643" s="98">
        <f t="shared" si="117"/>
        <v>0</v>
      </c>
      <c r="U1643" s="99" t="str">
        <f>IFERROR(IF(#REF!="S",VLOOKUP('Raw Data'!A1643,References!#REF!,2,FALSE),(VLOOKUP($S1643,References!$B$3:$C$8,2,FALSE))),"")</f>
        <v/>
      </c>
      <c r="W1643" s="66" t="str">
        <f>IFERROR(VLOOKUP($O1643,'Customer List'!$A$1:$J$488,10,FALSE),"")</f>
        <v/>
      </c>
    </row>
    <row r="1644" spans="18:23">
      <c r="R1644" s="97">
        <f t="shared" ref="R1644:R1707" si="118">L1644-K1644</f>
        <v>0</v>
      </c>
      <c r="T1644" s="98">
        <f t="shared" si="117"/>
        <v>0</v>
      </c>
      <c r="U1644" s="99" t="str">
        <f>IFERROR(IF(#REF!="S",VLOOKUP('Raw Data'!A1644,References!#REF!,2,FALSE),(VLOOKUP($S1644,References!$B$3:$C$8,2,FALSE))),"")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18"/>
        <v>0</v>
      </c>
      <c r="T1645" s="98">
        <f t="shared" si="117"/>
        <v>0</v>
      </c>
      <c r="U1645" s="99" t="str">
        <f>IFERROR(IF(#REF!="S",VLOOKUP('Raw Data'!A1645,References!#REF!,2,FALSE),(VLOOKUP($S1645,References!$B$3:$C$8,2,FALSE))),"")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18"/>
        <v>0</v>
      </c>
      <c r="T1646" s="98">
        <f t="shared" si="117"/>
        <v>0</v>
      </c>
      <c r="U1646" s="99" t="str">
        <f>IFERROR(IF(#REF!="S",VLOOKUP('Raw Data'!A1646,References!#REF!,2,FALSE),(VLOOKUP($S1646,References!$B$3:$C$8,2,FALSE))),"")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18"/>
        <v>0</v>
      </c>
      <c r="T1647" s="98">
        <f t="shared" si="117"/>
        <v>0</v>
      </c>
      <c r="U1647" s="99" t="str">
        <f>IFERROR(IF(#REF!="S",VLOOKUP('Raw Data'!A1647,References!#REF!,2,FALSE),(VLOOKUP($S1647,References!$B$3:$C$8,2,FALSE))),"")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18"/>
        <v>0</v>
      </c>
      <c r="T1648" s="98">
        <f t="shared" si="117"/>
        <v>0</v>
      </c>
      <c r="U1648" s="99" t="str">
        <f>IFERROR(IF(#REF!="S",VLOOKUP('Raw Data'!A1648,References!#REF!,2,FALSE),(VLOOKUP($S1648,References!$B$3:$C$8,2,FALSE))),"")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18"/>
        <v>0</v>
      </c>
      <c r="T1649" s="98">
        <f t="shared" si="117"/>
        <v>0</v>
      </c>
      <c r="U1649" s="99" t="str">
        <f>IFERROR(IF(#REF!="S",VLOOKUP('Raw Data'!A1649,References!#REF!,2,FALSE),(VLOOKUP($S1649,References!$B$3:$C$8,2,FALSE))),"")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18"/>
        <v>0</v>
      </c>
      <c r="T1650" s="98">
        <f t="shared" si="117"/>
        <v>0</v>
      </c>
      <c r="U1650" s="99" t="str">
        <f>IFERROR(IF(#REF!="S",VLOOKUP('Raw Data'!A1650,References!#REF!,2,FALSE),(VLOOKUP($S1650,References!$B$3:$C$8,2,FALSE))),"")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18"/>
        <v>0</v>
      </c>
      <c r="T1651" s="98">
        <f t="shared" si="117"/>
        <v>0</v>
      </c>
      <c r="U1651" s="99" t="str">
        <f>IFERROR(IF(#REF!="S",VLOOKUP('Raw Data'!A1651,References!#REF!,2,FALSE),(VLOOKUP($S1651,References!$B$3:$C$8,2,FALSE))),"")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18"/>
        <v>0</v>
      </c>
      <c r="T1652" s="98">
        <f t="shared" si="117"/>
        <v>0</v>
      </c>
      <c r="U1652" s="99" t="str">
        <f>IFERROR(IF(#REF!="S",VLOOKUP('Raw Data'!A1652,References!#REF!,2,FALSE),(VLOOKUP($S1652,References!$B$3:$C$8,2,FALSE))),"")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18"/>
        <v>0</v>
      </c>
      <c r="T1653" s="98">
        <f t="shared" si="117"/>
        <v>0</v>
      </c>
      <c r="U1653" s="99" t="str">
        <f>IFERROR(IF(#REF!="S",VLOOKUP('Raw Data'!A1653,References!#REF!,2,FALSE),(VLOOKUP($S1653,References!$B$3:$C$8,2,FALSE))),"")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18"/>
        <v>0</v>
      </c>
      <c r="T1654" s="98">
        <f t="shared" si="117"/>
        <v>0</v>
      </c>
      <c r="U1654" s="99" t="str">
        <f>IFERROR(IF(#REF!="S",VLOOKUP('Raw Data'!A1654,References!#REF!,2,FALSE),(VLOOKUP($S1654,References!$B$3:$C$8,2,FALSE))),"")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18"/>
        <v>0</v>
      </c>
      <c r="T1655" s="98">
        <f t="shared" si="117"/>
        <v>0</v>
      </c>
      <c r="U1655" s="99" t="str">
        <f>IFERROR(IF(#REF!="S",VLOOKUP('Raw Data'!A1655,References!#REF!,2,FALSE),(VLOOKUP($S1655,References!$B$3:$C$8,2,FALSE))),"")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18"/>
        <v>0</v>
      </c>
      <c r="T1656" s="98">
        <f t="shared" si="117"/>
        <v>0</v>
      </c>
      <c r="U1656" s="99" t="str">
        <f>IFERROR(IF(#REF!="S",VLOOKUP('Raw Data'!A1656,References!#REF!,2,FALSE),(VLOOKUP($S1656,References!$B$3:$C$8,2,FALSE))),"")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18"/>
        <v>0</v>
      </c>
      <c r="T1657" s="98">
        <f t="shared" si="117"/>
        <v>0</v>
      </c>
      <c r="U1657" s="99" t="str">
        <f>IFERROR(IF(#REF!="S",VLOOKUP('Raw Data'!A1657,References!#REF!,2,FALSE),(VLOOKUP($S1657,References!$B$3:$C$8,2,FALSE))),"")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18"/>
        <v>0</v>
      </c>
      <c r="T1658" s="98">
        <f t="shared" si="117"/>
        <v>0</v>
      </c>
      <c r="U1658" s="99" t="str">
        <f>IFERROR(IF(#REF!="S",VLOOKUP('Raw Data'!A1658,References!#REF!,2,FALSE),(VLOOKUP($S1658,References!$B$3:$C$8,2,FALSE))),"")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18"/>
        <v>0</v>
      </c>
      <c r="T1659" s="98">
        <f t="shared" si="117"/>
        <v>0</v>
      </c>
      <c r="U1659" s="99" t="str">
        <f>IFERROR(IF(#REF!="S",VLOOKUP('Raw Data'!A1659,References!#REF!,2,FALSE),(VLOOKUP($S1659,References!$B$3:$C$8,2,FALSE))),"")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18"/>
        <v>0</v>
      </c>
      <c r="T1660" s="98">
        <f t="shared" si="117"/>
        <v>0</v>
      </c>
      <c r="U1660" s="99" t="str">
        <f>IFERROR(IF(#REF!="S",VLOOKUP('Raw Data'!A1660,References!#REF!,2,FALSE),(VLOOKUP($S1660,References!$B$3:$C$8,2,FALSE))),"")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18"/>
        <v>0</v>
      </c>
      <c r="T1661" s="98">
        <f t="shared" si="117"/>
        <v>0</v>
      </c>
      <c r="U1661" s="99" t="str">
        <f>IFERROR(IF(#REF!="S",VLOOKUP('Raw Data'!A1661,References!#REF!,2,FALSE),(VLOOKUP($S1661,References!$B$3:$C$8,2,FALSE))),"")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18"/>
        <v>0</v>
      </c>
      <c r="T1662" s="98">
        <f t="shared" si="117"/>
        <v>0</v>
      </c>
      <c r="U1662" s="99" t="str">
        <f>IFERROR(IF(#REF!="S",VLOOKUP('Raw Data'!A1662,References!#REF!,2,FALSE),(VLOOKUP($S1662,References!$B$3:$C$8,2,FALSE))),"")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18"/>
        <v>0</v>
      </c>
      <c r="T1663" s="98">
        <f t="shared" si="117"/>
        <v>0</v>
      </c>
      <c r="U1663" s="99" t="str">
        <f>IFERROR(IF(#REF!="S",VLOOKUP('Raw Data'!A1663,References!#REF!,2,FALSE),(VLOOKUP($S1663,References!$B$3:$C$8,2,FALSE))),"")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18"/>
        <v>0</v>
      </c>
      <c r="T1664" s="98">
        <f t="shared" si="117"/>
        <v>0</v>
      </c>
      <c r="U1664" s="99" t="str">
        <f>IFERROR(IF(#REF!="S",VLOOKUP('Raw Data'!A1664,References!#REF!,2,FALSE),(VLOOKUP($S1664,References!$B$3:$C$8,2,FALSE))),"")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18"/>
        <v>0</v>
      </c>
      <c r="T1665" s="98">
        <f t="shared" si="117"/>
        <v>0</v>
      </c>
      <c r="U1665" s="99" t="str">
        <f>IFERROR(IF(#REF!="S",VLOOKUP('Raw Data'!A1665,References!#REF!,2,FALSE),(VLOOKUP($S1665,References!$B$3:$C$8,2,FALSE))),"")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18"/>
        <v>0</v>
      </c>
      <c r="T1666" s="98">
        <f t="shared" si="117"/>
        <v>0</v>
      </c>
      <c r="U1666" s="99" t="str">
        <f>IFERROR(IF(#REF!="S",VLOOKUP('Raw Data'!A1666,References!#REF!,2,FALSE),(VLOOKUP($S1666,References!$B$3:$C$8,2,FALSE))),"")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18"/>
        <v>0</v>
      </c>
      <c r="T1667" s="98">
        <f t="shared" si="117"/>
        <v>0</v>
      </c>
      <c r="U1667" s="99" t="str">
        <f>IFERROR(IF(#REF!="S",VLOOKUP('Raw Data'!A1667,References!#REF!,2,FALSE),(VLOOKUP($S1667,References!$B$3:$C$8,2,FALSE))),"")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18"/>
        <v>0</v>
      </c>
      <c r="T1668" s="98">
        <f t="shared" si="117"/>
        <v>0</v>
      </c>
      <c r="U1668" s="99" t="str">
        <f>IFERROR(IF(#REF!="S",VLOOKUP('Raw Data'!A1668,References!#REF!,2,FALSE),(VLOOKUP($S1668,References!$B$3:$C$8,2,FALSE))),"")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18"/>
        <v>0</v>
      </c>
      <c r="T1669" s="98">
        <f t="shared" si="117"/>
        <v>0</v>
      </c>
      <c r="U1669" s="99" t="str">
        <f>IFERROR(IF(#REF!="S",VLOOKUP('Raw Data'!A1669,References!#REF!,2,FALSE),(VLOOKUP($S1669,References!$B$3:$C$8,2,FALSE))),"")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18"/>
        <v>0</v>
      </c>
      <c r="T1670" s="98">
        <f t="shared" si="117"/>
        <v>0</v>
      </c>
      <c r="U1670" s="99" t="str">
        <f>IFERROR(IF(#REF!="S",VLOOKUP('Raw Data'!A1670,References!#REF!,2,FALSE),(VLOOKUP($S1670,References!$B$3:$C$8,2,FALSE))),"")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18"/>
        <v>0</v>
      </c>
      <c r="T1671" s="98">
        <f t="shared" si="117"/>
        <v>0</v>
      </c>
      <c r="U1671" s="99" t="str">
        <f>IFERROR(IF(#REF!="S",VLOOKUP('Raw Data'!A1671,References!#REF!,2,FALSE),(VLOOKUP($S1671,References!$B$3:$C$8,2,FALSE))),"")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18"/>
        <v>0</v>
      </c>
      <c r="T1672" s="98">
        <f t="shared" si="117"/>
        <v>0</v>
      </c>
      <c r="U1672" s="99" t="str">
        <f>IFERROR(IF(#REF!="S",VLOOKUP('Raw Data'!A1672,References!#REF!,2,FALSE),(VLOOKUP($S1672,References!$B$3:$C$8,2,FALSE))),"")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18"/>
        <v>0</v>
      </c>
      <c r="T1673" s="98">
        <f t="shared" si="117"/>
        <v>0</v>
      </c>
      <c r="U1673" s="99" t="str">
        <f>IFERROR(IF(#REF!="S",VLOOKUP('Raw Data'!A1673,References!#REF!,2,FALSE),(VLOOKUP($S1673,References!$B$3:$C$8,2,FALSE))),"")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18"/>
        <v>0</v>
      </c>
      <c r="T1674" s="98">
        <f t="shared" si="117"/>
        <v>0</v>
      </c>
      <c r="U1674" s="99" t="str">
        <f>IFERROR(IF(#REF!="S",VLOOKUP('Raw Data'!A1674,References!#REF!,2,FALSE),(VLOOKUP($S1674,References!$B$3:$C$8,2,FALSE))),"")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18"/>
        <v>0</v>
      </c>
      <c r="T1675" s="98">
        <f t="shared" si="117"/>
        <v>0</v>
      </c>
      <c r="U1675" s="99" t="str">
        <f>IFERROR(IF(#REF!="S",VLOOKUP('Raw Data'!A1675,References!#REF!,2,FALSE),(VLOOKUP($S1675,References!$B$3:$C$8,2,FALSE))),"")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18"/>
        <v>0</v>
      </c>
      <c r="T1676" s="98">
        <f t="shared" si="117"/>
        <v>0</v>
      </c>
      <c r="U1676" s="99" t="str">
        <f>IFERROR(IF(#REF!="S",VLOOKUP('Raw Data'!A1676,References!#REF!,2,FALSE),(VLOOKUP($S1676,References!$B$3:$C$8,2,FALSE))),"")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18"/>
        <v>0</v>
      </c>
      <c r="T1677" s="98">
        <f t="shared" si="117"/>
        <v>0</v>
      </c>
      <c r="U1677" s="99" t="str">
        <f>IFERROR(IF(#REF!="S",VLOOKUP('Raw Data'!A1677,References!#REF!,2,FALSE),(VLOOKUP($S1677,References!$B$3:$C$8,2,FALSE))),"")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18"/>
        <v>0</v>
      </c>
      <c r="T1678" s="98">
        <f t="shared" si="117"/>
        <v>0</v>
      </c>
      <c r="U1678" s="99" t="str">
        <f>IFERROR(IF(#REF!="S",VLOOKUP('Raw Data'!A1678,References!#REF!,2,FALSE),(VLOOKUP($S1678,References!$B$3:$C$8,2,FALSE))),"")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18"/>
        <v>0</v>
      </c>
      <c r="T1679" s="98">
        <f t="shared" si="117"/>
        <v>0</v>
      </c>
      <c r="U1679" s="99" t="str">
        <f>IFERROR(IF(#REF!="S",VLOOKUP('Raw Data'!A1679,References!#REF!,2,FALSE),(VLOOKUP($S1679,References!$B$3:$C$8,2,FALSE))),"")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18"/>
        <v>0</v>
      </c>
      <c r="T1680" s="98">
        <f t="shared" ref="T1680:T1743" si="119">IF(S1680="50 - Cleaning Fee",1,HOUR($R1680)+MINUTE(R1680)/60)</f>
        <v>0</v>
      </c>
      <c r="U1680" s="99" t="str">
        <f>IFERROR(IF(#REF!="S",VLOOKUP('Raw Data'!A1680,References!#REF!,2,FALSE),(VLOOKUP($S1680,References!$B$3:$C$8,2,FALSE))),"")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18"/>
        <v>0</v>
      </c>
      <c r="T1681" s="98">
        <f t="shared" si="119"/>
        <v>0</v>
      </c>
      <c r="U1681" s="99" t="str">
        <f>IFERROR(IF(#REF!="S",VLOOKUP('Raw Data'!A1681,References!#REF!,2,FALSE),(VLOOKUP($S1681,References!$B$3:$C$8,2,FALSE))),"")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18"/>
        <v>0</v>
      </c>
      <c r="T1682" s="98">
        <f t="shared" si="119"/>
        <v>0</v>
      </c>
      <c r="U1682" s="99" t="str">
        <f>IFERROR(IF(#REF!="S",VLOOKUP('Raw Data'!A1682,References!#REF!,2,FALSE),(VLOOKUP($S1682,References!$B$3:$C$8,2,FALSE))),"")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18"/>
        <v>0</v>
      </c>
      <c r="T1683" s="98">
        <f t="shared" si="119"/>
        <v>0</v>
      </c>
      <c r="U1683" s="99" t="str">
        <f>IFERROR(IF(#REF!="S",VLOOKUP('Raw Data'!A1683,References!#REF!,2,FALSE),(VLOOKUP($S1683,References!$B$3:$C$8,2,FALSE))),"")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18"/>
        <v>0</v>
      </c>
      <c r="T1684" s="98">
        <f t="shared" si="119"/>
        <v>0</v>
      </c>
      <c r="U1684" s="99" t="str">
        <f>IFERROR(IF(#REF!="S",VLOOKUP('Raw Data'!A1684,References!#REF!,2,FALSE),(VLOOKUP($S1684,References!$B$3:$C$8,2,FALSE))),"")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18"/>
        <v>0</v>
      </c>
      <c r="T1685" s="98">
        <f t="shared" si="119"/>
        <v>0</v>
      </c>
      <c r="U1685" s="99" t="str">
        <f>IFERROR(IF(#REF!="S",VLOOKUP('Raw Data'!A1685,References!#REF!,2,FALSE),(VLOOKUP($S1685,References!$B$3:$C$8,2,FALSE))),"")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18"/>
        <v>0</v>
      </c>
      <c r="T1686" s="98">
        <f t="shared" si="119"/>
        <v>0</v>
      </c>
      <c r="U1686" s="99" t="str">
        <f>IFERROR(IF(#REF!="S",VLOOKUP('Raw Data'!A1686,References!#REF!,2,FALSE),(VLOOKUP($S1686,References!$B$3:$C$8,2,FALSE))),"")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18"/>
        <v>0</v>
      </c>
      <c r="T1687" s="98">
        <f t="shared" si="119"/>
        <v>0</v>
      </c>
      <c r="U1687" s="99" t="str">
        <f>IFERROR(IF(#REF!="S",VLOOKUP('Raw Data'!A1687,References!#REF!,2,FALSE),(VLOOKUP($S1687,References!$B$3:$C$8,2,FALSE))),"")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18"/>
        <v>0</v>
      </c>
      <c r="T1688" s="98">
        <f t="shared" si="119"/>
        <v>0</v>
      </c>
      <c r="U1688" s="99" t="str">
        <f>IFERROR(IF(#REF!="S",VLOOKUP('Raw Data'!A1688,References!#REF!,2,FALSE),(VLOOKUP($S1688,References!$B$3:$C$8,2,FALSE))),"")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18"/>
        <v>0</v>
      </c>
      <c r="T1689" s="98">
        <f t="shared" si="119"/>
        <v>0</v>
      </c>
      <c r="U1689" s="99" t="str">
        <f>IFERROR(IF(#REF!="S",VLOOKUP('Raw Data'!A1689,References!#REF!,2,FALSE),(VLOOKUP($S1689,References!$B$3:$C$8,2,FALSE))),"")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18"/>
        <v>0</v>
      </c>
      <c r="T1690" s="98">
        <f t="shared" si="119"/>
        <v>0</v>
      </c>
      <c r="U1690" s="99" t="str">
        <f>IFERROR(IF(#REF!="S",VLOOKUP('Raw Data'!A1690,References!#REF!,2,FALSE),(VLOOKUP($S1690,References!$B$3:$C$8,2,FALSE))),"")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18"/>
        <v>0</v>
      </c>
      <c r="T1691" s="98">
        <f t="shared" si="119"/>
        <v>0</v>
      </c>
      <c r="U1691" s="99" t="str">
        <f>IFERROR(IF(#REF!="S",VLOOKUP('Raw Data'!A1691,References!#REF!,2,FALSE),(VLOOKUP($S1691,References!$B$3:$C$8,2,FALSE))),"")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18"/>
        <v>0</v>
      </c>
      <c r="T1692" s="98">
        <f t="shared" si="119"/>
        <v>0</v>
      </c>
      <c r="U1692" s="99" t="str">
        <f>IFERROR(IF(#REF!="S",VLOOKUP('Raw Data'!A1692,References!#REF!,2,FALSE),(VLOOKUP($S1692,References!$B$3:$C$8,2,FALSE))),"")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18"/>
        <v>0</v>
      </c>
      <c r="T1693" s="98">
        <f t="shared" si="119"/>
        <v>0</v>
      </c>
      <c r="U1693" s="99" t="str">
        <f>IFERROR(IF(#REF!="S",VLOOKUP('Raw Data'!A1693,References!#REF!,2,FALSE),(VLOOKUP($S1693,References!$B$3:$C$8,2,FALSE))),"")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18"/>
        <v>0</v>
      </c>
      <c r="T1694" s="98">
        <f t="shared" si="119"/>
        <v>0</v>
      </c>
      <c r="U1694" s="99" t="str">
        <f>IFERROR(IF(#REF!="S",VLOOKUP('Raw Data'!A1694,References!#REF!,2,FALSE),(VLOOKUP($S1694,References!$B$3:$C$8,2,FALSE))),"")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18"/>
        <v>0</v>
      </c>
      <c r="T1695" s="98">
        <f t="shared" si="119"/>
        <v>0</v>
      </c>
      <c r="U1695" s="99" t="str">
        <f>IFERROR(IF(#REF!="S",VLOOKUP('Raw Data'!A1695,References!#REF!,2,FALSE),(VLOOKUP($S1695,References!$B$3:$C$8,2,FALSE))),"")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18"/>
        <v>0</v>
      </c>
      <c r="T1696" s="98">
        <f t="shared" si="119"/>
        <v>0</v>
      </c>
      <c r="U1696" s="99" t="str">
        <f>IFERROR(IF(#REF!="S",VLOOKUP('Raw Data'!A1696,References!#REF!,2,FALSE),(VLOOKUP($S1696,References!$B$3:$C$8,2,FALSE))),"")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18"/>
        <v>0</v>
      </c>
      <c r="T1697" s="98">
        <f t="shared" si="119"/>
        <v>0</v>
      </c>
      <c r="U1697" s="99" t="str">
        <f>IFERROR(IF(#REF!="S",VLOOKUP('Raw Data'!A1697,References!#REF!,2,FALSE),(VLOOKUP($S1697,References!$B$3:$C$8,2,FALSE))),"")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18"/>
        <v>0</v>
      </c>
      <c r="T1698" s="98">
        <f t="shared" si="119"/>
        <v>0</v>
      </c>
      <c r="U1698" s="99" t="str">
        <f>IFERROR(IF(#REF!="S",VLOOKUP('Raw Data'!A1698,References!#REF!,2,FALSE),(VLOOKUP($S1698,References!$B$3:$C$8,2,FALSE))),"")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18"/>
        <v>0</v>
      </c>
      <c r="T1699" s="98">
        <f t="shared" si="119"/>
        <v>0</v>
      </c>
      <c r="U1699" s="99" t="str">
        <f>IFERROR(IF(#REF!="S",VLOOKUP('Raw Data'!A1699,References!#REF!,2,FALSE),(VLOOKUP($S1699,References!$B$3:$C$8,2,FALSE))),"")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18"/>
        <v>0</v>
      </c>
      <c r="T1700" s="98">
        <f t="shared" si="119"/>
        <v>0</v>
      </c>
      <c r="U1700" s="99" t="str">
        <f>IFERROR(IF(#REF!="S",VLOOKUP('Raw Data'!A1700,References!#REF!,2,FALSE),(VLOOKUP($S1700,References!$B$3:$C$8,2,FALSE))),"")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18"/>
        <v>0</v>
      </c>
      <c r="T1701" s="98">
        <f t="shared" si="119"/>
        <v>0</v>
      </c>
      <c r="U1701" s="99" t="str">
        <f>IFERROR(IF(#REF!="S",VLOOKUP('Raw Data'!A1701,References!#REF!,2,FALSE),(VLOOKUP($S1701,References!$B$3:$C$8,2,FALSE))),"")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18"/>
        <v>0</v>
      </c>
      <c r="T1702" s="98">
        <f t="shared" si="119"/>
        <v>0</v>
      </c>
      <c r="U1702" s="99" t="str">
        <f>IFERROR(IF(#REF!="S",VLOOKUP('Raw Data'!A1702,References!#REF!,2,FALSE),(VLOOKUP($S1702,References!$B$3:$C$8,2,FALSE))),"")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18"/>
        <v>0</v>
      </c>
      <c r="T1703" s="98">
        <f t="shared" si="119"/>
        <v>0</v>
      </c>
      <c r="U1703" s="99" t="str">
        <f>IFERROR(IF(#REF!="S",VLOOKUP('Raw Data'!A1703,References!#REF!,2,FALSE),(VLOOKUP($S1703,References!$B$3:$C$8,2,FALSE))),"")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18"/>
        <v>0</v>
      </c>
      <c r="T1704" s="98">
        <f t="shared" si="119"/>
        <v>0</v>
      </c>
      <c r="U1704" s="99" t="str">
        <f>IFERROR(IF(#REF!="S",VLOOKUP('Raw Data'!A1704,References!#REF!,2,FALSE),(VLOOKUP($S1704,References!$B$3:$C$8,2,FALSE))),"")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18"/>
        <v>0</v>
      </c>
      <c r="T1705" s="98">
        <f t="shared" si="119"/>
        <v>0</v>
      </c>
      <c r="U1705" s="99" t="str">
        <f>IFERROR(IF(#REF!="S",VLOOKUP('Raw Data'!A1705,References!#REF!,2,FALSE),(VLOOKUP($S1705,References!$B$3:$C$8,2,FALSE))),"")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18"/>
        <v>0</v>
      </c>
      <c r="T1706" s="98">
        <f t="shared" si="119"/>
        <v>0</v>
      </c>
      <c r="U1706" s="99" t="str">
        <f>IFERROR(IF(#REF!="S",VLOOKUP('Raw Data'!A1706,References!#REF!,2,FALSE),(VLOOKUP($S1706,References!$B$3:$C$8,2,FALSE))),"")</f>
        <v/>
      </c>
      <c r="W1706" s="66" t="str">
        <f>IFERROR(VLOOKUP($O1706,'Customer List'!$A$1:$J$488,10,FALSE),"")</f>
        <v/>
      </c>
    </row>
    <row r="1707" spans="18:23">
      <c r="R1707" s="97">
        <f t="shared" si="118"/>
        <v>0</v>
      </c>
      <c r="T1707" s="98">
        <f t="shared" si="119"/>
        <v>0</v>
      </c>
      <c r="U1707" s="99" t="str">
        <f>IFERROR(IF(#REF!="S",VLOOKUP('Raw Data'!A1707,References!#REF!,2,FALSE),(VLOOKUP($S1707,References!$B$3:$C$8,2,FALSE))),"")</f>
        <v/>
      </c>
      <c r="W1707" s="66" t="str">
        <f>IFERROR(VLOOKUP($O1707,'Customer List'!$A$1:$J$488,10,FALSE),"")</f>
        <v/>
      </c>
    </row>
    <row r="1708" spans="18:23">
      <c r="R1708" s="97">
        <f t="shared" ref="R1708:R1771" si="120">L1708-K1708</f>
        <v>0</v>
      </c>
      <c r="T1708" s="98">
        <f t="shared" si="119"/>
        <v>0</v>
      </c>
      <c r="U1708" s="99" t="str">
        <f>IFERROR(IF(#REF!="S",VLOOKUP('Raw Data'!A1708,References!#REF!,2,FALSE),(VLOOKUP($S1708,References!$B$3:$C$8,2,FALSE))),"")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0"/>
        <v>0</v>
      </c>
      <c r="T1709" s="98">
        <f t="shared" si="119"/>
        <v>0</v>
      </c>
      <c r="U1709" s="99" t="str">
        <f>IFERROR(IF(#REF!="S",VLOOKUP('Raw Data'!A1709,References!#REF!,2,FALSE),(VLOOKUP($S1709,References!$B$3:$C$8,2,FALSE))),"")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0"/>
        <v>0</v>
      </c>
      <c r="T1710" s="98">
        <f t="shared" si="119"/>
        <v>0</v>
      </c>
      <c r="U1710" s="99" t="str">
        <f>IFERROR(IF(#REF!="S",VLOOKUP('Raw Data'!A1710,References!#REF!,2,FALSE),(VLOOKUP($S1710,References!$B$3:$C$8,2,FALSE))),"")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0"/>
        <v>0</v>
      </c>
      <c r="T1711" s="98">
        <f t="shared" si="119"/>
        <v>0</v>
      </c>
      <c r="U1711" s="99" t="str">
        <f>IFERROR(IF(#REF!="S",VLOOKUP('Raw Data'!A1711,References!#REF!,2,FALSE),(VLOOKUP($S1711,References!$B$3:$C$8,2,FALSE))),"")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0"/>
        <v>0</v>
      </c>
      <c r="T1712" s="98">
        <f t="shared" si="119"/>
        <v>0</v>
      </c>
      <c r="U1712" s="99" t="str">
        <f>IFERROR(IF(#REF!="S",VLOOKUP('Raw Data'!A1712,References!#REF!,2,FALSE),(VLOOKUP($S1712,References!$B$3:$C$8,2,FALSE))),"")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0"/>
        <v>0</v>
      </c>
      <c r="T1713" s="98">
        <f t="shared" si="119"/>
        <v>0</v>
      </c>
      <c r="U1713" s="99" t="str">
        <f>IFERROR(IF(#REF!="S",VLOOKUP('Raw Data'!A1713,References!#REF!,2,FALSE),(VLOOKUP($S1713,References!$B$3:$C$8,2,FALSE))),"")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0"/>
        <v>0</v>
      </c>
      <c r="T1714" s="98">
        <f t="shared" si="119"/>
        <v>0</v>
      </c>
      <c r="U1714" s="99" t="str">
        <f>IFERROR(IF(#REF!="S",VLOOKUP('Raw Data'!A1714,References!#REF!,2,FALSE),(VLOOKUP($S1714,References!$B$3:$C$8,2,FALSE))),"")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0"/>
        <v>0</v>
      </c>
      <c r="T1715" s="98">
        <f t="shared" si="119"/>
        <v>0</v>
      </c>
      <c r="U1715" s="99" t="str">
        <f>IFERROR(IF(#REF!="S",VLOOKUP('Raw Data'!A1715,References!#REF!,2,FALSE),(VLOOKUP($S1715,References!$B$3:$C$8,2,FALSE))),"")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0"/>
        <v>0</v>
      </c>
      <c r="T1716" s="98">
        <f t="shared" si="119"/>
        <v>0</v>
      </c>
      <c r="U1716" s="99" t="str">
        <f>IFERROR(IF(#REF!="S",VLOOKUP('Raw Data'!A1716,References!#REF!,2,FALSE),(VLOOKUP($S1716,References!$B$3:$C$8,2,FALSE))),"")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0"/>
        <v>0</v>
      </c>
      <c r="T1717" s="98">
        <f t="shared" si="119"/>
        <v>0</v>
      </c>
      <c r="U1717" s="99" t="str">
        <f>IFERROR(IF(#REF!="S",VLOOKUP('Raw Data'!A1717,References!#REF!,2,FALSE),(VLOOKUP($S1717,References!$B$3:$C$8,2,FALSE))),"")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0"/>
        <v>0</v>
      </c>
      <c r="T1718" s="98">
        <f t="shared" si="119"/>
        <v>0</v>
      </c>
      <c r="U1718" s="99" t="str">
        <f>IFERROR(IF(#REF!="S",VLOOKUP('Raw Data'!A1718,References!#REF!,2,FALSE),(VLOOKUP($S1718,References!$B$3:$C$8,2,FALSE))),"")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0"/>
        <v>0</v>
      </c>
      <c r="T1719" s="98">
        <f t="shared" si="119"/>
        <v>0</v>
      </c>
      <c r="U1719" s="99" t="str">
        <f>IFERROR(IF(#REF!="S",VLOOKUP('Raw Data'!A1719,References!#REF!,2,FALSE),(VLOOKUP($S1719,References!$B$3:$C$8,2,FALSE))),"")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0"/>
        <v>0</v>
      </c>
      <c r="T1720" s="98">
        <f t="shared" si="119"/>
        <v>0</v>
      </c>
      <c r="U1720" s="99" t="str">
        <f>IFERROR(IF(#REF!="S",VLOOKUP('Raw Data'!A1720,References!#REF!,2,FALSE),(VLOOKUP($S1720,References!$B$3:$C$8,2,FALSE))),"")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0"/>
        <v>0</v>
      </c>
      <c r="T1721" s="98">
        <f t="shared" si="119"/>
        <v>0</v>
      </c>
      <c r="U1721" s="99" t="str">
        <f>IFERROR(IF(#REF!="S",VLOOKUP('Raw Data'!A1721,References!#REF!,2,FALSE),(VLOOKUP($S1721,References!$B$3:$C$8,2,FALSE))),"")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0"/>
        <v>0</v>
      </c>
      <c r="T1722" s="98">
        <f t="shared" si="119"/>
        <v>0</v>
      </c>
      <c r="U1722" s="99" t="str">
        <f>IFERROR(IF(#REF!="S",VLOOKUP('Raw Data'!A1722,References!#REF!,2,FALSE),(VLOOKUP($S1722,References!$B$3:$C$8,2,FALSE))),"")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0"/>
        <v>0</v>
      </c>
      <c r="T1723" s="98">
        <f t="shared" si="119"/>
        <v>0</v>
      </c>
      <c r="U1723" s="99" t="str">
        <f>IFERROR(IF(#REF!="S",VLOOKUP('Raw Data'!A1723,References!#REF!,2,FALSE),(VLOOKUP($S1723,References!$B$3:$C$8,2,FALSE))),"")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0"/>
        <v>0</v>
      </c>
      <c r="T1724" s="98">
        <f t="shared" si="119"/>
        <v>0</v>
      </c>
      <c r="U1724" s="99" t="str">
        <f>IFERROR(IF(#REF!="S",VLOOKUP('Raw Data'!A1724,References!#REF!,2,FALSE),(VLOOKUP($S1724,References!$B$3:$C$8,2,FALSE))),"")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0"/>
        <v>0</v>
      </c>
      <c r="T1725" s="98">
        <f t="shared" si="119"/>
        <v>0</v>
      </c>
      <c r="U1725" s="99" t="str">
        <f>IFERROR(IF(#REF!="S",VLOOKUP('Raw Data'!A1725,References!#REF!,2,FALSE),(VLOOKUP($S1725,References!$B$3:$C$8,2,FALSE))),"")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0"/>
        <v>0</v>
      </c>
      <c r="T1726" s="98">
        <f t="shared" si="119"/>
        <v>0</v>
      </c>
      <c r="U1726" s="99" t="str">
        <f>IFERROR(IF(#REF!="S",VLOOKUP('Raw Data'!A1726,References!#REF!,2,FALSE),(VLOOKUP($S1726,References!$B$3:$C$8,2,FALSE))),"")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0"/>
        <v>0</v>
      </c>
      <c r="T1727" s="98">
        <f t="shared" si="119"/>
        <v>0</v>
      </c>
      <c r="U1727" s="99" t="str">
        <f>IFERROR(IF(#REF!="S",VLOOKUP('Raw Data'!A1727,References!#REF!,2,FALSE),(VLOOKUP($S1727,References!$B$3:$C$8,2,FALSE))),"")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0"/>
        <v>0</v>
      </c>
      <c r="T1728" s="98">
        <f t="shared" si="119"/>
        <v>0</v>
      </c>
      <c r="U1728" s="99" t="str">
        <f>IFERROR(IF(#REF!="S",VLOOKUP('Raw Data'!A1728,References!#REF!,2,FALSE),(VLOOKUP($S1728,References!$B$3:$C$8,2,FALSE))),"")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0"/>
        <v>0</v>
      </c>
      <c r="T1729" s="98">
        <f t="shared" si="119"/>
        <v>0</v>
      </c>
      <c r="U1729" s="99" t="str">
        <f>IFERROR(IF(#REF!="S",VLOOKUP('Raw Data'!A1729,References!#REF!,2,FALSE),(VLOOKUP($S1729,References!$B$3:$C$8,2,FALSE))),"")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0"/>
        <v>0</v>
      </c>
      <c r="T1730" s="98">
        <f t="shared" si="119"/>
        <v>0</v>
      </c>
      <c r="U1730" s="99" t="str">
        <f>IFERROR(IF(#REF!="S",VLOOKUP('Raw Data'!A1730,References!#REF!,2,FALSE),(VLOOKUP($S1730,References!$B$3:$C$8,2,FALSE))),"")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0"/>
        <v>0</v>
      </c>
      <c r="T1731" s="98">
        <f t="shared" si="119"/>
        <v>0</v>
      </c>
      <c r="U1731" s="99" t="str">
        <f>IFERROR(IF(#REF!="S",VLOOKUP('Raw Data'!A1731,References!#REF!,2,FALSE),(VLOOKUP($S1731,References!$B$3:$C$8,2,FALSE))),"")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0"/>
        <v>0</v>
      </c>
      <c r="T1732" s="98">
        <f t="shared" si="119"/>
        <v>0</v>
      </c>
      <c r="U1732" s="99" t="str">
        <f>IFERROR(IF(#REF!="S",VLOOKUP('Raw Data'!A1732,References!#REF!,2,FALSE),(VLOOKUP($S1732,References!$B$3:$C$8,2,FALSE))),"")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0"/>
        <v>0</v>
      </c>
      <c r="T1733" s="98">
        <f t="shared" si="119"/>
        <v>0</v>
      </c>
      <c r="U1733" s="99" t="str">
        <f>IFERROR(IF(#REF!="S",VLOOKUP('Raw Data'!A1733,References!#REF!,2,FALSE),(VLOOKUP($S1733,References!$B$3:$C$8,2,FALSE))),"")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0"/>
        <v>0</v>
      </c>
      <c r="T1734" s="98">
        <f t="shared" si="119"/>
        <v>0</v>
      </c>
      <c r="U1734" s="99" t="str">
        <f>IFERROR(IF(#REF!="S",VLOOKUP('Raw Data'!A1734,References!#REF!,2,FALSE),(VLOOKUP($S1734,References!$B$3:$C$8,2,FALSE))),"")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0"/>
        <v>0</v>
      </c>
      <c r="T1735" s="98">
        <f t="shared" si="119"/>
        <v>0</v>
      </c>
      <c r="U1735" s="99" t="str">
        <f>IFERROR(IF(#REF!="S",VLOOKUP('Raw Data'!A1735,References!#REF!,2,FALSE),(VLOOKUP($S1735,References!$B$3:$C$8,2,FALSE))),"")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0"/>
        <v>0</v>
      </c>
      <c r="T1736" s="98">
        <f t="shared" si="119"/>
        <v>0</v>
      </c>
      <c r="U1736" s="99" t="str">
        <f>IFERROR(IF(#REF!="S",VLOOKUP('Raw Data'!A1736,References!#REF!,2,FALSE),(VLOOKUP($S1736,References!$B$3:$C$8,2,FALSE))),"")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0"/>
        <v>0</v>
      </c>
      <c r="T1737" s="98">
        <f t="shared" si="119"/>
        <v>0</v>
      </c>
      <c r="U1737" s="99" t="str">
        <f>IFERROR(IF(#REF!="S",VLOOKUP('Raw Data'!A1737,References!#REF!,2,FALSE),(VLOOKUP($S1737,References!$B$3:$C$8,2,FALSE))),"")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0"/>
        <v>0</v>
      </c>
      <c r="T1738" s="98">
        <f t="shared" si="119"/>
        <v>0</v>
      </c>
      <c r="U1738" s="99" t="str">
        <f>IFERROR(IF(#REF!="S",VLOOKUP('Raw Data'!A1738,References!#REF!,2,FALSE),(VLOOKUP($S1738,References!$B$3:$C$8,2,FALSE))),"")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0"/>
        <v>0</v>
      </c>
      <c r="T1739" s="98">
        <f t="shared" si="119"/>
        <v>0</v>
      </c>
      <c r="U1739" s="99" t="str">
        <f>IFERROR(IF(#REF!="S",VLOOKUP('Raw Data'!A1739,References!#REF!,2,FALSE),(VLOOKUP($S1739,References!$B$3:$C$8,2,FALSE))),"")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0"/>
        <v>0</v>
      </c>
      <c r="T1740" s="98">
        <f t="shared" si="119"/>
        <v>0</v>
      </c>
      <c r="U1740" s="99" t="str">
        <f>IFERROR(IF(#REF!="S",VLOOKUP('Raw Data'!A1740,References!#REF!,2,FALSE),(VLOOKUP($S1740,References!$B$3:$C$8,2,FALSE))),"")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0"/>
        <v>0</v>
      </c>
      <c r="T1741" s="98">
        <f t="shared" si="119"/>
        <v>0</v>
      </c>
      <c r="U1741" s="99" t="str">
        <f>IFERROR(IF(#REF!="S",VLOOKUP('Raw Data'!A1741,References!#REF!,2,FALSE),(VLOOKUP($S1741,References!$B$3:$C$8,2,FALSE))),"")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0"/>
        <v>0</v>
      </c>
      <c r="T1742" s="98">
        <f t="shared" si="119"/>
        <v>0</v>
      </c>
      <c r="U1742" s="99" t="str">
        <f>IFERROR(IF(#REF!="S",VLOOKUP('Raw Data'!A1742,References!#REF!,2,FALSE),(VLOOKUP($S1742,References!$B$3:$C$8,2,FALSE))),"")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0"/>
        <v>0</v>
      </c>
      <c r="T1743" s="98">
        <f t="shared" si="119"/>
        <v>0</v>
      </c>
      <c r="U1743" s="99" t="str">
        <f>IFERROR(IF(#REF!="S",VLOOKUP('Raw Data'!A1743,References!#REF!,2,FALSE),(VLOOKUP($S1743,References!$B$3:$C$8,2,FALSE))),"")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0"/>
        <v>0</v>
      </c>
      <c r="T1744" s="98">
        <f t="shared" ref="T1744:T1807" si="121">IF(S1744="50 - Cleaning Fee",1,HOUR($R1744)+MINUTE(R1744)/60)</f>
        <v>0</v>
      </c>
      <c r="U1744" s="99" t="str">
        <f>IFERROR(IF(#REF!="S",VLOOKUP('Raw Data'!A1744,References!#REF!,2,FALSE),(VLOOKUP($S1744,References!$B$3:$C$8,2,FALSE))),"")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0"/>
        <v>0</v>
      </c>
      <c r="T1745" s="98">
        <f t="shared" si="121"/>
        <v>0</v>
      </c>
      <c r="U1745" s="99" t="str">
        <f>IFERROR(IF(#REF!="S",VLOOKUP('Raw Data'!A1745,References!#REF!,2,FALSE),(VLOOKUP($S1745,References!$B$3:$C$8,2,FALSE))),"")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0"/>
        <v>0</v>
      </c>
      <c r="T1746" s="98">
        <f t="shared" si="121"/>
        <v>0</v>
      </c>
      <c r="U1746" s="99" t="str">
        <f>IFERROR(IF(#REF!="S",VLOOKUP('Raw Data'!A1746,References!#REF!,2,FALSE),(VLOOKUP($S1746,References!$B$3:$C$8,2,FALSE))),"")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0"/>
        <v>0</v>
      </c>
      <c r="T1747" s="98">
        <f t="shared" si="121"/>
        <v>0</v>
      </c>
      <c r="U1747" s="99" t="str">
        <f>IFERROR(IF(#REF!="S",VLOOKUP('Raw Data'!A1747,References!#REF!,2,FALSE),(VLOOKUP($S1747,References!$B$3:$C$8,2,FALSE))),"")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0"/>
        <v>0</v>
      </c>
      <c r="T1748" s="98">
        <f t="shared" si="121"/>
        <v>0</v>
      </c>
      <c r="U1748" s="99" t="str">
        <f>IFERROR(IF(#REF!="S",VLOOKUP('Raw Data'!A1748,References!#REF!,2,FALSE),(VLOOKUP($S1748,References!$B$3:$C$8,2,FALSE))),"")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0"/>
        <v>0</v>
      </c>
      <c r="T1749" s="98">
        <f t="shared" si="121"/>
        <v>0</v>
      </c>
      <c r="U1749" s="99" t="str">
        <f>IFERROR(IF(#REF!="S",VLOOKUP('Raw Data'!A1749,References!#REF!,2,FALSE),(VLOOKUP($S1749,References!$B$3:$C$8,2,FALSE))),"")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0"/>
        <v>0</v>
      </c>
      <c r="T1750" s="98">
        <f t="shared" si="121"/>
        <v>0</v>
      </c>
      <c r="U1750" s="99" t="str">
        <f>IFERROR(IF(#REF!="S",VLOOKUP('Raw Data'!A1750,References!#REF!,2,FALSE),(VLOOKUP($S1750,References!$B$3:$C$8,2,FALSE))),"")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0"/>
        <v>0</v>
      </c>
      <c r="T1751" s="98">
        <f t="shared" si="121"/>
        <v>0</v>
      </c>
      <c r="U1751" s="99" t="str">
        <f>IFERROR(IF(#REF!="S",VLOOKUP('Raw Data'!A1751,References!#REF!,2,FALSE),(VLOOKUP($S1751,References!$B$3:$C$8,2,FALSE))),"")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0"/>
        <v>0</v>
      </c>
      <c r="T1752" s="98">
        <f t="shared" si="121"/>
        <v>0</v>
      </c>
      <c r="U1752" s="99" t="str">
        <f>IFERROR(IF(#REF!="S",VLOOKUP('Raw Data'!A1752,References!#REF!,2,FALSE),(VLOOKUP($S1752,References!$B$3:$C$8,2,FALSE))),"")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0"/>
        <v>0</v>
      </c>
      <c r="T1753" s="98">
        <f t="shared" si="121"/>
        <v>0</v>
      </c>
      <c r="U1753" s="99" t="str">
        <f>IFERROR(IF(#REF!="S",VLOOKUP('Raw Data'!A1753,References!#REF!,2,FALSE),(VLOOKUP($S1753,References!$B$3:$C$8,2,FALSE))),"")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0"/>
        <v>0</v>
      </c>
      <c r="T1754" s="98">
        <f t="shared" si="121"/>
        <v>0</v>
      </c>
      <c r="U1754" s="99" t="str">
        <f>IFERROR(IF(#REF!="S",VLOOKUP('Raw Data'!A1754,References!#REF!,2,FALSE),(VLOOKUP($S1754,References!$B$3:$C$8,2,FALSE))),"")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0"/>
        <v>0</v>
      </c>
      <c r="T1755" s="98">
        <f t="shared" si="121"/>
        <v>0</v>
      </c>
      <c r="U1755" s="99" t="str">
        <f>IFERROR(IF(#REF!="S",VLOOKUP('Raw Data'!A1755,References!#REF!,2,FALSE),(VLOOKUP($S1755,References!$B$3:$C$8,2,FALSE))),"")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0"/>
        <v>0</v>
      </c>
      <c r="T1756" s="98">
        <f t="shared" si="121"/>
        <v>0</v>
      </c>
      <c r="U1756" s="99" t="str">
        <f>IFERROR(IF(#REF!="S",VLOOKUP('Raw Data'!A1756,References!#REF!,2,FALSE),(VLOOKUP($S1756,References!$B$3:$C$8,2,FALSE))),"")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0"/>
        <v>0</v>
      </c>
      <c r="T1757" s="98">
        <f t="shared" si="121"/>
        <v>0</v>
      </c>
      <c r="U1757" s="99" t="str">
        <f>IFERROR(IF(#REF!="S",VLOOKUP('Raw Data'!A1757,References!#REF!,2,FALSE),(VLOOKUP($S1757,References!$B$3:$C$8,2,FALSE))),"")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0"/>
        <v>0</v>
      </c>
      <c r="T1758" s="98">
        <f t="shared" si="121"/>
        <v>0</v>
      </c>
      <c r="U1758" s="99" t="str">
        <f>IFERROR(IF(#REF!="S",VLOOKUP('Raw Data'!A1758,References!#REF!,2,FALSE),(VLOOKUP($S1758,References!$B$3:$C$8,2,FALSE))),"")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0"/>
        <v>0</v>
      </c>
      <c r="T1759" s="98">
        <f t="shared" si="121"/>
        <v>0</v>
      </c>
      <c r="U1759" s="99" t="str">
        <f>IFERROR(IF(#REF!="S",VLOOKUP('Raw Data'!A1759,References!#REF!,2,FALSE),(VLOOKUP($S1759,References!$B$3:$C$8,2,FALSE))),"")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0"/>
        <v>0</v>
      </c>
      <c r="T1760" s="98">
        <f t="shared" si="121"/>
        <v>0</v>
      </c>
      <c r="U1760" s="99" t="str">
        <f>IFERROR(IF(#REF!="S",VLOOKUP('Raw Data'!A1760,References!#REF!,2,FALSE),(VLOOKUP($S1760,References!$B$3:$C$8,2,FALSE))),"")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0"/>
        <v>0</v>
      </c>
      <c r="T1761" s="98">
        <f t="shared" si="121"/>
        <v>0</v>
      </c>
      <c r="U1761" s="99" t="str">
        <f>IFERROR(IF(#REF!="S",VLOOKUP('Raw Data'!A1761,References!#REF!,2,FALSE),(VLOOKUP($S1761,References!$B$3:$C$8,2,FALSE))),"")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0"/>
        <v>0</v>
      </c>
      <c r="T1762" s="98">
        <f t="shared" si="121"/>
        <v>0</v>
      </c>
      <c r="U1762" s="99" t="str">
        <f>IFERROR(IF(#REF!="S",VLOOKUP('Raw Data'!A1762,References!#REF!,2,FALSE),(VLOOKUP($S1762,References!$B$3:$C$8,2,FALSE))),"")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0"/>
        <v>0</v>
      </c>
      <c r="T1763" s="98">
        <f t="shared" si="121"/>
        <v>0</v>
      </c>
      <c r="U1763" s="99" t="str">
        <f>IFERROR(IF(#REF!="S",VLOOKUP('Raw Data'!A1763,References!#REF!,2,FALSE),(VLOOKUP($S1763,References!$B$3:$C$8,2,FALSE))),"")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0"/>
        <v>0</v>
      </c>
      <c r="T1764" s="98">
        <f t="shared" si="121"/>
        <v>0</v>
      </c>
      <c r="U1764" s="99" t="str">
        <f>IFERROR(IF(#REF!="S",VLOOKUP('Raw Data'!A1764,References!#REF!,2,FALSE),(VLOOKUP($S1764,References!$B$3:$C$8,2,FALSE))),"")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0"/>
        <v>0</v>
      </c>
      <c r="T1765" s="98">
        <f t="shared" si="121"/>
        <v>0</v>
      </c>
      <c r="U1765" s="99" t="str">
        <f>IFERROR(IF(#REF!="S",VLOOKUP('Raw Data'!A1765,References!#REF!,2,FALSE),(VLOOKUP($S1765,References!$B$3:$C$8,2,FALSE))),"")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0"/>
        <v>0</v>
      </c>
      <c r="T1766" s="98">
        <f t="shared" si="121"/>
        <v>0</v>
      </c>
      <c r="U1766" s="99" t="str">
        <f>IFERROR(IF(#REF!="S",VLOOKUP('Raw Data'!A1766,References!#REF!,2,FALSE),(VLOOKUP($S1766,References!$B$3:$C$8,2,FALSE))),"")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0"/>
        <v>0</v>
      </c>
      <c r="T1767" s="98">
        <f t="shared" si="121"/>
        <v>0</v>
      </c>
      <c r="U1767" s="99" t="str">
        <f>IFERROR(IF(#REF!="S",VLOOKUP('Raw Data'!A1767,References!#REF!,2,FALSE),(VLOOKUP($S1767,References!$B$3:$C$8,2,FALSE))),"")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0"/>
        <v>0</v>
      </c>
      <c r="T1768" s="98">
        <f t="shared" si="121"/>
        <v>0</v>
      </c>
      <c r="U1768" s="99" t="str">
        <f>IFERROR(IF(#REF!="S",VLOOKUP('Raw Data'!A1768,References!#REF!,2,FALSE),(VLOOKUP($S1768,References!$B$3:$C$8,2,FALSE))),"")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0"/>
        <v>0</v>
      </c>
      <c r="T1769" s="98">
        <f t="shared" si="121"/>
        <v>0</v>
      </c>
      <c r="U1769" s="99" t="str">
        <f>IFERROR(IF(#REF!="S",VLOOKUP('Raw Data'!A1769,References!#REF!,2,FALSE),(VLOOKUP($S1769,References!$B$3:$C$8,2,FALSE))),"")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0"/>
        <v>0</v>
      </c>
      <c r="T1770" s="98">
        <f t="shared" si="121"/>
        <v>0</v>
      </c>
      <c r="U1770" s="99" t="str">
        <f>IFERROR(IF(#REF!="S",VLOOKUP('Raw Data'!A1770,References!#REF!,2,FALSE),(VLOOKUP($S1770,References!$B$3:$C$8,2,FALSE))),"")</f>
        <v/>
      </c>
      <c r="W1770" s="66" t="str">
        <f>IFERROR(VLOOKUP($O1770,'Customer List'!$A$1:$J$488,10,FALSE),"")</f>
        <v/>
      </c>
    </row>
    <row r="1771" spans="18:23">
      <c r="R1771" s="97">
        <f t="shared" si="120"/>
        <v>0</v>
      </c>
      <c r="T1771" s="98">
        <f t="shared" si="121"/>
        <v>0</v>
      </c>
      <c r="U1771" s="99" t="str">
        <f>IFERROR(IF(#REF!="S",VLOOKUP('Raw Data'!A1771,References!#REF!,2,FALSE),(VLOOKUP($S1771,References!$B$3:$C$8,2,FALSE))),"")</f>
        <v/>
      </c>
      <c r="W1771" s="66" t="str">
        <f>IFERROR(VLOOKUP($O1771,'Customer List'!$A$1:$J$488,10,FALSE),"")</f>
        <v/>
      </c>
    </row>
    <row r="1772" spans="18:23">
      <c r="R1772" s="97">
        <f t="shared" ref="R1772:R1835" si="122">L1772-K1772</f>
        <v>0</v>
      </c>
      <c r="T1772" s="98">
        <f t="shared" si="121"/>
        <v>0</v>
      </c>
      <c r="U1772" s="99" t="str">
        <f>IFERROR(IF(#REF!="S",VLOOKUP('Raw Data'!A1772,References!#REF!,2,FALSE),(VLOOKUP($S1772,References!$B$3:$C$8,2,FALSE))),"")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2"/>
        <v>0</v>
      </c>
      <c r="T1773" s="98">
        <f t="shared" si="121"/>
        <v>0</v>
      </c>
      <c r="U1773" s="99" t="str">
        <f>IFERROR(IF(#REF!="S",VLOOKUP('Raw Data'!A1773,References!#REF!,2,FALSE),(VLOOKUP($S1773,References!$B$3:$C$8,2,FALSE))),"")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2"/>
        <v>0</v>
      </c>
      <c r="T1774" s="98">
        <f t="shared" si="121"/>
        <v>0</v>
      </c>
      <c r="U1774" s="99" t="str">
        <f>IFERROR(IF(#REF!="S",VLOOKUP('Raw Data'!A1774,References!#REF!,2,FALSE),(VLOOKUP($S1774,References!$B$3:$C$8,2,FALSE))),"")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2"/>
        <v>0</v>
      </c>
      <c r="T1775" s="98">
        <f t="shared" si="121"/>
        <v>0</v>
      </c>
      <c r="U1775" s="99" t="str">
        <f>IFERROR(IF(#REF!="S",VLOOKUP('Raw Data'!A1775,References!#REF!,2,FALSE),(VLOOKUP($S1775,References!$B$3:$C$8,2,FALSE))),"")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2"/>
        <v>0</v>
      </c>
      <c r="T1776" s="98">
        <f t="shared" si="121"/>
        <v>0</v>
      </c>
      <c r="U1776" s="99" t="str">
        <f>IFERROR(IF(#REF!="S",VLOOKUP('Raw Data'!A1776,References!#REF!,2,FALSE),(VLOOKUP($S1776,References!$B$3:$C$8,2,FALSE))),"")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2"/>
        <v>0</v>
      </c>
      <c r="T1777" s="98">
        <f t="shared" si="121"/>
        <v>0</v>
      </c>
      <c r="U1777" s="99" t="str">
        <f>IFERROR(IF(#REF!="S",VLOOKUP('Raw Data'!A1777,References!#REF!,2,FALSE),(VLOOKUP($S1777,References!$B$3:$C$8,2,FALSE))),"")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2"/>
        <v>0</v>
      </c>
      <c r="T1778" s="98">
        <f t="shared" si="121"/>
        <v>0</v>
      </c>
      <c r="U1778" s="99" t="str">
        <f>IFERROR(IF(#REF!="S",VLOOKUP('Raw Data'!A1778,References!#REF!,2,FALSE),(VLOOKUP($S1778,References!$B$3:$C$8,2,FALSE))),"")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2"/>
        <v>0</v>
      </c>
      <c r="T1779" s="98">
        <f t="shared" si="121"/>
        <v>0</v>
      </c>
      <c r="U1779" s="99" t="str">
        <f>IFERROR(IF(#REF!="S",VLOOKUP('Raw Data'!A1779,References!#REF!,2,FALSE),(VLOOKUP($S1779,References!$B$3:$C$8,2,FALSE))),"")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2"/>
        <v>0</v>
      </c>
      <c r="T1780" s="98">
        <f t="shared" si="121"/>
        <v>0</v>
      </c>
      <c r="U1780" s="99" t="str">
        <f>IFERROR(IF(#REF!="S",VLOOKUP('Raw Data'!A1780,References!#REF!,2,FALSE),(VLOOKUP($S1780,References!$B$3:$C$8,2,FALSE))),"")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2"/>
        <v>0</v>
      </c>
      <c r="T1781" s="98">
        <f t="shared" si="121"/>
        <v>0</v>
      </c>
      <c r="U1781" s="99" t="str">
        <f>IFERROR(IF(#REF!="S",VLOOKUP('Raw Data'!A1781,References!#REF!,2,FALSE),(VLOOKUP($S1781,References!$B$3:$C$8,2,FALSE))),"")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2"/>
        <v>0</v>
      </c>
      <c r="T1782" s="98">
        <f t="shared" si="121"/>
        <v>0</v>
      </c>
      <c r="U1782" s="99" t="str">
        <f>IFERROR(IF(#REF!="S",VLOOKUP('Raw Data'!A1782,References!#REF!,2,FALSE),(VLOOKUP($S1782,References!$B$3:$C$8,2,FALSE))),"")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2"/>
        <v>0</v>
      </c>
      <c r="T1783" s="98">
        <f t="shared" si="121"/>
        <v>0</v>
      </c>
      <c r="U1783" s="99" t="str">
        <f>IFERROR(IF(#REF!="S",VLOOKUP('Raw Data'!A1783,References!#REF!,2,FALSE),(VLOOKUP($S1783,References!$B$3:$C$8,2,FALSE))),"")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2"/>
        <v>0</v>
      </c>
      <c r="T1784" s="98">
        <f t="shared" si="121"/>
        <v>0</v>
      </c>
      <c r="U1784" s="99" t="str">
        <f>IFERROR(IF(#REF!="S",VLOOKUP('Raw Data'!A1784,References!#REF!,2,FALSE),(VLOOKUP($S1784,References!$B$3:$C$8,2,FALSE))),"")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2"/>
        <v>0</v>
      </c>
      <c r="T1785" s="98">
        <f t="shared" si="121"/>
        <v>0</v>
      </c>
      <c r="U1785" s="99" t="str">
        <f>IFERROR(IF(#REF!="S",VLOOKUP('Raw Data'!A1785,References!#REF!,2,FALSE),(VLOOKUP($S1785,References!$B$3:$C$8,2,FALSE))),"")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2"/>
        <v>0</v>
      </c>
      <c r="T1786" s="98">
        <f t="shared" si="121"/>
        <v>0</v>
      </c>
      <c r="U1786" s="99" t="str">
        <f>IFERROR(IF(#REF!="S",VLOOKUP('Raw Data'!A1786,References!#REF!,2,FALSE),(VLOOKUP($S1786,References!$B$3:$C$8,2,FALSE))),"")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2"/>
        <v>0</v>
      </c>
      <c r="T1787" s="98">
        <f t="shared" si="121"/>
        <v>0</v>
      </c>
      <c r="U1787" s="99" t="str">
        <f>IFERROR(IF(#REF!="S",VLOOKUP('Raw Data'!A1787,References!#REF!,2,FALSE),(VLOOKUP($S1787,References!$B$3:$C$8,2,FALSE))),"")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2"/>
        <v>0</v>
      </c>
      <c r="T1788" s="98">
        <f t="shared" si="121"/>
        <v>0</v>
      </c>
      <c r="U1788" s="99" t="str">
        <f>IFERROR(IF(#REF!="S",VLOOKUP('Raw Data'!A1788,References!#REF!,2,FALSE),(VLOOKUP($S1788,References!$B$3:$C$8,2,FALSE))),"")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2"/>
        <v>0</v>
      </c>
      <c r="T1789" s="98">
        <f t="shared" si="121"/>
        <v>0</v>
      </c>
      <c r="U1789" s="99" t="str">
        <f>IFERROR(IF(#REF!="S",VLOOKUP('Raw Data'!A1789,References!#REF!,2,FALSE),(VLOOKUP($S1789,References!$B$3:$C$8,2,FALSE))),"")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2"/>
        <v>0</v>
      </c>
      <c r="T1790" s="98">
        <f t="shared" si="121"/>
        <v>0</v>
      </c>
      <c r="U1790" s="99" t="str">
        <f>IFERROR(IF(#REF!="S",VLOOKUP('Raw Data'!A1790,References!#REF!,2,FALSE),(VLOOKUP($S1790,References!$B$3:$C$8,2,FALSE))),"")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2"/>
        <v>0</v>
      </c>
      <c r="T1791" s="98">
        <f t="shared" si="121"/>
        <v>0</v>
      </c>
      <c r="U1791" s="99" t="str">
        <f>IFERROR(IF(#REF!="S",VLOOKUP('Raw Data'!A1791,References!#REF!,2,FALSE),(VLOOKUP($S1791,References!$B$3:$C$8,2,FALSE))),"")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2"/>
        <v>0</v>
      </c>
      <c r="T1792" s="98">
        <f t="shared" si="121"/>
        <v>0</v>
      </c>
      <c r="U1792" s="99" t="str">
        <f>IFERROR(IF(#REF!="S",VLOOKUP('Raw Data'!A1792,References!#REF!,2,FALSE),(VLOOKUP($S1792,References!$B$3:$C$8,2,FALSE))),"")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2"/>
        <v>0</v>
      </c>
      <c r="T1793" s="98">
        <f t="shared" si="121"/>
        <v>0</v>
      </c>
      <c r="U1793" s="99" t="str">
        <f>IFERROR(IF(#REF!="S",VLOOKUP('Raw Data'!A1793,References!#REF!,2,FALSE),(VLOOKUP($S1793,References!$B$3:$C$8,2,FALSE))),"")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2"/>
        <v>0</v>
      </c>
      <c r="T1794" s="98">
        <f t="shared" si="121"/>
        <v>0</v>
      </c>
      <c r="U1794" s="99" t="str">
        <f>IFERROR(IF(#REF!="S",VLOOKUP('Raw Data'!A1794,References!#REF!,2,FALSE),(VLOOKUP($S1794,References!$B$3:$C$8,2,FALSE))),"")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2"/>
        <v>0</v>
      </c>
      <c r="T1795" s="98">
        <f t="shared" si="121"/>
        <v>0</v>
      </c>
      <c r="U1795" s="99" t="str">
        <f>IFERROR(IF(#REF!="S",VLOOKUP('Raw Data'!A1795,References!#REF!,2,FALSE),(VLOOKUP($S1795,References!$B$3:$C$8,2,FALSE))),"")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2"/>
        <v>0</v>
      </c>
      <c r="T1796" s="98">
        <f t="shared" si="121"/>
        <v>0</v>
      </c>
      <c r="U1796" s="99" t="str">
        <f>IFERROR(IF(#REF!="S",VLOOKUP('Raw Data'!A1796,References!#REF!,2,FALSE),(VLOOKUP($S1796,References!$B$3:$C$8,2,FALSE))),"")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2"/>
        <v>0</v>
      </c>
      <c r="T1797" s="98">
        <f t="shared" si="121"/>
        <v>0</v>
      </c>
      <c r="U1797" s="99" t="str">
        <f>IFERROR(IF(#REF!="S",VLOOKUP('Raw Data'!A1797,References!#REF!,2,FALSE),(VLOOKUP($S1797,References!$B$3:$C$8,2,FALSE))),"")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2"/>
        <v>0</v>
      </c>
      <c r="T1798" s="98">
        <f t="shared" si="121"/>
        <v>0</v>
      </c>
      <c r="U1798" s="99" t="str">
        <f>IFERROR(IF(#REF!="S",VLOOKUP('Raw Data'!A1798,References!#REF!,2,FALSE),(VLOOKUP($S1798,References!$B$3:$C$8,2,FALSE))),"")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2"/>
        <v>0</v>
      </c>
      <c r="T1799" s="98">
        <f t="shared" si="121"/>
        <v>0</v>
      </c>
      <c r="U1799" s="99" t="str">
        <f>IFERROR(IF(#REF!="S",VLOOKUP('Raw Data'!A1799,References!#REF!,2,FALSE),(VLOOKUP($S1799,References!$B$3:$C$8,2,FALSE))),"")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2"/>
        <v>0</v>
      </c>
      <c r="T1800" s="98">
        <f t="shared" si="121"/>
        <v>0</v>
      </c>
      <c r="U1800" s="99" t="str">
        <f>IFERROR(IF(#REF!="S",VLOOKUP('Raw Data'!A1800,References!#REF!,2,FALSE),(VLOOKUP($S1800,References!$B$3:$C$8,2,FALSE))),"")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2"/>
        <v>0</v>
      </c>
      <c r="T1801" s="98">
        <f t="shared" si="121"/>
        <v>0</v>
      </c>
      <c r="U1801" s="99" t="str">
        <f>IFERROR(IF(#REF!="S",VLOOKUP('Raw Data'!A1801,References!#REF!,2,FALSE),(VLOOKUP($S1801,References!$B$3:$C$8,2,FALSE))),"")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2"/>
        <v>0</v>
      </c>
      <c r="T1802" s="98">
        <f t="shared" si="121"/>
        <v>0</v>
      </c>
      <c r="U1802" s="99" t="str">
        <f>IFERROR(IF(#REF!="S",VLOOKUP('Raw Data'!A1802,References!#REF!,2,FALSE),(VLOOKUP($S1802,References!$B$3:$C$8,2,FALSE))),"")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2"/>
        <v>0</v>
      </c>
      <c r="T1803" s="98">
        <f t="shared" si="121"/>
        <v>0</v>
      </c>
      <c r="U1803" s="99" t="str">
        <f>IFERROR(IF(#REF!="S",VLOOKUP('Raw Data'!A1803,References!#REF!,2,FALSE),(VLOOKUP($S1803,References!$B$3:$C$8,2,FALSE))),"")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2"/>
        <v>0</v>
      </c>
      <c r="T1804" s="98">
        <f t="shared" si="121"/>
        <v>0</v>
      </c>
      <c r="U1804" s="99" t="str">
        <f>IFERROR(IF(#REF!="S",VLOOKUP('Raw Data'!A1804,References!#REF!,2,FALSE),(VLOOKUP($S1804,References!$B$3:$C$8,2,FALSE))),"")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2"/>
        <v>0</v>
      </c>
      <c r="T1805" s="98">
        <f t="shared" si="121"/>
        <v>0</v>
      </c>
      <c r="U1805" s="99" t="str">
        <f>IFERROR(IF(#REF!="S",VLOOKUP('Raw Data'!A1805,References!#REF!,2,FALSE),(VLOOKUP($S1805,References!$B$3:$C$8,2,FALSE))),"")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2"/>
        <v>0</v>
      </c>
      <c r="T1806" s="98">
        <f t="shared" si="121"/>
        <v>0</v>
      </c>
      <c r="U1806" s="99" t="str">
        <f>IFERROR(IF(#REF!="S",VLOOKUP('Raw Data'!A1806,References!#REF!,2,FALSE),(VLOOKUP($S1806,References!$B$3:$C$8,2,FALSE))),"")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2"/>
        <v>0</v>
      </c>
      <c r="T1807" s="98">
        <f t="shared" si="121"/>
        <v>0</v>
      </c>
      <c r="U1807" s="99" t="str">
        <f>IFERROR(IF(#REF!="S",VLOOKUP('Raw Data'!A1807,References!#REF!,2,FALSE),(VLOOKUP($S1807,References!$B$3:$C$8,2,FALSE))),"")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2"/>
        <v>0</v>
      </c>
      <c r="T1808" s="98">
        <f t="shared" ref="T1808:T1871" si="123">IF(S1808="50 - Cleaning Fee",1,HOUR($R1808)+MINUTE(R1808)/60)</f>
        <v>0</v>
      </c>
      <c r="U1808" s="99" t="str">
        <f>IFERROR(IF(#REF!="S",VLOOKUP('Raw Data'!A1808,References!#REF!,2,FALSE),(VLOOKUP($S1808,References!$B$3:$C$8,2,FALSE))),"")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2"/>
        <v>0</v>
      </c>
      <c r="T1809" s="98">
        <f t="shared" si="123"/>
        <v>0</v>
      </c>
      <c r="U1809" s="99" t="str">
        <f>IFERROR(IF(#REF!="S",VLOOKUP('Raw Data'!A1809,References!#REF!,2,FALSE),(VLOOKUP($S1809,References!$B$3:$C$8,2,FALSE))),"")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2"/>
        <v>0</v>
      </c>
      <c r="T1810" s="98">
        <f t="shared" si="123"/>
        <v>0</v>
      </c>
      <c r="U1810" s="99" t="str">
        <f>IFERROR(IF(#REF!="S",VLOOKUP('Raw Data'!A1810,References!#REF!,2,FALSE),(VLOOKUP($S1810,References!$B$3:$C$8,2,FALSE))),"")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2"/>
        <v>0</v>
      </c>
      <c r="T1811" s="98">
        <f t="shared" si="123"/>
        <v>0</v>
      </c>
      <c r="U1811" s="99" t="str">
        <f>IFERROR(IF(#REF!="S",VLOOKUP('Raw Data'!A1811,References!#REF!,2,FALSE),(VLOOKUP($S1811,References!$B$3:$C$8,2,FALSE))),"")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2"/>
        <v>0</v>
      </c>
      <c r="T1812" s="98">
        <f t="shared" si="123"/>
        <v>0</v>
      </c>
      <c r="U1812" s="99" t="str">
        <f>IFERROR(IF(#REF!="S",VLOOKUP('Raw Data'!A1812,References!#REF!,2,FALSE),(VLOOKUP($S1812,References!$B$3:$C$8,2,FALSE))),"")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2"/>
        <v>0</v>
      </c>
      <c r="T1813" s="98">
        <f t="shared" si="123"/>
        <v>0</v>
      </c>
      <c r="U1813" s="99" t="str">
        <f>IFERROR(IF(#REF!="S",VLOOKUP('Raw Data'!A1813,References!#REF!,2,FALSE),(VLOOKUP($S1813,References!$B$3:$C$8,2,FALSE))),"")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2"/>
        <v>0</v>
      </c>
      <c r="T1814" s="98">
        <f t="shared" si="123"/>
        <v>0</v>
      </c>
      <c r="U1814" s="99" t="str">
        <f>IFERROR(IF(#REF!="S",VLOOKUP('Raw Data'!A1814,References!#REF!,2,FALSE),(VLOOKUP($S1814,References!$B$3:$C$8,2,FALSE))),"")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2"/>
        <v>0</v>
      </c>
      <c r="T1815" s="98">
        <f t="shared" si="123"/>
        <v>0</v>
      </c>
      <c r="U1815" s="99" t="str">
        <f>IFERROR(IF(#REF!="S",VLOOKUP('Raw Data'!A1815,References!#REF!,2,FALSE),(VLOOKUP($S1815,References!$B$3:$C$8,2,FALSE))),"")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2"/>
        <v>0</v>
      </c>
      <c r="T1816" s="98">
        <f t="shared" si="123"/>
        <v>0</v>
      </c>
      <c r="U1816" s="99" t="str">
        <f>IFERROR(IF(#REF!="S",VLOOKUP('Raw Data'!A1816,References!#REF!,2,FALSE),(VLOOKUP($S1816,References!$B$3:$C$8,2,FALSE))),"")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2"/>
        <v>0</v>
      </c>
      <c r="T1817" s="98">
        <f t="shared" si="123"/>
        <v>0</v>
      </c>
      <c r="U1817" s="99" t="str">
        <f>IFERROR(IF(#REF!="S",VLOOKUP('Raw Data'!A1817,References!#REF!,2,FALSE),(VLOOKUP($S1817,References!$B$3:$C$8,2,FALSE))),"")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2"/>
        <v>0</v>
      </c>
      <c r="T1818" s="98">
        <f t="shared" si="123"/>
        <v>0</v>
      </c>
      <c r="U1818" s="99" t="str">
        <f>IFERROR(IF(#REF!="S",VLOOKUP('Raw Data'!A1818,References!#REF!,2,FALSE),(VLOOKUP($S1818,References!$B$3:$C$8,2,FALSE))),"")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2"/>
        <v>0</v>
      </c>
      <c r="T1819" s="98">
        <f t="shared" si="123"/>
        <v>0</v>
      </c>
      <c r="U1819" s="99" t="str">
        <f>IFERROR(IF(#REF!="S",VLOOKUP('Raw Data'!A1819,References!#REF!,2,FALSE),(VLOOKUP($S1819,References!$B$3:$C$8,2,FALSE))),"")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2"/>
        <v>0</v>
      </c>
      <c r="T1820" s="98">
        <f t="shared" si="123"/>
        <v>0</v>
      </c>
      <c r="U1820" s="99" t="str">
        <f>IFERROR(IF(#REF!="S",VLOOKUP('Raw Data'!A1820,References!#REF!,2,FALSE),(VLOOKUP($S1820,References!$B$3:$C$8,2,FALSE))),"")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2"/>
        <v>0</v>
      </c>
      <c r="T1821" s="98">
        <f t="shared" si="123"/>
        <v>0</v>
      </c>
      <c r="U1821" s="99" t="str">
        <f>IFERROR(IF(#REF!="S",VLOOKUP('Raw Data'!A1821,References!#REF!,2,FALSE),(VLOOKUP($S1821,References!$B$3:$C$8,2,FALSE))),"")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2"/>
        <v>0</v>
      </c>
      <c r="T1822" s="98">
        <f t="shared" si="123"/>
        <v>0</v>
      </c>
      <c r="U1822" s="99" t="str">
        <f>IFERROR(IF(#REF!="S",VLOOKUP('Raw Data'!A1822,References!#REF!,2,FALSE),(VLOOKUP($S1822,References!$B$3:$C$8,2,FALSE))),"")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2"/>
        <v>0</v>
      </c>
      <c r="T1823" s="98">
        <f t="shared" si="123"/>
        <v>0</v>
      </c>
      <c r="U1823" s="99" t="str">
        <f>IFERROR(IF(#REF!="S",VLOOKUP('Raw Data'!A1823,References!#REF!,2,FALSE),(VLOOKUP($S1823,References!$B$3:$C$8,2,FALSE))),"")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2"/>
        <v>0</v>
      </c>
      <c r="T1824" s="98">
        <f t="shared" si="123"/>
        <v>0</v>
      </c>
      <c r="U1824" s="99" t="str">
        <f>IFERROR(IF(#REF!="S",VLOOKUP('Raw Data'!A1824,References!#REF!,2,FALSE),(VLOOKUP($S1824,References!$B$3:$C$8,2,FALSE))),"")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2"/>
        <v>0</v>
      </c>
      <c r="T1825" s="98">
        <f t="shared" si="123"/>
        <v>0</v>
      </c>
      <c r="U1825" s="99" t="str">
        <f>IFERROR(IF(#REF!="S",VLOOKUP('Raw Data'!A1825,References!#REF!,2,FALSE),(VLOOKUP($S1825,References!$B$3:$C$8,2,FALSE))),"")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2"/>
        <v>0</v>
      </c>
      <c r="T1826" s="98">
        <f t="shared" si="123"/>
        <v>0</v>
      </c>
      <c r="U1826" s="99" t="str">
        <f>IFERROR(IF(#REF!="S",VLOOKUP('Raw Data'!A1826,References!#REF!,2,FALSE),(VLOOKUP($S1826,References!$B$3:$C$8,2,FALSE))),"")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2"/>
        <v>0</v>
      </c>
      <c r="T1827" s="98">
        <f t="shared" si="123"/>
        <v>0</v>
      </c>
      <c r="U1827" s="99" t="str">
        <f>IFERROR(IF(#REF!="S",VLOOKUP('Raw Data'!A1827,References!#REF!,2,FALSE),(VLOOKUP($S1827,References!$B$3:$C$8,2,FALSE))),"")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2"/>
        <v>0</v>
      </c>
      <c r="T1828" s="98">
        <f t="shared" si="123"/>
        <v>0</v>
      </c>
      <c r="U1828" s="99" t="str">
        <f>IFERROR(IF(#REF!="S",VLOOKUP('Raw Data'!A1828,References!#REF!,2,FALSE),(VLOOKUP($S1828,References!$B$3:$C$8,2,FALSE))),"")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2"/>
        <v>0</v>
      </c>
      <c r="T1829" s="98">
        <f t="shared" si="123"/>
        <v>0</v>
      </c>
      <c r="U1829" s="99" t="str">
        <f>IFERROR(IF(#REF!="S",VLOOKUP('Raw Data'!A1829,References!#REF!,2,FALSE),(VLOOKUP($S1829,References!$B$3:$C$8,2,FALSE))),"")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2"/>
        <v>0</v>
      </c>
      <c r="T1830" s="98">
        <f t="shared" si="123"/>
        <v>0</v>
      </c>
      <c r="U1830" s="99" t="str">
        <f>IFERROR(IF(#REF!="S",VLOOKUP('Raw Data'!A1830,References!#REF!,2,FALSE),(VLOOKUP($S1830,References!$B$3:$C$8,2,FALSE))),"")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2"/>
        <v>0</v>
      </c>
      <c r="T1831" s="98">
        <f t="shared" si="123"/>
        <v>0</v>
      </c>
      <c r="U1831" s="99" t="str">
        <f>IFERROR(IF(#REF!="S",VLOOKUP('Raw Data'!A1831,References!#REF!,2,FALSE),(VLOOKUP($S1831,References!$B$3:$C$8,2,FALSE))),"")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2"/>
        <v>0</v>
      </c>
      <c r="T1832" s="98">
        <f t="shared" si="123"/>
        <v>0</v>
      </c>
      <c r="U1832" s="99" t="str">
        <f>IFERROR(IF(#REF!="S",VLOOKUP('Raw Data'!A1832,References!#REF!,2,FALSE),(VLOOKUP($S1832,References!$B$3:$C$8,2,FALSE))),"")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2"/>
        <v>0</v>
      </c>
      <c r="T1833" s="98">
        <f t="shared" si="123"/>
        <v>0</v>
      </c>
      <c r="U1833" s="99" t="str">
        <f>IFERROR(IF(#REF!="S",VLOOKUP('Raw Data'!A1833,References!#REF!,2,FALSE),(VLOOKUP($S1833,References!$B$3:$C$8,2,FALSE))),"")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2"/>
        <v>0</v>
      </c>
      <c r="T1834" s="98">
        <f t="shared" si="123"/>
        <v>0</v>
      </c>
      <c r="U1834" s="99" t="str">
        <f>IFERROR(IF(#REF!="S",VLOOKUP('Raw Data'!A1834,References!#REF!,2,FALSE),(VLOOKUP($S1834,References!$B$3:$C$8,2,FALSE))),"")</f>
        <v/>
      </c>
      <c r="W1834" s="66" t="str">
        <f>IFERROR(VLOOKUP($O1834,'Customer List'!$A$1:$J$488,10,FALSE),"")</f>
        <v/>
      </c>
    </row>
    <row r="1835" spans="18:23">
      <c r="R1835" s="97">
        <f t="shared" si="122"/>
        <v>0</v>
      </c>
      <c r="T1835" s="98">
        <f t="shared" si="123"/>
        <v>0</v>
      </c>
      <c r="U1835" s="99" t="str">
        <f>IFERROR(IF(#REF!="S",VLOOKUP('Raw Data'!A1835,References!#REF!,2,FALSE),(VLOOKUP($S1835,References!$B$3:$C$8,2,FALSE))),"")</f>
        <v/>
      </c>
      <c r="W1835" s="66" t="str">
        <f>IFERROR(VLOOKUP($O1835,'Customer List'!$A$1:$J$488,10,FALSE),"")</f>
        <v/>
      </c>
    </row>
    <row r="1836" spans="18:23">
      <c r="R1836" s="97">
        <f t="shared" ref="R1836:R1899" si="124">L1836-K1836</f>
        <v>0</v>
      </c>
      <c r="T1836" s="98">
        <f t="shared" si="123"/>
        <v>0</v>
      </c>
      <c r="U1836" s="99" t="str">
        <f>IFERROR(IF(#REF!="S",VLOOKUP('Raw Data'!A1836,References!#REF!,2,FALSE),(VLOOKUP($S1836,References!$B$3:$C$8,2,FALSE))),"")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4"/>
        <v>0</v>
      </c>
      <c r="T1837" s="98">
        <f t="shared" si="123"/>
        <v>0</v>
      </c>
      <c r="U1837" s="99" t="str">
        <f>IFERROR(IF(#REF!="S",VLOOKUP('Raw Data'!A1837,References!#REF!,2,FALSE),(VLOOKUP($S1837,References!$B$3:$C$8,2,FALSE))),"")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4"/>
        <v>0</v>
      </c>
      <c r="T1838" s="98">
        <f t="shared" si="123"/>
        <v>0</v>
      </c>
      <c r="U1838" s="99" t="str">
        <f>IFERROR(IF(#REF!="S",VLOOKUP('Raw Data'!A1838,References!#REF!,2,FALSE),(VLOOKUP($S1838,References!$B$3:$C$8,2,FALSE))),"")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4"/>
        <v>0</v>
      </c>
      <c r="T1839" s="98">
        <f t="shared" si="123"/>
        <v>0</v>
      </c>
      <c r="U1839" s="99" t="str">
        <f>IFERROR(IF(#REF!="S",VLOOKUP('Raw Data'!A1839,References!#REF!,2,FALSE),(VLOOKUP($S1839,References!$B$3:$C$8,2,FALSE))),"")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4"/>
        <v>0</v>
      </c>
      <c r="T1840" s="98">
        <f t="shared" si="123"/>
        <v>0</v>
      </c>
      <c r="U1840" s="99" t="str">
        <f>IFERROR(IF(#REF!="S",VLOOKUP('Raw Data'!A1840,References!#REF!,2,FALSE),(VLOOKUP($S1840,References!$B$3:$C$8,2,FALSE))),"")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4"/>
        <v>0</v>
      </c>
      <c r="T1841" s="98">
        <f t="shared" si="123"/>
        <v>0</v>
      </c>
      <c r="U1841" s="99" t="str">
        <f>IFERROR(IF(#REF!="S",VLOOKUP('Raw Data'!A1841,References!#REF!,2,FALSE),(VLOOKUP($S1841,References!$B$3:$C$8,2,FALSE))),"")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4"/>
        <v>0</v>
      </c>
      <c r="T1842" s="98">
        <f t="shared" si="123"/>
        <v>0</v>
      </c>
      <c r="U1842" s="99" t="str">
        <f>IFERROR(IF(#REF!="S",VLOOKUP('Raw Data'!A1842,References!#REF!,2,FALSE),(VLOOKUP($S1842,References!$B$3:$C$8,2,FALSE))),"")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4"/>
        <v>0</v>
      </c>
      <c r="T1843" s="98">
        <f t="shared" si="123"/>
        <v>0</v>
      </c>
      <c r="U1843" s="99" t="str">
        <f>IFERROR(IF(#REF!="S",VLOOKUP('Raw Data'!A1843,References!#REF!,2,FALSE),(VLOOKUP($S1843,References!$B$3:$C$8,2,FALSE))),"")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4"/>
        <v>0</v>
      </c>
      <c r="T1844" s="98">
        <f t="shared" si="123"/>
        <v>0</v>
      </c>
      <c r="U1844" s="99" t="str">
        <f>IFERROR(IF(#REF!="S",VLOOKUP('Raw Data'!A1844,References!#REF!,2,FALSE),(VLOOKUP($S1844,References!$B$3:$C$8,2,FALSE))),"")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4"/>
        <v>0</v>
      </c>
      <c r="T1845" s="98">
        <f t="shared" si="123"/>
        <v>0</v>
      </c>
      <c r="U1845" s="99" t="str">
        <f>IFERROR(IF(#REF!="S",VLOOKUP('Raw Data'!A1845,References!#REF!,2,FALSE),(VLOOKUP($S1845,References!$B$3:$C$8,2,FALSE))),"")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4"/>
        <v>0</v>
      </c>
      <c r="T1846" s="98">
        <f t="shared" si="123"/>
        <v>0</v>
      </c>
      <c r="U1846" s="99" t="str">
        <f>IFERROR(IF(#REF!="S",VLOOKUP('Raw Data'!A1846,References!#REF!,2,FALSE),(VLOOKUP($S1846,References!$B$3:$C$8,2,FALSE))),"")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4"/>
        <v>0</v>
      </c>
      <c r="T1847" s="98">
        <f t="shared" si="123"/>
        <v>0</v>
      </c>
      <c r="U1847" s="99" t="str">
        <f>IFERROR(IF(#REF!="S",VLOOKUP('Raw Data'!A1847,References!#REF!,2,FALSE),(VLOOKUP($S1847,References!$B$3:$C$8,2,FALSE))),"")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4"/>
        <v>0</v>
      </c>
      <c r="T1848" s="98">
        <f t="shared" si="123"/>
        <v>0</v>
      </c>
      <c r="U1848" s="99" t="str">
        <f>IFERROR(IF(#REF!="S",VLOOKUP('Raw Data'!A1848,References!#REF!,2,FALSE),(VLOOKUP($S1848,References!$B$3:$C$8,2,FALSE))),"")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4"/>
        <v>0</v>
      </c>
      <c r="T1849" s="98">
        <f t="shared" si="123"/>
        <v>0</v>
      </c>
      <c r="U1849" s="99" t="str">
        <f>IFERROR(IF(#REF!="S",VLOOKUP('Raw Data'!A1849,References!#REF!,2,FALSE),(VLOOKUP($S1849,References!$B$3:$C$8,2,FALSE))),"")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4"/>
        <v>0</v>
      </c>
      <c r="T1850" s="98">
        <f t="shared" si="123"/>
        <v>0</v>
      </c>
      <c r="U1850" s="99" t="str">
        <f>IFERROR(IF(#REF!="S",VLOOKUP('Raw Data'!A1850,References!#REF!,2,FALSE),(VLOOKUP($S1850,References!$B$3:$C$8,2,FALSE))),"")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4"/>
        <v>0</v>
      </c>
      <c r="T1851" s="98">
        <f t="shared" si="123"/>
        <v>0</v>
      </c>
      <c r="U1851" s="99" t="str">
        <f>IFERROR(IF(#REF!="S",VLOOKUP('Raw Data'!A1851,References!#REF!,2,FALSE),(VLOOKUP($S1851,References!$B$3:$C$8,2,FALSE))),"")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4"/>
        <v>0</v>
      </c>
      <c r="T1852" s="98">
        <f t="shared" si="123"/>
        <v>0</v>
      </c>
      <c r="U1852" s="99" t="str">
        <f>IFERROR(IF(#REF!="S",VLOOKUP('Raw Data'!A1852,References!#REF!,2,FALSE),(VLOOKUP($S1852,References!$B$3:$C$8,2,FALSE))),"")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4"/>
        <v>0</v>
      </c>
      <c r="T1853" s="98">
        <f t="shared" si="123"/>
        <v>0</v>
      </c>
      <c r="U1853" s="99" t="str">
        <f>IFERROR(IF(#REF!="S",VLOOKUP('Raw Data'!A1853,References!#REF!,2,FALSE),(VLOOKUP($S1853,References!$B$3:$C$8,2,FALSE))),"")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4"/>
        <v>0</v>
      </c>
      <c r="T1854" s="98">
        <f t="shared" si="123"/>
        <v>0</v>
      </c>
      <c r="U1854" s="99" t="str">
        <f>IFERROR(IF(#REF!="S",VLOOKUP('Raw Data'!A1854,References!#REF!,2,FALSE),(VLOOKUP($S1854,References!$B$3:$C$8,2,FALSE))),"")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4"/>
        <v>0</v>
      </c>
      <c r="T1855" s="98">
        <f t="shared" si="123"/>
        <v>0</v>
      </c>
      <c r="U1855" s="99" t="str">
        <f>IFERROR(IF(#REF!="S",VLOOKUP('Raw Data'!A1855,References!#REF!,2,FALSE),(VLOOKUP($S1855,References!$B$3:$C$8,2,FALSE))),"")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4"/>
        <v>0</v>
      </c>
      <c r="T1856" s="98">
        <f t="shared" si="123"/>
        <v>0</v>
      </c>
      <c r="U1856" s="99" t="str">
        <f>IFERROR(IF(#REF!="S",VLOOKUP('Raw Data'!A1856,References!#REF!,2,FALSE),(VLOOKUP($S1856,References!$B$3:$C$8,2,FALSE))),"")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4"/>
        <v>0</v>
      </c>
      <c r="T1857" s="98">
        <f t="shared" si="123"/>
        <v>0</v>
      </c>
      <c r="U1857" s="99" t="str">
        <f>IFERROR(IF(#REF!="S",VLOOKUP('Raw Data'!A1857,References!#REF!,2,FALSE),(VLOOKUP($S1857,References!$B$3:$C$8,2,FALSE))),"")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4"/>
        <v>0</v>
      </c>
      <c r="T1858" s="98">
        <f t="shared" si="123"/>
        <v>0</v>
      </c>
      <c r="U1858" s="99" t="str">
        <f>IFERROR(IF(#REF!="S",VLOOKUP('Raw Data'!A1858,References!#REF!,2,FALSE),(VLOOKUP($S1858,References!$B$3:$C$8,2,FALSE))),"")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4"/>
        <v>0</v>
      </c>
      <c r="T1859" s="98">
        <f t="shared" si="123"/>
        <v>0</v>
      </c>
      <c r="U1859" s="99" t="str">
        <f>IFERROR(IF(#REF!="S",VLOOKUP('Raw Data'!A1859,References!#REF!,2,FALSE),(VLOOKUP($S1859,References!$B$3:$C$8,2,FALSE))),"")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4"/>
        <v>0</v>
      </c>
      <c r="T1860" s="98">
        <f t="shared" si="123"/>
        <v>0</v>
      </c>
      <c r="U1860" s="99" t="str">
        <f>IFERROR(IF(#REF!="S",VLOOKUP('Raw Data'!A1860,References!#REF!,2,FALSE),(VLOOKUP($S1860,References!$B$3:$C$8,2,FALSE))),"")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4"/>
        <v>0</v>
      </c>
      <c r="T1861" s="98">
        <f t="shared" si="123"/>
        <v>0</v>
      </c>
      <c r="U1861" s="99" t="str">
        <f>IFERROR(IF(#REF!="S",VLOOKUP('Raw Data'!A1861,References!#REF!,2,FALSE),(VLOOKUP($S1861,References!$B$3:$C$8,2,FALSE))),"")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4"/>
        <v>0</v>
      </c>
      <c r="T1862" s="98">
        <f t="shared" si="123"/>
        <v>0</v>
      </c>
      <c r="U1862" s="99" t="str">
        <f>IFERROR(IF(#REF!="S",VLOOKUP('Raw Data'!A1862,References!#REF!,2,FALSE),(VLOOKUP($S1862,References!$B$3:$C$8,2,FALSE))),"")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4"/>
        <v>0</v>
      </c>
      <c r="T1863" s="98">
        <f t="shared" si="123"/>
        <v>0</v>
      </c>
      <c r="U1863" s="99" t="str">
        <f>IFERROR(IF(#REF!="S",VLOOKUP('Raw Data'!A1863,References!#REF!,2,FALSE),(VLOOKUP($S1863,References!$B$3:$C$8,2,FALSE))),"")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4"/>
        <v>0</v>
      </c>
      <c r="T1864" s="98">
        <f t="shared" si="123"/>
        <v>0</v>
      </c>
      <c r="U1864" s="99" t="str">
        <f>IFERROR(IF(#REF!="S",VLOOKUP('Raw Data'!A1864,References!#REF!,2,FALSE),(VLOOKUP($S1864,References!$B$3:$C$8,2,FALSE))),"")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4"/>
        <v>0</v>
      </c>
      <c r="T1865" s="98">
        <f t="shared" si="123"/>
        <v>0</v>
      </c>
      <c r="U1865" s="99" t="str">
        <f>IFERROR(IF(#REF!="S",VLOOKUP('Raw Data'!A1865,References!#REF!,2,FALSE),(VLOOKUP($S1865,References!$B$3:$C$8,2,FALSE))),"")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4"/>
        <v>0</v>
      </c>
      <c r="T1866" s="98">
        <f t="shared" si="123"/>
        <v>0</v>
      </c>
      <c r="U1866" s="99" t="str">
        <f>IFERROR(IF(#REF!="S",VLOOKUP('Raw Data'!A1866,References!#REF!,2,FALSE),(VLOOKUP($S1866,References!$B$3:$C$8,2,FALSE))),"")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4"/>
        <v>0</v>
      </c>
      <c r="T1867" s="98">
        <f t="shared" si="123"/>
        <v>0</v>
      </c>
      <c r="U1867" s="99" t="str">
        <f>IFERROR(IF(#REF!="S",VLOOKUP('Raw Data'!A1867,References!#REF!,2,FALSE),(VLOOKUP($S1867,References!$B$3:$C$8,2,FALSE))),"")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4"/>
        <v>0</v>
      </c>
      <c r="T1868" s="98">
        <f t="shared" si="123"/>
        <v>0</v>
      </c>
      <c r="U1868" s="99" t="str">
        <f>IFERROR(IF(#REF!="S",VLOOKUP('Raw Data'!A1868,References!#REF!,2,FALSE),(VLOOKUP($S1868,References!$B$3:$C$8,2,FALSE))),"")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4"/>
        <v>0</v>
      </c>
      <c r="T1869" s="98">
        <f t="shared" si="123"/>
        <v>0</v>
      </c>
      <c r="U1869" s="99" t="str">
        <f>IFERROR(IF(#REF!="S",VLOOKUP('Raw Data'!A1869,References!#REF!,2,FALSE),(VLOOKUP($S1869,References!$B$3:$C$8,2,FALSE))),"")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4"/>
        <v>0</v>
      </c>
      <c r="T1870" s="98">
        <f t="shared" si="123"/>
        <v>0</v>
      </c>
      <c r="U1870" s="99" t="str">
        <f>IFERROR(IF(#REF!="S",VLOOKUP('Raw Data'!A1870,References!#REF!,2,FALSE),(VLOOKUP($S1870,References!$B$3:$C$8,2,FALSE))),"")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4"/>
        <v>0</v>
      </c>
      <c r="T1871" s="98">
        <f t="shared" si="123"/>
        <v>0</v>
      </c>
      <c r="U1871" s="99" t="str">
        <f>IFERROR(IF(#REF!="S",VLOOKUP('Raw Data'!A1871,References!#REF!,2,FALSE),(VLOOKUP($S1871,References!$B$3:$C$8,2,FALSE))),"")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4"/>
        <v>0</v>
      </c>
      <c r="T1872" s="98">
        <f t="shared" ref="T1872:T1935" si="125">IF(S1872="50 - Cleaning Fee",1,HOUR($R1872)+MINUTE(R1872)/60)</f>
        <v>0</v>
      </c>
      <c r="U1872" s="99" t="str">
        <f>IFERROR(IF(#REF!="S",VLOOKUP('Raw Data'!A1872,References!#REF!,2,FALSE),(VLOOKUP($S1872,References!$B$3:$C$8,2,FALSE))),"")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4"/>
        <v>0</v>
      </c>
      <c r="T1873" s="98">
        <f t="shared" si="125"/>
        <v>0</v>
      </c>
      <c r="U1873" s="99" t="str">
        <f>IFERROR(IF(#REF!="S",VLOOKUP('Raw Data'!A1873,References!#REF!,2,FALSE),(VLOOKUP($S1873,References!$B$3:$C$8,2,FALSE))),"")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4"/>
        <v>0</v>
      </c>
      <c r="T1874" s="98">
        <f t="shared" si="125"/>
        <v>0</v>
      </c>
      <c r="U1874" s="99" t="str">
        <f>IFERROR(IF(#REF!="S",VLOOKUP('Raw Data'!A1874,References!#REF!,2,FALSE),(VLOOKUP($S1874,References!$B$3:$C$8,2,FALSE))),"")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4"/>
        <v>0</v>
      </c>
      <c r="T1875" s="98">
        <f t="shared" si="125"/>
        <v>0</v>
      </c>
      <c r="U1875" s="99" t="str">
        <f>IFERROR(IF(#REF!="S",VLOOKUP('Raw Data'!A1875,References!#REF!,2,FALSE),(VLOOKUP($S1875,References!$B$3:$C$8,2,FALSE))),"")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4"/>
        <v>0</v>
      </c>
      <c r="T1876" s="98">
        <f t="shared" si="125"/>
        <v>0</v>
      </c>
      <c r="U1876" s="99" t="str">
        <f>IFERROR(IF(#REF!="S",VLOOKUP('Raw Data'!A1876,References!#REF!,2,FALSE),(VLOOKUP($S1876,References!$B$3:$C$8,2,FALSE))),"")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4"/>
        <v>0</v>
      </c>
      <c r="T1877" s="98">
        <f t="shared" si="125"/>
        <v>0</v>
      </c>
      <c r="U1877" s="99" t="str">
        <f>IFERROR(IF(#REF!="S",VLOOKUP('Raw Data'!A1877,References!#REF!,2,FALSE),(VLOOKUP($S1877,References!$B$3:$C$8,2,FALSE))),"")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4"/>
        <v>0</v>
      </c>
      <c r="T1878" s="98">
        <f t="shared" si="125"/>
        <v>0</v>
      </c>
      <c r="U1878" s="99" t="str">
        <f>IFERROR(IF(#REF!="S",VLOOKUP('Raw Data'!A1878,References!#REF!,2,FALSE),(VLOOKUP($S1878,References!$B$3:$C$8,2,FALSE))),"")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4"/>
        <v>0</v>
      </c>
      <c r="T1879" s="98">
        <f t="shared" si="125"/>
        <v>0</v>
      </c>
      <c r="U1879" s="99" t="str">
        <f>IFERROR(IF(#REF!="S",VLOOKUP('Raw Data'!A1879,References!#REF!,2,FALSE),(VLOOKUP($S1879,References!$B$3:$C$8,2,FALSE))),"")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4"/>
        <v>0</v>
      </c>
      <c r="T1880" s="98">
        <f t="shared" si="125"/>
        <v>0</v>
      </c>
      <c r="U1880" s="99" t="str">
        <f>IFERROR(IF(#REF!="S",VLOOKUP('Raw Data'!A1880,References!#REF!,2,FALSE),(VLOOKUP($S1880,References!$B$3:$C$8,2,FALSE))),"")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4"/>
        <v>0</v>
      </c>
      <c r="T1881" s="98">
        <f t="shared" si="125"/>
        <v>0</v>
      </c>
      <c r="U1881" s="99" t="str">
        <f>IFERROR(IF(#REF!="S",VLOOKUP('Raw Data'!A1881,References!#REF!,2,FALSE),(VLOOKUP($S1881,References!$B$3:$C$8,2,FALSE))),"")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4"/>
        <v>0</v>
      </c>
      <c r="T1882" s="98">
        <f t="shared" si="125"/>
        <v>0</v>
      </c>
      <c r="U1882" s="99" t="str">
        <f>IFERROR(IF(#REF!="S",VLOOKUP('Raw Data'!A1882,References!#REF!,2,FALSE),(VLOOKUP($S1882,References!$B$3:$C$8,2,FALSE))),"")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4"/>
        <v>0</v>
      </c>
      <c r="T1883" s="98">
        <f t="shared" si="125"/>
        <v>0</v>
      </c>
      <c r="U1883" s="99" t="str">
        <f>IFERROR(IF(#REF!="S",VLOOKUP('Raw Data'!A1883,References!#REF!,2,FALSE),(VLOOKUP($S1883,References!$B$3:$C$8,2,FALSE))),"")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4"/>
        <v>0</v>
      </c>
      <c r="T1884" s="98">
        <f t="shared" si="125"/>
        <v>0</v>
      </c>
      <c r="U1884" s="99" t="str">
        <f>IFERROR(IF(#REF!="S",VLOOKUP('Raw Data'!A1884,References!#REF!,2,FALSE),(VLOOKUP($S1884,References!$B$3:$C$8,2,FALSE))),"")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4"/>
        <v>0</v>
      </c>
      <c r="T1885" s="98">
        <f t="shared" si="125"/>
        <v>0</v>
      </c>
      <c r="U1885" s="99" t="str">
        <f>IFERROR(IF(#REF!="S",VLOOKUP('Raw Data'!A1885,References!#REF!,2,FALSE),(VLOOKUP($S1885,References!$B$3:$C$8,2,FALSE))),"")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4"/>
        <v>0</v>
      </c>
      <c r="T1886" s="98">
        <f t="shared" si="125"/>
        <v>0</v>
      </c>
      <c r="U1886" s="99" t="str">
        <f>IFERROR(IF(#REF!="S",VLOOKUP('Raw Data'!A1886,References!#REF!,2,FALSE),(VLOOKUP($S1886,References!$B$3:$C$8,2,FALSE))),"")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4"/>
        <v>0</v>
      </c>
      <c r="T1887" s="98">
        <f t="shared" si="125"/>
        <v>0</v>
      </c>
      <c r="U1887" s="99" t="str">
        <f>IFERROR(IF(#REF!="S",VLOOKUP('Raw Data'!A1887,References!#REF!,2,FALSE),(VLOOKUP($S1887,References!$B$3:$C$8,2,FALSE))),"")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4"/>
        <v>0</v>
      </c>
      <c r="T1888" s="98">
        <f t="shared" si="125"/>
        <v>0</v>
      </c>
      <c r="U1888" s="99" t="str">
        <f>IFERROR(IF(#REF!="S",VLOOKUP('Raw Data'!A1888,References!#REF!,2,FALSE),(VLOOKUP($S1888,References!$B$3:$C$8,2,FALSE))),"")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4"/>
        <v>0</v>
      </c>
      <c r="T1889" s="98">
        <f t="shared" si="125"/>
        <v>0</v>
      </c>
      <c r="U1889" s="99" t="str">
        <f>IFERROR(IF(#REF!="S",VLOOKUP('Raw Data'!A1889,References!#REF!,2,FALSE),(VLOOKUP($S1889,References!$B$3:$C$8,2,FALSE))),"")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4"/>
        <v>0</v>
      </c>
      <c r="T1890" s="98">
        <f t="shared" si="125"/>
        <v>0</v>
      </c>
      <c r="U1890" s="99" t="str">
        <f>IFERROR(IF(#REF!="S",VLOOKUP('Raw Data'!A1890,References!#REF!,2,FALSE),(VLOOKUP($S1890,References!$B$3:$C$8,2,FALSE))),"")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4"/>
        <v>0</v>
      </c>
      <c r="T1891" s="98">
        <f t="shared" si="125"/>
        <v>0</v>
      </c>
      <c r="U1891" s="99" t="str">
        <f>IFERROR(IF(#REF!="S",VLOOKUP('Raw Data'!A1891,References!#REF!,2,FALSE),(VLOOKUP($S1891,References!$B$3:$C$8,2,FALSE))),"")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4"/>
        <v>0</v>
      </c>
      <c r="T1892" s="98">
        <f t="shared" si="125"/>
        <v>0</v>
      </c>
      <c r="U1892" s="99" t="str">
        <f>IFERROR(IF(#REF!="S",VLOOKUP('Raw Data'!A1892,References!#REF!,2,FALSE),(VLOOKUP($S1892,References!$B$3:$C$8,2,FALSE))),"")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4"/>
        <v>0</v>
      </c>
      <c r="T1893" s="98">
        <f t="shared" si="125"/>
        <v>0</v>
      </c>
      <c r="U1893" s="99" t="str">
        <f>IFERROR(IF(#REF!="S",VLOOKUP('Raw Data'!A1893,References!#REF!,2,FALSE),(VLOOKUP($S1893,References!$B$3:$C$8,2,FALSE))),"")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4"/>
        <v>0</v>
      </c>
      <c r="T1894" s="98">
        <f t="shared" si="125"/>
        <v>0</v>
      </c>
      <c r="U1894" s="99" t="str">
        <f>IFERROR(IF(#REF!="S",VLOOKUP('Raw Data'!A1894,References!#REF!,2,FALSE),(VLOOKUP($S1894,References!$B$3:$C$8,2,FALSE))),"")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4"/>
        <v>0</v>
      </c>
      <c r="T1895" s="98">
        <f t="shared" si="125"/>
        <v>0</v>
      </c>
      <c r="U1895" s="99" t="str">
        <f>IFERROR(IF(#REF!="S",VLOOKUP('Raw Data'!A1895,References!#REF!,2,FALSE),(VLOOKUP($S1895,References!$B$3:$C$8,2,FALSE))),"")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4"/>
        <v>0</v>
      </c>
      <c r="T1896" s="98">
        <f t="shared" si="125"/>
        <v>0</v>
      </c>
      <c r="U1896" s="99" t="str">
        <f>IFERROR(IF(#REF!="S",VLOOKUP('Raw Data'!A1896,References!#REF!,2,FALSE),(VLOOKUP($S1896,References!$B$3:$C$8,2,FALSE))),"")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4"/>
        <v>0</v>
      </c>
      <c r="T1897" s="98">
        <f t="shared" si="125"/>
        <v>0</v>
      </c>
      <c r="U1897" s="99" t="str">
        <f>IFERROR(IF(#REF!="S",VLOOKUP('Raw Data'!A1897,References!#REF!,2,FALSE),(VLOOKUP($S1897,References!$B$3:$C$8,2,FALSE))),"")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4"/>
        <v>0</v>
      </c>
      <c r="T1898" s="98">
        <f t="shared" si="125"/>
        <v>0</v>
      </c>
      <c r="U1898" s="99" t="str">
        <f>IFERROR(IF(#REF!="S",VLOOKUP('Raw Data'!A1898,References!#REF!,2,FALSE),(VLOOKUP($S1898,References!$B$3:$C$8,2,FALSE))),"")</f>
        <v/>
      </c>
      <c r="W1898" s="66" t="str">
        <f>IFERROR(VLOOKUP($O1898,'Customer List'!$A$1:$J$488,10,FALSE),"")</f>
        <v/>
      </c>
    </row>
    <row r="1899" spans="18:23">
      <c r="R1899" s="97">
        <f t="shared" si="124"/>
        <v>0</v>
      </c>
      <c r="T1899" s="98">
        <f t="shared" si="125"/>
        <v>0</v>
      </c>
      <c r="U1899" s="99" t="str">
        <f>IFERROR(IF(#REF!="S",VLOOKUP('Raw Data'!A1899,References!#REF!,2,FALSE),(VLOOKUP($S1899,References!$B$3:$C$8,2,FALSE))),"")</f>
        <v/>
      </c>
      <c r="W1899" s="66" t="str">
        <f>IFERROR(VLOOKUP($O1899,'Customer List'!$A$1:$J$488,10,FALSE),"")</f>
        <v/>
      </c>
    </row>
    <row r="1900" spans="18:23">
      <c r="R1900" s="97">
        <f t="shared" ref="R1900:R1963" si="126">L1900-K1900</f>
        <v>0</v>
      </c>
      <c r="T1900" s="98">
        <f t="shared" si="125"/>
        <v>0</v>
      </c>
      <c r="U1900" s="99" t="str">
        <f>IFERROR(IF(#REF!="S",VLOOKUP('Raw Data'!A1900,References!#REF!,2,FALSE),(VLOOKUP($S1900,References!$B$3:$C$8,2,FALSE))),"")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6"/>
        <v>0</v>
      </c>
      <c r="T1901" s="98">
        <f t="shared" si="125"/>
        <v>0</v>
      </c>
      <c r="U1901" s="99" t="str">
        <f>IFERROR(IF(#REF!="S",VLOOKUP('Raw Data'!A1901,References!#REF!,2,FALSE),(VLOOKUP($S1901,References!$B$3:$C$8,2,FALSE))),"")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6"/>
        <v>0</v>
      </c>
      <c r="T1902" s="98">
        <f t="shared" si="125"/>
        <v>0</v>
      </c>
      <c r="U1902" s="99" t="str">
        <f>IFERROR(IF(#REF!="S",VLOOKUP('Raw Data'!A1902,References!#REF!,2,FALSE),(VLOOKUP($S1902,References!$B$3:$C$8,2,FALSE))),"")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6"/>
        <v>0</v>
      </c>
      <c r="T1903" s="98">
        <f t="shared" si="125"/>
        <v>0</v>
      </c>
      <c r="U1903" s="99" t="str">
        <f>IFERROR(IF(#REF!="S",VLOOKUP('Raw Data'!A1903,References!#REF!,2,FALSE),(VLOOKUP($S1903,References!$B$3:$C$8,2,FALSE))),"")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6"/>
        <v>0</v>
      </c>
      <c r="T1904" s="98">
        <f t="shared" si="125"/>
        <v>0</v>
      </c>
      <c r="U1904" s="99" t="str">
        <f>IFERROR(IF(#REF!="S",VLOOKUP('Raw Data'!A1904,References!#REF!,2,FALSE),(VLOOKUP($S1904,References!$B$3:$C$8,2,FALSE))),"")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6"/>
        <v>0</v>
      </c>
      <c r="T1905" s="98">
        <f t="shared" si="125"/>
        <v>0</v>
      </c>
      <c r="U1905" s="99" t="str">
        <f>IFERROR(IF(#REF!="S",VLOOKUP('Raw Data'!A1905,References!#REF!,2,FALSE),(VLOOKUP($S1905,References!$B$3:$C$8,2,FALSE))),"")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6"/>
        <v>0</v>
      </c>
      <c r="T1906" s="98">
        <f t="shared" si="125"/>
        <v>0</v>
      </c>
      <c r="U1906" s="99" t="str">
        <f>IFERROR(IF(#REF!="S",VLOOKUP('Raw Data'!A1906,References!#REF!,2,FALSE),(VLOOKUP($S1906,References!$B$3:$C$8,2,FALSE))),"")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6"/>
        <v>0</v>
      </c>
      <c r="T1907" s="98">
        <f t="shared" si="125"/>
        <v>0</v>
      </c>
      <c r="U1907" s="99" t="str">
        <f>IFERROR(IF(#REF!="S",VLOOKUP('Raw Data'!A1907,References!#REF!,2,FALSE),(VLOOKUP($S1907,References!$B$3:$C$8,2,FALSE))),"")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6"/>
        <v>0</v>
      </c>
      <c r="T1908" s="98">
        <f t="shared" si="125"/>
        <v>0</v>
      </c>
      <c r="U1908" s="99" t="str">
        <f>IFERROR(IF(#REF!="S",VLOOKUP('Raw Data'!A1908,References!#REF!,2,FALSE),(VLOOKUP($S1908,References!$B$3:$C$8,2,FALSE))),"")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6"/>
        <v>0</v>
      </c>
      <c r="T1909" s="98">
        <f t="shared" si="125"/>
        <v>0</v>
      </c>
      <c r="U1909" s="99" t="str">
        <f>IFERROR(IF(#REF!="S",VLOOKUP('Raw Data'!A1909,References!#REF!,2,FALSE),(VLOOKUP($S1909,References!$B$3:$C$8,2,FALSE))),"")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6"/>
        <v>0</v>
      </c>
      <c r="T1910" s="98">
        <f t="shared" si="125"/>
        <v>0</v>
      </c>
      <c r="U1910" s="99" t="str">
        <f>IFERROR(IF(#REF!="S",VLOOKUP('Raw Data'!A1910,References!#REF!,2,FALSE),(VLOOKUP($S1910,References!$B$3:$C$8,2,FALSE))),"")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6"/>
        <v>0</v>
      </c>
      <c r="T1911" s="98">
        <f t="shared" si="125"/>
        <v>0</v>
      </c>
      <c r="U1911" s="99" t="str">
        <f>IFERROR(IF(#REF!="S",VLOOKUP('Raw Data'!A1911,References!#REF!,2,FALSE),(VLOOKUP($S1911,References!$B$3:$C$8,2,FALSE))),"")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6"/>
        <v>0</v>
      </c>
      <c r="T1912" s="98">
        <f t="shared" si="125"/>
        <v>0</v>
      </c>
      <c r="U1912" s="99" t="str">
        <f>IFERROR(IF(#REF!="S",VLOOKUP('Raw Data'!A1912,References!#REF!,2,FALSE),(VLOOKUP($S1912,References!$B$3:$C$8,2,FALSE))),"")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6"/>
        <v>0</v>
      </c>
      <c r="T1913" s="98">
        <f t="shared" si="125"/>
        <v>0</v>
      </c>
      <c r="U1913" s="99" t="str">
        <f>IFERROR(IF(#REF!="S",VLOOKUP('Raw Data'!A1913,References!#REF!,2,FALSE),(VLOOKUP($S1913,References!$B$3:$C$8,2,FALSE))),"")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6"/>
        <v>0</v>
      </c>
      <c r="T1914" s="98">
        <f t="shared" si="125"/>
        <v>0</v>
      </c>
      <c r="U1914" s="99" t="str">
        <f>IFERROR(IF(#REF!="S",VLOOKUP('Raw Data'!A1914,References!#REF!,2,FALSE),(VLOOKUP($S1914,References!$B$3:$C$8,2,FALSE))),"")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6"/>
        <v>0</v>
      </c>
      <c r="T1915" s="98">
        <f t="shared" si="125"/>
        <v>0</v>
      </c>
      <c r="U1915" s="99" t="str">
        <f>IFERROR(IF(#REF!="S",VLOOKUP('Raw Data'!A1915,References!#REF!,2,FALSE),(VLOOKUP($S1915,References!$B$3:$C$8,2,FALSE))),"")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6"/>
        <v>0</v>
      </c>
      <c r="T1916" s="98">
        <f t="shared" si="125"/>
        <v>0</v>
      </c>
      <c r="U1916" s="99" t="str">
        <f>IFERROR(IF(#REF!="S",VLOOKUP('Raw Data'!A1916,References!#REF!,2,FALSE),(VLOOKUP($S1916,References!$B$3:$C$8,2,FALSE))),"")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6"/>
        <v>0</v>
      </c>
      <c r="T1917" s="98">
        <f t="shared" si="125"/>
        <v>0</v>
      </c>
      <c r="U1917" s="99" t="str">
        <f>IFERROR(IF(#REF!="S",VLOOKUP('Raw Data'!A1917,References!#REF!,2,FALSE),(VLOOKUP($S1917,References!$B$3:$C$8,2,FALSE))),"")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6"/>
        <v>0</v>
      </c>
      <c r="T1918" s="98">
        <f t="shared" si="125"/>
        <v>0</v>
      </c>
      <c r="U1918" s="99" t="str">
        <f>IFERROR(IF(#REF!="S",VLOOKUP('Raw Data'!A1918,References!#REF!,2,FALSE),(VLOOKUP($S1918,References!$B$3:$C$8,2,FALSE))),"")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6"/>
        <v>0</v>
      </c>
      <c r="T1919" s="98">
        <f t="shared" si="125"/>
        <v>0</v>
      </c>
      <c r="U1919" s="99" t="str">
        <f>IFERROR(IF(#REF!="S",VLOOKUP('Raw Data'!A1919,References!#REF!,2,FALSE),(VLOOKUP($S1919,References!$B$3:$C$8,2,FALSE))),"")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6"/>
        <v>0</v>
      </c>
      <c r="T1920" s="98">
        <f t="shared" si="125"/>
        <v>0</v>
      </c>
      <c r="U1920" s="99" t="str">
        <f>IFERROR(IF(#REF!="S",VLOOKUP('Raw Data'!A1920,References!#REF!,2,FALSE),(VLOOKUP($S1920,References!$B$3:$C$8,2,FALSE))),"")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6"/>
        <v>0</v>
      </c>
      <c r="T1921" s="98">
        <f t="shared" si="125"/>
        <v>0</v>
      </c>
      <c r="U1921" s="99" t="str">
        <f>IFERROR(IF(#REF!="S",VLOOKUP('Raw Data'!A1921,References!#REF!,2,FALSE),(VLOOKUP($S1921,References!$B$3:$C$8,2,FALSE))),"")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6"/>
        <v>0</v>
      </c>
      <c r="T1922" s="98">
        <f t="shared" si="125"/>
        <v>0</v>
      </c>
      <c r="U1922" s="99" t="str">
        <f>IFERROR(IF(#REF!="S",VLOOKUP('Raw Data'!A1922,References!#REF!,2,FALSE),(VLOOKUP($S1922,References!$B$3:$C$8,2,FALSE))),"")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6"/>
        <v>0</v>
      </c>
      <c r="T1923" s="98">
        <f t="shared" si="125"/>
        <v>0</v>
      </c>
      <c r="U1923" s="99" t="str">
        <f>IFERROR(IF(#REF!="S",VLOOKUP('Raw Data'!A1923,References!#REF!,2,FALSE),(VLOOKUP($S1923,References!$B$3:$C$8,2,FALSE))),"")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6"/>
        <v>0</v>
      </c>
      <c r="T1924" s="98">
        <f t="shared" si="125"/>
        <v>0</v>
      </c>
      <c r="U1924" s="99" t="str">
        <f>IFERROR(IF(#REF!="S",VLOOKUP('Raw Data'!A1924,References!#REF!,2,FALSE),(VLOOKUP($S1924,References!$B$3:$C$8,2,FALSE))),"")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6"/>
        <v>0</v>
      </c>
      <c r="T1925" s="98">
        <f t="shared" si="125"/>
        <v>0</v>
      </c>
      <c r="U1925" s="99" t="str">
        <f>IFERROR(IF(#REF!="S",VLOOKUP('Raw Data'!A1925,References!#REF!,2,FALSE),(VLOOKUP($S1925,References!$B$3:$C$8,2,FALSE))),"")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6"/>
        <v>0</v>
      </c>
      <c r="T1926" s="98">
        <f t="shared" si="125"/>
        <v>0</v>
      </c>
      <c r="U1926" s="99" t="str">
        <f>IFERROR(IF(#REF!="S",VLOOKUP('Raw Data'!A1926,References!#REF!,2,FALSE),(VLOOKUP($S1926,References!$B$3:$C$8,2,FALSE))),"")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6"/>
        <v>0</v>
      </c>
      <c r="T1927" s="98">
        <f t="shared" si="125"/>
        <v>0</v>
      </c>
      <c r="U1927" s="99" t="str">
        <f>IFERROR(IF(#REF!="S",VLOOKUP('Raw Data'!A1927,References!#REF!,2,FALSE),(VLOOKUP($S1927,References!$B$3:$C$8,2,FALSE))),"")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6"/>
        <v>0</v>
      </c>
      <c r="T1928" s="98">
        <f t="shared" si="125"/>
        <v>0</v>
      </c>
      <c r="U1928" s="99" t="str">
        <f>IFERROR(IF(#REF!="S",VLOOKUP('Raw Data'!A1928,References!#REF!,2,FALSE),(VLOOKUP($S1928,References!$B$3:$C$8,2,FALSE))),"")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6"/>
        <v>0</v>
      </c>
      <c r="T1929" s="98">
        <f t="shared" si="125"/>
        <v>0</v>
      </c>
      <c r="U1929" s="99" t="str">
        <f>IFERROR(IF(#REF!="S",VLOOKUP('Raw Data'!A1929,References!#REF!,2,FALSE),(VLOOKUP($S1929,References!$B$3:$C$8,2,FALSE))),"")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6"/>
        <v>0</v>
      </c>
      <c r="T1930" s="98">
        <f t="shared" si="125"/>
        <v>0</v>
      </c>
      <c r="U1930" s="99" t="str">
        <f>IFERROR(IF(#REF!="S",VLOOKUP('Raw Data'!A1930,References!#REF!,2,FALSE),(VLOOKUP($S1930,References!$B$3:$C$8,2,FALSE))),"")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6"/>
        <v>0</v>
      </c>
      <c r="T1931" s="98">
        <f t="shared" si="125"/>
        <v>0</v>
      </c>
      <c r="U1931" s="99" t="str">
        <f>IFERROR(IF(#REF!="S",VLOOKUP('Raw Data'!A1931,References!#REF!,2,FALSE),(VLOOKUP($S1931,References!$B$3:$C$8,2,FALSE))),"")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6"/>
        <v>0</v>
      </c>
      <c r="T1932" s="98">
        <f t="shared" si="125"/>
        <v>0</v>
      </c>
      <c r="U1932" s="99" t="str">
        <f>IFERROR(IF(#REF!="S",VLOOKUP('Raw Data'!A1932,References!#REF!,2,FALSE),(VLOOKUP($S1932,References!$B$3:$C$8,2,FALSE))),"")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6"/>
        <v>0</v>
      </c>
      <c r="T1933" s="98">
        <f t="shared" si="125"/>
        <v>0</v>
      </c>
      <c r="U1933" s="99" t="str">
        <f>IFERROR(IF(#REF!="S",VLOOKUP('Raw Data'!A1933,References!#REF!,2,FALSE),(VLOOKUP($S1933,References!$B$3:$C$8,2,FALSE))),"")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6"/>
        <v>0</v>
      </c>
      <c r="T1934" s="98">
        <f t="shared" si="125"/>
        <v>0</v>
      </c>
      <c r="U1934" s="99" t="str">
        <f>IFERROR(IF(#REF!="S",VLOOKUP('Raw Data'!A1934,References!#REF!,2,FALSE),(VLOOKUP($S1934,References!$B$3:$C$8,2,FALSE))),"")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6"/>
        <v>0</v>
      </c>
      <c r="T1935" s="98">
        <f t="shared" si="125"/>
        <v>0</v>
      </c>
      <c r="U1935" s="99" t="str">
        <f>IFERROR(IF(#REF!="S",VLOOKUP('Raw Data'!A1935,References!#REF!,2,FALSE),(VLOOKUP($S1935,References!$B$3:$C$8,2,FALSE))),"")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6"/>
        <v>0</v>
      </c>
      <c r="T1936" s="98">
        <f t="shared" ref="T1936:T1999" si="127">IF(S1936="50 - Cleaning Fee",1,HOUR($R1936)+MINUTE(R1936)/60)</f>
        <v>0</v>
      </c>
      <c r="U1936" s="99" t="str">
        <f>IFERROR(IF(#REF!="S",VLOOKUP('Raw Data'!A1936,References!#REF!,2,FALSE),(VLOOKUP($S1936,References!$B$3:$C$8,2,FALSE))),"")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6"/>
        <v>0</v>
      </c>
      <c r="T1937" s="98">
        <f t="shared" si="127"/>
        <v>0</v>
      </c>
      <c r="U1937" s="99" t="str">
        <f>IFERROR(IF(#REF!="S",VLOOKUP('Raw Data'!A1937,References!#REF!,2,FALSE),(VLOOKUP($S1937,References!$B$3:$C$8,2,FALSE))),"")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6"/>
        <v>0</v>
      </c>
      <c r="T1938" s="98">
        <f t="shared" si="127"/>
        <v>0</v>
      </c>
      <c r="U1938" s="99" t="str">
        <f>IFERROR(IF(#REF!="S",VLOOKUP('Raw Data'!A1938,References!#REF!,2,FALSE),(VLOOKUP($S1938,References!$B$3:$C$8,2,FALSE))),"")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6"/>
        <v>0</v>
      </c>
      <c r="T1939" s="98">
        <f t="shared" si="127"/>
        <v>0</v>
      </c>
      <c r="U1939" s="99" t="str">
        <f>IFERROR(IF(#REF!="S",VLOOKUP('Raw Data'!A1939,References!#REF!,2,FALSE),(VLOOKUP($S1939,References!$B$3:$C$8,2,FALSE))),"")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6"/>
        <v>0</v>
      </c>
      <c r="T1940" s="98">
        <f t="shared" si="127"/>
        <v>0</v>
      </c>
      <c r="U1940" s="99" t="str">
        <f>IFERROR(IF(#REF!="S",VLOOKUP('Raw Data'!A1940,References!#REF!,2,FALSE),(VLOOKUP($S1940,References!$B$3:$C$8,2,FALSE))),"")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6"/>
        <v>0</v>
      </c>
      <c r="T1941" s="98">
        <f t="shared" si="127"/>
        <v>0</v>
      </c>
      <c r="U1941" s="99" t="str">
        <f>IFERROR(IF(#REF!="S",VLOOKUP('Raw Data'!A1941,References!#REF!,2,FALSE),(VLOOKUP($S1941,References!$B$3:$C$8,2,FALSE))),"")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6"/>
        <v>0</v>
      </c>
      <c r="T1942" s="98">
        <f t="shared" si="127"/>
        <v>0</v>
      </c>
      <c r="U1942" s="99" t="str">
        <f>IFERROR(IF(#REF!="S",VLOOKUP('Raw Data'!A1942,References!#REF!,2,FALSE),(VLOOKUP($S1942,References!$B$3:$C$8,2,FALSE))),"")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6"/>
        <v>0</v>
      </c>
      <c r="T1943" s="98">
        <f t="shared" si="127"/>
        <v>0</v>
      </c>
      <c r="U1943" s="99" t="str">
        <f>IFERROR(IF(#REF!="S",VLOOKUP('Raw Data'!A1943,References!#REF!,2,FALSE),(VLOOKUP($S1943,References!$B$3:$C$8,2,FALSE))),"")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6"/>
        <v>0</v>
      </c>
      <c r="T1944" s="98">
        <f t="shared" si="127"/>
        <v>0</v>
      </c>
      <c r="U1944" s="99" t="str">
        <f>IFERROR(IF(#REF!="S",VLOOKUP('Raw Data'!A1944,References!#REF!,2,FALSE),(VLOOKUP($S1944,References!$B$3:$C$8,2,FALSE))),"")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6"/>
        <v>0</v>
      </c>
      <c r="T1945" s="98">
        <f t="shared" si="127"/>
        <v>0</v>
      </c>
      <c r="U1945" s="99" t="str">
        <f>IFERROR(IF(#REF!="S",VLOOKUP('Raw Data'!A1945,References!#REF!,2,FALSE),(VLOOKUP($S1945,References!$B$3:$C$8,2,FALSE))),"")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6"/>
        <v>0</v>
      </c>
      <c r="T1946" s="98">
        <f t="shared" si="127"/>
        <v>0</v>
      </c>
      <c r="U1946" s="99" t="str">
        <f>IFERROR(IF(#REF!="S",VLOOKUP('Raw Data'!A1946,References!#REF!,2,FALSE),(VLOOKUP($S1946,References!$B$3:$C$8,2,FALSE))),"")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6"/>
        <v>0</v>
      </c>
      <c r="T1947" s="98">
        <f t="shared" si="127"/>
        <v>0</v>
      </c>
      <c r="U1947" s="99" t="str">
        <f>IFERROR(IF(#REF!="S",VLOOKUP('Raw Data'!A1947,References!#REF!,2,FALSE),(VLOOKUP($S1947,References!$B$3:$C$8,2,FALSE))),"")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6"/>
        <v>0</v>
      </c>
      <c r="T1948" s="98">
        <f t="shared" si="127"/>
        <v>0</v>
      </c>
      <c r="U1948" s="99" t="str">
        <f>IFERROR(IF(#REF!="S",VLOOKUP('Raw Data'!A1948,References!#REF!,2,FALSE),(VLOOKUP($S1948,References!$B$3:$C$8,2,FALSE))),"")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6"/>
        <v>0</v>
      </c>
      <c r="T1949" s="98">
        <f t="shared" si="127"/>
        <v>0</v>
      </c>
      <c r="U1949" s="99" t="str">
        <f>IFERROR(IF(#REF!="S",VLOOKUP('Raw Data'!A1949,References!#REF!,2,FALSE),(VLOOKUP($S1949,References!$B$3:$C$8,2,FALSE))),"")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6"/>
        <v>0</v>
      </c>
      <c r="T1950" s="98">
        <f t="shared" si="127"/>
        <v>0</v>
      </c>
      <c r="U1950" s="99" t="str">
        <f>IFERROR(IF(#REF!="S",VLOOKUP('Raw Data'!A1950,References!#REF!,2,FALSE),(VLOOKUP($S1950,References!$B$3:$C$8,2,FALSE))),"")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6"/>
        <v>0</v>
      </c>
      <c r="T1951" s="98">
        <f t="shared" si="127"/>
        <v>0</v>
      </c>
      <c r="U1951" s="99" t="str">
        <f>IFERROR(IF(#REF!="S",VLOOKUP('Raw Data'!A1951,References!#REF!,2,FALSE),(VLOOKUP($S1951,References!$B$3:$C$8,2,FALSE))),"")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6"/>
        <v>0</v>
      </c>
      <c r="T1952" s="98">
        <f t="shared" si="127"/>
        <v>0</v>
      </c>
      <c r="U1952" s="99" t="str">
        <f>IFERROR(IF(#REF!="S",VLOOKUP('Raw Data'!A1952,References!#REF!,2,FALSE),(VLOOKUP($S1952,References!$B$3:$C$8,2,FALSE))),"")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6"/>
        <v>0</v>
      </c>
      <c r="T1953" s="98">
        <f t="shared" si="127"/>
        <v>0</v>
      </c>
      <c r="U1953" s="99" t="str">
        <f>IFERROR(IF(#REF!="S",VLOOKUP('Raw Data'!A1953,References!#REF!,2,FALSE),(VLOOKUP($S1953,References!$B$3:$C$8,2,FALSE))),"")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6"/>
        <v>0</v>
      </c>
      <c r="T1954" s="98">
        <f t="shared" si="127"/>
        <v>0</v>
      </c>
      <c r="U1954" s="99" t="str">
        <f>IFERROR(IF(#REF!="S",VLOOKUP('Raw Data'!A1954,References!#REF!,2,FALSE),(VLOOKUP($S1954,References!$B$3:$C$8,2,FALSE))),"")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6"/>
        <v>0</v>
      </c>
      <c r="T1955" s="98">
        <f t="shared" si="127"/>
        <v>0</v>
      </c>
      <c r="U1955" s="99" t="str">
        <f>IFERROR(IF(#REF!="S",VLOOKUP('Raw Data'!A1955,References!#REF!,2,FALSE),(VLOOKUP($S1955,References!$B$3:$C$8,2,FALSE))),"")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6"/>
        <v>0</v>
      </c>
      <c r="T1956" s="98">
        <f t="shared" si="127"/>
        <v>0</v>
      </c>
      <c r="U1956" s="99" t="str">
        <f>IFERROR(IF(#REF!="S",VLOOKUP('Raw Data'!A1956,References!#REF!,2,FALSE),(VLOOKUP($S1956,References!$B$3:$C$8,2,FALSE))),"")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6"/>
        <v>0</v>
      </c>
      <c r="T1957" s="98">
        <f t="shared" si="127"/>
        <v>0</v>
      </c>
      <c r="U1957" s="99" t="str">
        <f>IFERROR(IF(#REF!="S",VLOOKUP('Raw Data'!A1957,References!#REF!,2,FALSE),(VLOOKUP($S1957,References!$B$3:$C$8,2,FALSE))),"")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6"/>
        <v>0</v>
      </c>
      <c r="T1958" s="98">
        <f t="shared" si="127"/>
        <v>0</v>
      </c>
      <c r="U1958" s="99" t="str">
        <f>IFERROR(IF(#REF!="S",VLOOKUP('Raw Data'!A1958,References!#REF!,2,FALSE),(VLOOKUP($S1958,References!$B$3:$C$8,2,FALSE))),"")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6"/>
        <v>0</v>
      </c>
      <c r="T1959" s="98">
        <f t="shared" si="127"/>
        <v>0</v>
      </c>
      <c r="U1959" s="99" t="str">
        <f>IFERROR(IF(#REF!="S",VLOOKUP('Raw Data'!A1959,References!#REF!,2,FALSE),(VLOOKUP($S1959,References!$B$3:$C$8,2,FALSE))),"")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6"/>
        <v>0</v>
      </c>
      <c r="T1960" s="98">
        <f t="shared" si="127"/>
        <v>0</v>
      </c>
      <c r="U1960" s="99" t="str">
        <f>IFERROR(IF(#REF!="S",VLOOKUP('Raw Data'!A1960,References!#REF!,2,FALSE),(VLOOKUP($S1960,References!$B$3:$C$8,2,FALSE))),"")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6"/>
        <v>0</v>
      </c>
      <c r="T1961" s="98">
        <f t="shared" si="127"/>
        <v>0</v>
      </c>
      <c r="U1961" s="99" t="str">
        <f>IFERROR(IF(#REF!="S",VLOOKUP('Raw Data'!A1961,References!#REF!,2,FALSE),(VLOOKUP($S1961,References!$B$3:$C$8,2,FALSE))),"")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6"/>
        <v>0</v>
      </c>
      <c r="T1962" s="98">
        <f t="shared" si="127"/>
        <v>0</v>
      </c>
      <c r="U1962" s="99" t="str">
        <f>IFERROR(IF(#REF!="S",VLOOKUP('Raw Data'!A1962,References!#REF!,2,FALSE),(VLOOKUP($S1962,References!$B$3:$C$8,2,FALSE))),"")</f>
        <v/>
      </c>
      <c r="W1962" s="66" t="str">
        <f>IFERROR(VLOOKUP($O1962,'Customer List'!$A$1:$J$488,10,FALSE),"")</f>
        <v/>
      </c>
    </row>
    <row r="1963" spans="18:23">
      <c r="R1963" s="97">
        <f t="shared" si="126"/>
        <v>0</v>
      </c>
      <c r="T1963" s="98">
        <f t="shared" si="127"/>
        <v>0</v>
      </c>
      <c r="U1963" s="99" t="str">
        <f>IFERROR(IF(#REF!="S",VLOOKUP('Raw Data'!A1963,References!#REF!,2,FALSE),(VLOOKUP($S1963,References!$B$3:$C$8,2,FALSE))),"")</f>
        <v/>
      </c>
      <c r="W1963" s="66" t="str">
        <f>IFERROR(VLOOKUP($O1963,'Customer List'!$A$1:$J$488,10,FALSE),"")</f>
        <v/>
      </c>
    </row>
    <row r="1964" spans="18:23">
      <c r="R1964" s="97">
        <f t="shared" ref="R1964:R2027" si="128">L1964-K1964</f>
        <v>0</v>
      </c>
      <c r="T1964" s="98">
        <f t="shared" si="127"/>
        <v>0</v>
      </c>
      <c r="U1964" s="99" t="str">
        <f>IFERROR(IF(#REF!="S",VLOOKUP('Raw Data'!A1964,References!#REF!,2,FALSE),(VLOOKUP($S1964,References!$B$3:$C$8,2,FALSE))),"")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28"/>
        <v>0</v>
      </c>
      <c r="T1965" s="98">
        <f t="shared" si="127"/>
        <v>0</v>
      </c>
      <c r="U1965" s="99" t="str">
        <f>IFERROR(IF(#REF!="S",VLOOKUP('Raw Data'!A1965,References!#REF!,2,FALSE),(VLOOKUP($S1965,References!$B$3:$C$8,2,FALSE))),"")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28"/>
        <v>0</v>
      </c>
      <c r="T1966" s="98">
        <f t="shared" si="127"/>
        <v>0</v>
      </c>
      <c r="U1966" s="99" t="str">
        <f>IFERROR(IF(#REF!="S",VLOOKUP('Raw Data'!A1966,References!#REF!,2,FALSE),(VLOOKUP($S1966,References!$B$3:$C$8,2,FALSE))),"")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28"/>
        <v>0</v>
      </c>
      <c r="T1967" s="98">
        <f t="shared" si="127"/>
        <v>0</v>
      </c>
      <c r="U1967" s="99" t="str">
        <f>IFERROR(IF(#REF!="S",VLOOKUP('Raw Data'!A1967,References!#REF!,2,FALSE),(VLOOKUP($S1967,References!$B$3:$C$8,2,FALSE))),"")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28"/>
        <v>0</v>
      </c>
      <c r="T1968" s="98">
        <f t="shared" si="127"/>
        <v>0</v>
      </c>
      <c r="U1968" s="99" t="str">
        <f>IFERROR(IF(#REF!="S",VLOOKUP('Raw Data'!A1968,References!#REF!,2,FALSE),(VLOOKUP($S1968,References!$B$3:$C$8,2,FALSE))),"")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28"/>
        <v>0</v>
      </c>
      <c r="T1969" s="98">
        <f t="shared" si="127"/>
        <v>0</v>
      </c>
      <c r="U1969" s="99" t="str">
        <f>IFERROR(IF(#REF!="S",VLOOKUP('Raw Data'!A1969,References!#REF!,2,FALSE),(VLOOKUP($S1969,References!$B$3:$C$8,2,FALSE))),"")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28"/>
        <v>0</v>
      </c>
      <c r="T1970" s="98">
        <f t="shared" si="127"/>
        <v>0</v>
      </c>
      <c r="U1970" s="99" t="str">
        <f>IFERROR(IF(#REF!="S",VLOOKUP('Raw Data'!A1970,References!#REF!,2,FALSE),(VLOOKUP($S1970,References!$B$3:$C$8,2,FALSE))),"")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28"/>
        <v>0</v>
      </c>
      <c r="T1971" s="98">
        <f t="shared" si="127"/>
        <v>0</v>
      </c>
      <c r="U1971" s="99" t="str">
        <f>IFERROR(IF(#REF!="S",VLOOKUP('Raw Data'!A1971,References!#REF!,2,FALSE),(VLOOKUP($S1971,References!$B$3:$C$8,2,FALSE))),"")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28"/>
        <v>0</v>
      </c>
      <c r="T1972" s="98">
        <f t="shared" si="127"/>
        <v>0</v>
      </c>
      <c r="U1972" s="99" t="str">
        <f>IFERROR(IF(#REF!="S",VLOOKUP('Raw Data'!A1972,References!#REF!,2,FALSE),(VLOOKUP($S1972,References!$B$3:$C$8,2,FALSE))),"")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28"/>
        <v>0</v>
      </c>
      <c r="T1973" s="98">
        <f t="shared" si="127"/>
        <v>0</v>
      </c>
      <c r="U1973" s="99" t="str">
        <f>IFERROR(IF(#REF!="S",VLOOKUP('Raw Data'!A1973,References!#REF!,2,FALSE),(VLOOKUP($S1973,References!$B$3:$C$8,2,FALSE))),"")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28"/>
        <v>0</v>
      </c>
      <c r="T1974" s="98">
        <f t="shared" si="127"/>
        <v>0</v>
      </c>
      <c r="U1974" s="99" t="str">
        <f>IFERROR(IF(#REF!="S",VLOOKUP('Raw Data'!A1974,References!#REF!,2,FALSE),(VLOOKUP($S1974,References!$B$3:$C$8,2,FALSE))),"")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28"/>
        <v>0</v>
      </c>
      <c r="T1975" s="98">
        <f t="shared" si="127"/>
        <v>0</v>
      </c>
      <c r="U1975" s="99" t="str">
        <f>IFERROR(IF(#REF!="S",VLOOKUP('Raw Data'!A1975,References!#REF!,2,FALSE),(VLOOKUP($S1975,References!$B$3:$C$8,2,FALSE))),"")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28"/>
        <v>0</v>
      </c>
      <c r="T1976" s="98">
        <f t="shared" si="127"/>
        <v>0</v>
      </c>
      <c r="U1976" s="99" t="str">
        <f>IFERROR(IF(#REF!="S",VLOOKUP('Raw Data'!A1976,References!#REF!,2,FALSE),(VLOOKUP($S1976,References!$B$3:$C$8,2,FALSE))),"")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28"/>
        <v>0</v>
      </c>
      <c r="T1977" s="98">
        <f t="shared" si="127"/>
        <v>0</v>
      </c>
      <c r="U1977" s="99" t="str">
        <f>IFERROR(IF(#REF!="S",VLOOKUP('Raw Data'!A1977,References!#REF!,2,FALSE),(VLOOKUP($S1977,References!$B$3:$C$8,2,FALSE))),"")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28"/>
        <v>0</v>
      </c>
      <c r="T1978" s="98">
        <f t="shared" si="127"/>
        <v>0</v>
      </c>
      <c r="U1978" s="99" t="str">
        <f>IFERROR(IF(#REF!="S",VLOOKUP('Raw Data'!A1978,References!#REF!,2,FALSE),(VLOOKUP($S1978,References!$B$3:$C$8,2,FALSE))),"")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28"/>
        <v>0</v>
      </c>
      <c r="T1979" s="98">
        <f t="shared" si="127"/>
        <v>0</v>
      </c>
      <c r="U1979" s="99" t="str">
        <f>IFERROR(IF(#REF!="S",VLOOKUP('Raw Data'!A1979,References!#REF!,2,FALSE),(VLOOKUP($S1979,References!$B$3:$C$8,2,FALSE))),"")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28"/>
        <v>0</v>
      </c>
      <c r="T1980" s="98">
        <f t="shared" si="127"/>
        <v>0</v>
      </c>
      <c r="U1980" s="99" t="str">
        <f>IFERROR(IF(#REF!="S",VLOOKUP('Raw Data'!A1980,References!#REF!,2,FALSE),(VLOOKUP($S1980,References!$B$3:$C$8,2,FALSE))),"")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28"/>
        <v>0</v>
      </c>
      <c r="T1981" s="98">
        <f t="shared" si="127"/>
        <v>0</v>
      </c>
      <c r="U1981" s="99" t="str">
        <f>IFERROR(IF(#REF!="S",VLOOKUP('Raw Data'!A1981,References!#REF!,2,FALSE),(VLOOKUP($S1981,References!$B$3:$C$8,2,FALSE))),"")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28"/>
        <v>0</v>
      </c>
      <c r="T1982" s="98">
        <f t="shared" si="127"/>
        <v>0</v>
      </c>
      <c r="U1982" s="99" t="str">
        <f>IFERROR(IF(#REF!="S",VLOOKUP('Raw Data'!A1982,References!#REF!,2,FALSE),(VLOOKUP($S1982,References!$B$3:$C$8,2,FALSE))),"")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28"/>
        <v>0</v>
      </c>
      <c r="T1983" s="98">
        <f t="shared" si="127"/>
        <v>0</v>
      </c>
      <c r="U1983" s="99" t="str">
        <f>IFERROR(IF(#REF!="S",VLOOKUP('Raw Data'!A1983,References!#REF!,2,FALSE),(VLOOKUP($S1983,References!$B$3:$C$8,2,FALSE))),"")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28"/>
        <v>0</v>
      </c>
      <c r="T1984" s="98">
        <f t="shared" si="127"/>
        <v>0</v>
      </c>
      <c r="U1984" s="99" t="str">
        <f>IFERROR(IF(#REF!="S",VLOOKUP('Raw Data'!A1984,References!#REF!,2,FALSE),(VLOOKUP($S1984,References!$B$3:$C$8,2,FALSE))),"")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28"/>
        <v>0</v>
      </c>
      <c r="T1985" s="98">
        <f t="shared" si="127"/>
        <v>0</v>
      </c>
      <c r="U1985" s="99" t="str">
        <f>IFERROR(IF(#REF!="S",VLOOKUP('Raw Data'!A1985,References!#REF!,2,FALSE),(VLOOKUP($S1985,References!$B$3:$C$8,2,FALSE))),"")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28"/>
        <v>0</v>
      </c>
      <c r="T1986" s="98">
        <f t="shared" si="127"/>
        <v>0</v>
      </c>
      <c r="U1986" s="99" t="str">
        <f>IFERROR(IF(#REF!="S",VLOOKUP('Raw Data'!A1986,References!#REF!,2,FALSE),(VLOOKUP($S1986,References!$B$3:$C$8,2,FALSE))),"")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28"/>
        <v>0</v>
      </c>
      <c r="T1987" s="98">
        <f t="shared" si="127"/>
        <v>0</v>
      </c>
      <c r="U1987" s="99" t="str">
        <f>IFERROR(IF(#REF!="S",VLOOKUP('Raw Data'!A1987,References!#REF!,2,FALSE),(VLOOKUP($S1987,References!$B$3:$C$8,2,FALSE))),"")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28"/>
        <v>0</v>
      </c>
      <c r="T1988" s="98">
        <f t="shared" si="127"/>
        <v>0</v>
      </c>
      <c r="U1988" s="99" t="str">
        <f>IFERROR(IF(#REF!="S",VLOOKUP('Raw Data'!A1988,References!#REF!,2,FALSE),(VLOOKUP($S1988,References!$B$3:$C$8,2,FALSE))),"")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28"/>
        <v>0</v>
      </c>
      <c r="T1989" s="98">
        <f t="shared" si="127"/>
        <v>0</v>
      </c>
      <c r="U1989" s="99" t="str">
        <f>IFERROR(IF(#REF!="S",VLOOKUP('Raw Data'!A1989,References!#REF!,2,FALSE),(VLOOKUP($S1989,References!$B$3:$C$8,2,FALSE))),"")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28"/>
        <v>0</v>
      </c>
      <c r="T1990" s="98">
        <f t="shared" si="127"/>
        <v>0</v>
      </c>
      <c r="U1990" s="99" t="str">
        <f>IFERROR(IF(#REF!="S",VLOOKUP('Raw Data'!A1990,References!#REF!,2,FALSE),(VLOOKUP($S1990,References!$B$3:$C$8,2,FALSE))),"")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28"/>
        <v>0</v>
      </c>
      <c r="T1991" s="98">
        <f t="shared" si="127"/>
        <v>0</v>
      </c>
      <c r="U1991" s="99" t="str">
        <f>IFERROR(IF(#REF!="S",VLOOKUP('Raw Data'!A1991,References!#REF!,2,FALSE),(VLOOKUP($S1991,References!$B$3:$C$8,2,FALSE))),"")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28"/>
        <v>0</v>
      </c>
      <c r="T1992" s="98">
        <f t="shared" si="127"/>
        <v>0</v>
      </c>
      <c r="U1992" s="99" t="str">
        <f>IFERROR(IF(#REF!="S",VLOOKUP('Raw Data'!A1992,References!#REF!,2,FALSE),(VLOOKUP($S1992,References!$B$3:$C$8,2,FALSE))),"")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28"/>
        <v>0</v>
      </c>
      <c r="T1993" s="98">
        <f t="shared" si="127"/>
        <v>0</v>
      </c>
      <c r="U1993" s="99" t="str">
        <f>IFERROR(IF(#REF!="S",VLOOKUP('Raw Data'!A1993,References!#REF!,2,FALSE),(VLOOKUP($S1993,References!$B$3:$C$8,2,FALSE))),"")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28"/>
        <v>0</v>
      </c>
      <c r="T1994" s="98">
        <f t="shared" si="127"/>
        <v>0</v>
      </c>
      <c r="U1994" s="99" t="str">
        <f>IFERROR(IF(#REF!="S",VLOOKUP('Raw Data'!A1994,References!#REF!,2,FALSE),(VLOOKUP($S1994,References!$B$3:$C$8,2,FALSE))),"")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28"/>
        <v>0</v>
      </c>
      <c r="T1995" s="98">
        <f t="shared" si="127"/>
        <v>0</v>
      </c>
      <c r="U1995" s="99" t="str">
        <f>IFERROR(IF(#REF!="S",VLOOKUP('Raw Data'!A1995,References!#REF!,2,FALSE),(VLOOKUP($S1995,References!$B$3:$C$8,2,FALSE))),"")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28"/>
        <v>0</v>
      </c>
      <c r="T1996" s="98">
        <f t="shared" si="127"/>
        <v>0</v>
      </c>
      <c r="U1996" s="99" t="str">
        <f>IFERROR(IF(#REF!="S",VLOOKUP('Raw Data'!A1996,References!#REF!,2,FALSE),(VLOOKUP($S1996,References!$B$3:$C$8,2,FALSE))),"")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28"/>
        <v>0</v>
      </c>
      <c r="T1997" s="98">
        <f t="shared" si="127"/>
        <v>0</v>
      </c>
      <c r="U1997" s="99" t="str">
        <f>IFERROR(IF(#REF!="S",VLOOKUP('Raw Data'!A1997,References!#REF!,2,FALSE),(VLOOKUP($S1997,References!$B$3:$C$8,2,FALSE))),"")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28"/>
        <v>0</v>
      </c>
      <c r="T1998" s="98">
        <f t="shared" si="127"/>
        <v>0</v>
      </c>
      <c r="U1998" s="99" t="str">
        <f>IFERROR(IF(#REF!="S",VLOOKUP('Raw Data'!A1998,References!#REF!,2,FALSE),(VLOOKUP($S1998,References!$B$3:$C$8,2,FALSE))),"")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28"/>
        <v>0</v>
      </c>
      <c r="T1999" s="98">
        <f t="shared" si="127"/>
        <v>0</v>
      </c>
      <c r="U1999" s="99" t="str">
        <f>IFERROR(IF(#REF!="S",VLOOKUP('Raw Data'!A1999,References!#REF!,2,FALSE),(VLOOKUP($S1999,References!$B$3:$C$8,2,FALSE))),"")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28"/>
        <v>0</v>
      </c>
      <c r="T2000" s="98">
        <f t="shared" ref="T2000:T2063" si="129">IF(S2000="50 - Cleaning Fee",1,HOUR($R2000)+MINUTE(R2000)/60)</f>
        <v>0</v>
      </c>
      <c r="U2000" s="99" t="str">
        <f>IFERROR(IF(#REF!="S",VLOOKUP('Raw Data'!A2000,References!#REF!,2,FALSE),(VLOOKUP($S2000,References!$B$3:$C$8,2,FALSE))),"")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28"/>
        <v>0</v>
      </c>
      <c r="T2001" s="98">
        <f t="shared" si="129"/>
        <v>0</v>
      </c>
      <c r="U2001" s="99" t="str">
        <f>IFERROR(IF(#REF!="S",VLOOKUP('Raw Data'!A2001,References!#REF!,2,FALSE),(VLOOKUP($S2001,References!$B$3:$C$8,2,FALSE))),"")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28"/>
        <v>0</v>
      </c>
      <c r="T2002" s="98">
        <f t="shared" si="129"/>
        <v>0</v>
      </c>
      <c r="U2002" s="99" t="str">
        <f>IFERROR(IF(#REF!="S",VLOOKUP('Raw Data'!A2002,References!#REF!,2,FALSE),(VLOOKUP($S2002,References!$B$3:$C$8,2,FALSE))),"")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28"/>
        <v>0</v>
      </c>
      <c r="T2003" s="98">
        <f t="shared" si="129"/>
        <v>0</v>
      </c>
      <c r="U2003" s="99" t="str">
        <f>IFERROR(IF(#REF!="S",VLOOKUP('Raw Data'!A2003,References!#REF!,2,FALSE),(VLOOKUP($S2003,References!$B$3:$C$8,2,FALSE))),"")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28"/>
        <v>0</v>
      </c>
      <c r="T2004" s="98">
        <f t="shared" si="129"/>
        <v>0</v>
      </c>
      <c r="U2004" s="99" t="str">
        <f>IFERROR(IF(#REF!="S",VLOOKUP('Raw Data'!A2004,References!#REF!,2,FALSE),(VLOOKUP($S2004,References!$B$3:$C$8,2,FALSE))),"")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28"/>
        <v>0</v>
      </c>
      <c r="T2005" s="98">
        <f t="shared" si="129"/>
        <v>0</v>
      </c>
      <c r="U2005" s="99" t="str">
        <f>IFERROR(IF(#REF!="S",VLOOKUP('Raw Data'!A2005,References!#REF!,2,FALSE),(VLOOKUP($S2005,References!$B$3:$C$8,2,FALSE))),"")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28"/>
        <v>0</v>
      </c>
      <c r="T2006" s="98">
        <f t="shared" si="129"/>
        <v>0</v>
      </c>
      <c r="U2006" s="99" t="str">
        <f>IFERROR(IF(#REF!="S",VLOOKUP('Raw Data'!A2006,References!#REF!,2,FALSE),(VLOOKUP($S2006,References!$B$3:$C$8,2,FALSE))),"")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28"/>
        <v>0</v>
      </c>
      <c r="T2007" s="98">
        <f t="shared" si="129"/>
        <v>0</v>
      </c>
      <c r="U2007" s="99" t="str">
        <f>IFERROR(IF(#REF!="S",VLOOKUP('Raw Data'!A2007,References!#REF!,2,FALSE),(VLOOKUP($S2007,References!$B$3:$C$8,2,FALSE))),"")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28"/>
        <v>0</v>
      </c>
      <c r="T2008" s="98">
        <f t="shared" si="129"/>
        <v>0</v>
      </c>
      <c r="U2008" s="99" t="str">
        <f>IFERROR(IF(#REF!="S",VLOOKUP('Raw Data'!A2008,References!#REF!,2,FALSE),(VLOOKUP($S2008,References!$B$3:$C$8,2,FALSE))),"")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28"/>
        <v>0</v>
      </c>
      <c r="T2009" s="98">
        <f t="shared" si="129"/>
        <v>0</v>
      </c>
      <c r="U2009" s="99" t="str">
        <f>IFERROR(IF(#REF!="S",VLOOKUP('Raw Data'!A2009,References!#REF!,2,FALSE),(VLOOKUP($S2009,References!$B$3:$C$8,2,FALSE))),"")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28"/>
        <v>0</v>
      </c>
      <c r="T2010" s="98">
        <f t="shared" si="129"/>
        <v>0</v>
      </c>
      <c r="U2010" s="99" t="str">
        <f>IFERROR(IF(#REF!="S",VLOOKUP('Raw Data'!A2010,References!#REF!,2,FALSE),(VLOOKUP($S2010,References!$B$3:$C$8,2,FALSE))),"")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28"/>
        <v>0</v>
      </c>
      <c r="T2011" s="98">
        <f t="shared" si="129"/>
        <v>0</v>
      </c>
      <c r="U2011" s="99" t="str">
        <f>IFERROR(IF(#REF!="S",VLOOKUP('Raw Data'!A2011,References!#REF!,2,FALSE),(VLOOKUP($S2011,References!$B$3:$C$8,2,FALSE))),"")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28"/>
        <v>0</v>
      </c>
      <c r="T2012" s="98">
        <f t="shared" si="129"/>
        <v>0</v>
      </c>
      <c r="U2012" s="99" t="str">
        <f>IFERROR(IF(#REF!="S",VLOOKUP('Raw Data'!A2012,References!#REF!,2,FALSE),(VLOOKUP($S2012,References!$B$3:$C$8,2,FALSE))),"")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28"/>
        <v>0</v>
      </c>
      <c r="T2013" s="98">
        <f t="shared" si="129"/>
        <v>0</v>
      </c>
      <c r="U2013" s="99" t="str">
        <f>IFERROR(IF(#REF!="S",VLOOKUP('Raw Data'!A2013,References!#REF!,2,FALSE),(VLOOKUP($S2013,References!$B$3:$C$8,2,FALSE))),"")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28"/>
        <v>0</v>
      </c>
      <c r="T2014" s="98">
        <f t="shared" si="129"/>
        <v>0</v>
      </c>
      <c r="U2014" s="99" t="str">
        <f>IFERROR(IF(#REF!="S",VLOOKUP('Raw Data'!A2014,References!#REF!,2,FALSE),(VLOOKUP($S2014,References!$B$3:$C$8,2,FALSE))),"")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28"/>
        <v>0</v>
      </c>
      <c r="T2015" s="98">
        <f t="shared" si="129"/>
        <v>0</v>
      </c>
      <c r="U2015" s="99" t="str">
        <f>IFERROR(IF(#REF!="S",VLOOKUP('Raw Data'!A2015,References!#REF!,2,FALSE),(VLOOKUP($S2015,References!$B$3:$C$8,2,FALSE))),"")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28"/>
        <v>0</v>
      </c>
      <c r="T2016" s="98">
        <f t="shared" si="129"/>
        <v>0</v>
      </c>
      <c r="U2016" s="99" t="str">
        <f>IFERROR(IF(#REF!="S",VLOOKUP('Raw Data'!A2016,References!#REF!,2,FALSE),(VLOOKUP($S2016,References!$B$3:$C$8,2,FALSE))),"")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28"/>
        <v>0</v>
      </c>
      <c r="T2017" s="98">
        <f t="shared" si="129"/>
        <v>0</v>
      </c>
      <c r="U2017" s="99" t="str">
        <f>IFERROR(IF(#REF!="S",VLOOKUP('Raw Data'!A2017,References!#REF!,2,FALSE),(VLOOKUP($S2017,References!$B$3:$C$8,2,FALSE))),"")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28"/>
        <v>0</v>
      </c>
      <c r="T2018" s="98">
        <f t="shared" si="129"/>
        <v>0</v>
      </c>
      <c r="U2018" s="99" t="str">
        <f>IFERROR(IF(#REF!="S",VLOOKUP('Raw Data'!A2018,References!#REF!,2,FALSE),(VLOOKUP($S2018,References!$B$3:$C$8,2,FALSE))),"")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28"/>
        <v>0</v>
      </c>
      <c r="T2019" s="98">
        <f t="shared" si="129"/>
        <v>0</v>
      </c>
      <c r="U2019" s="99" t="str">
        <f>IFERROR(IF(#REF!="S",VLOOKUP('Raw Data'!A2019,References!#REF!,2,FALSE),(VLOOKUP($S2019,References!$B$3:$C$8,2,FALSE))),"")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28"/>
        <v>0</v>
      </c>
      <c r="T2020" s="98">
        <f t="shared" si="129"/>
        <v>0</v>
      </c>
      <c r="U2020" s="99" t="str">
        <f>IFERROR(IF(#REF!="S",VLOOKUP('Raw Data'!A2020,References!#REF!,2,FALSE),(VLOOKUP($S2020,References!$B$3:$C$8,2,FALSE))),"")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28"/>
        <v>0</v>
      </c>
      <c r="T2021" s="98">
        <f t="shared" si="129"/>
        <v>0</v>
      </c>
      <c r="U2021" s="99" t="str">
        <f>IFERROR(IF(#REF!="S",VLOOKUP('Raw Data'!A2021,References!#REF!,2,FALSE),(VLOOKUP($S2021,References!$B$3:$C$8,2,FALSE))),"")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28"/>
        <v>0</v>
      </c>
      <c r="T2022" s="98">
        <f t="shared" si="129"/>
        <v>0</v>
      </c>
      <c r="U2022" s="99" t="str">
        <f>IFERROR(IF(#REF!="S",VLOOKUP('Raw Data'!A2022,References!#REF!,2,FALSE),(VLOOKUP($S2022,References!$B$3:$C$8,2,FALSE))),"")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28"/>
        <v>0</v>
      </c>
      <c r="T2023" s="98">
        <f t="shared" si="129"/>
        <v>0</v>
      </c>
      <c r="U2023" s="99" t="str">
        <f>IFERROR(IF(#REF!="S",VLOOKUP('Raw Data'!A2023,References!#REF!,2,FALSE),(VLOOKUP($S2023,References!$B$3:$C$8,2,FALSE))),"")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28"/>
        <v>0</v>
      </c>
      <c r="T2024" s="98">
        <f t="shared" si="129"/>
        <v>0</v>
      </c>
      <c r="U2024" s="99" t="str">
        <f>IFERROR(IF(#REF!="S",VLOOKUP('Raw Data'!A2024,References!#REF!,2,FALSE),(VLOOKUP($S2024,References!$B$3:$C$8,2,FALSE))),"")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28"/>
        <v>0</v>
      </c>
      <c r="T2025" s="98">
        <f t="shared" si="129"/>
        <v>0</v>
      </c>
      <c r="U2025" s="99" t="str">
        <f>IFERROR(IF(#REF!="S",VLOOKUP('Raw Data'!A2025,References!#REF!,2,FALSE),(VLOOKUP($S2025,References!$B$3:$C$8,2,FALSE))),"")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28"/>
        <v>0</v>
      </c>
      <c r="T2026" s="98">
        <f t="shared" si="129"/>
        <v>0</v>
      </c>
      <c r="U2026" s="99" t="str">
        <f>IFERROR(IF(#REF!="S",VLOOKUP('Raw Data'!A2026,References!#REF!,2,FALSE),(VLOOKUP($S2026,References!$B$3:$C$8,2,FALSE))),"")</f>
        <v/>
      </c>
      <c r="W2026" s="66" t="str">
        <f>IFERROR(VLOOKUP($O2026,'Customer List'!$A$1:$J$488,10,FALSE),"")</f>
        <v/>
      </c>
    </row>
    <row r="2027" spans="18:23">
      <c r="R2027" s="97">
        <f t="shared" si="128"/>
        <v>0</v>
      </c>
      <c r="T2027" s="98">
        <f t="shared" si="129"/>
        <v>0</v>
      </c>
      <c r="U2027" s="99" t="str">
        <f>IFERROR(IF(#REF!="S",VLOOKUP('Raw Data'!A2027,References!#REF!,2,FALSE),(VLOOKUP($S2027,References!$B$3:$C$8,2,FALSE))),"")</f>
        <v/>
      </c>
      <c r="W2027" s="66" t="str">
        <f>IFERROR(VLOOKUP($O2027,'Customer List'!$A$1:$J$488,10,FALSE),"")</f>
        <v/>
      </c>
    </row>
    <row r="2028" spans="18:23">
      <c r="R2028" s="97">
        <f t="shared" ref="R2028:R2091" si="130">L2028-K2028</f>
        <v>0</v>
      </c>
      <c r="T2028" s="98">
        <f t="shared" si="129"/>
        <v>0</v>
      </c>
      <c r="U2028" s="99" t="str">
        <f>IFERROR(IF(#REF!="S",VLOOKUP('Raw Data'!A2028,References!#REF!,2,FALSE),(VLOOKUP($S2028,References!$B$3:$C$8,2,FALSE))),"")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0"/>
        <v>0</v>
      </c>
      <c r="T2029" s="98">
        <f t="shared" si="129"/>
        <v>0</v>
      </c>
      <c r="U2029" s="99" t="str">
        <f>IFERROR(IF(#REF!="S",VLOOKUP('Raw Data'!A2029,References!#REF!,2,FALSE),(VLOOKUP($S2029,References!$B$3:$C$8,2,FALSE))),"")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0"/>
        <v>0</v>
      </c>
      <c r="T2030" s="98">
        <f t="shared" si="129"/>
        <v>0</v>
      </c>
      <c r="U2030" s="99" t="str">
        <f>IFERROR(IF(#REF!="S",VLOOKUP('Raw Data'!A2030,References!#REF!,2,FALSE),(VLOOKUP($S2030,References!$B$3:$C$8,2,FALSE))),"")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0"/>
        <v>0</v>
      </c>
      <c r="T2031" s="98">
        <f t="shared" si="129"/>
        <v>0</v>
      </c>
      <c r="U2031" s="99" t="str">
        <f>IFERROR(IF(#REF!="S",VLOOKUP('Raw Data'!A2031,References!#REF!,2,FALSE),(VLOOKUP($S2031,References!$B$3:$C$8,2,FALSE))),"")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0"/>
        <v>0</v>
      </c>
      <c r="T2032" s="98">
        <f t="shared" si="129"/>
        <v>0</v>
      </c>
      <c r="U2032" s="99" t="str">
        <f>IFERROR(IF(#REF!="S",VLOOKUP('Raw Data'!A2032,References!#REF!,2,FALSE),(VLOOKUP($S2032,References!$B$3:$C$8,2,FALSE))),"")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0"/>
        <v>0</v>
      </c>
      <c r="T2033" s="98">
        <f t="shared" si="129"/>
        <v>0</v>
      </c>
      <c r="U2033" s="99" t="str">
        <f>IFERROR(IF(#REF!="S",VLOOKUP('Raw Data'!A2033,References!#REF!,2,FALSE),(VLOOKUP($S2033,References!$B$3:$C$8,2,FALSE))),"")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0"/>
        <v>0</v>
      </c>
      <c r="T2034" s="98">
        <f t="shared" si="129"/>
        <v>0</v>
      </c>
      <c r="U2034" s="99" t="str">
        <f>IFERROR(IF(#REF!="S",VLOOKUP('Raw Data'!A2034,References!#REF!,2,FALSE),(VLOOKUP($S2034,References!$B$3:$C$8,2,FALSE))),"")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0"/>
        <v>0</v>
      </c>
      <c r="T2035" s="98">
        <f t="shared" si="129"/>
        <v>0</v>
      </c>
      <c r="U2035" s="99" t="str">
        <f>IFERROR(IF(#REF!="S",VLOOKUP('Raw Data'!A2035,References!#REF!,2,FALSE),(VLOOKUP($S2035,References!$B$3:$C$8,2,FALSE))),"")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0"/>
        <v>0</v>
      </c>
      <c r="T2036" s="98">
        <f t="shared" si="129"/>
        <v>0</v>
      </c>
      <c r="U2036" s="99" t="str">
        <f>IFERROR(IF(#REF!="S",VLOOKUP('Raw Data'!A2036,References!#REF!,2,FALSE),(VLOOKUP($S2036,References!$B$3:$C$8,2,FALSE))),"")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0"/>
        <v>0</v>
      </c>
      <c r="T2037" s="98">
        <f t="shared" si="129"/>
        <v>0</v>
      </c>
      <c r="U2037" s="99" t="str">
        <f>IFERROR(IF(#REF!="S",VLOOKUP('Raw Data'!A2037,References!#REF!,2,FALSE),(VLOOKUP($S2037,References!$B$3:$C$8,2,FALSE))),"")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0"/>
        <v>0</v>
      </c>
      <c r="T2038" s="98">
        <f t="shared" si="129"/>
        <v>0</v>
      </c>
      <c r="U2038" s="99" t="str">
        <f>IFERROR(IF(#REF!="S",VLOOKUP('Raw Data'!A2038,References!#REF!,2,FALSE),(VLOOKUP($S2038,References!$B$3:$C$8,2,FALSE))),"")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0"/>
        <v>0</v>
      </c>
      <c r="T2039" s="98">
        <f t="shared" si="129"/>
        <v>0</v>
      </c>
      <c r="U2039" s="99" t="str">
        <f>IFERROR(IF(#REF!="S",VLOOKUP('Raw Data'!A2039,References!#REF!,2,FALSE),(VLOOKUP($S2039,References!$B$3:$C$8,2,FALSE))),"")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0"/>
        <v>0</v>
      </c>
      <c r="T2040" s="98">
        <f t="shared" si="129"/>
        <v>0</v>
      </c>
      <c r="U2040" s="99" t="str">
        <f>IFERROR(IF(#REF!="S",VLOOKUP('Raw Data'!A2040,References!#REF!,2,FALSE),(VLOOKUP($S2040,References!$B$3:$C$8,2,FALSE))),"")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0"/>
        <v>0</v>
      </c>
      <c r="T2041" s="98">
        <f t="shared" si="129"/>
        <v>0</v>
      </c>
      <c r="U2041" s="99" t="str">
        <f>IFERROR(IF(#REF!="S",VLOOKUP('Raw Data'!A2041,References!#REF!,2,FALSE),(VLOOKUP($S2041,References!$B$3:$C$8,2,FALSE))),"")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0"/>
        <v>0</v>
      </c>
      <c r="T2042" s="98">
        <f t="shared" si="129"/>
        <v>0</v>
      </c>
      <c r="U2042" s="99" t="str">
        <f>IFERROR(IF(#REF!="S",VLOOKUP('Raw Data'!A2042,References!#REF!,2,FALSE),(VLOOKUP($S2042,References!$B$3:$C$8,2,FALSE))),"")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0"/>
        <v>0</v>
      </c>
      <c r="T2043" s="98">
        <f t="shared" si="129"/>
        <v>0</v>
      </c>
      <c r="U2043" s="99" t="str">
        <f>IFERROR(IF(#REF!="S",VLOOKUP('Raw Data'!A2043,References!#REF!,2,FALSE),(VLOOKUP($S2043,References!$B$3:$C$8,2,FALSE))),"")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0"/>
        <v>0</v>
      </c>
      <c r="T2044" s="98">
        <f t="shared" si="129"/>
        <v>0</v>
      </c>
      <c r="U2044" s="99" t="str">
        <f>IFERROR(IF(#REF!="S",VLOOKUP('Raw Data'!A2044,References!#REF!,2,FALSE),(VLOOKUP($S2044,References!$B$3:$C$8,2,FALSE))),"")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0"/>
        <v>0</v>
      </c>
      <c r="T2045" s="98">
        <f t="shared" si="129"/>
        <v>0</v>
      </c>
      <c r="U2045" s="99" t="str">
        <f>IFERROR(IF(#REF!="S",VLOOKUP('Raw Data'!A2045,References!#REF!,2,FALSE),(VLOOKUP($S2045,References!$B$3:$C$8,2,FALSE))),"")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0"/>
        <v>0</v>
      </c>
      <c r="T2046" s="98">
        <f t="shared" si="129"/>
        <v>0</v>
      </c>
      <c r="U2046" s="99" t="str">
        <f>IFERROR(IF(#REF!="S",VLOOKUP('Raw Data'!A2046,References!#REF!,2,FALSE),(VLOOKUP($S2046,References!$B$3:$C$8,2,FALSE))),"")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0"/>
        <v>0</v>
      </c>
      <c r="T2047" s="98">
        <f t="shared" si="129"/>
        <v>0</v>
      </c>
      <c r="U2047" s="99" t="str">
        <f>IFERROR(IF(#REF!="S",VLOOKUP('Raw Data'!A2047,References!#REF!,2,FALSE),(VLOOKUP($S2047,References!$B$3:$C$8,2,FALSE))),"")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0"/>
        <v>0</v>
      </c>
      <c r="T2048" s="98">
        <f t="shared" si="129"/>
        <v>0</v>
      </c>
      <c r="U2048" s="99" t="str">
        <f>IFERROR(IF(#REF!="S",VLOOKUP('Raw Data'!A2048,References!#REF!,2,FALSE),(VLOOKUP($S2048,References!$B$3:$C$8,2,FALSE))),"")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0"/>
        <v>0</v>
      </c>
      <c r="T2049" s="98">
        <f t="shared" si="129"/>
        <v>0</v>
      </c>
      <c r="U2049" s="99" t="str">
        <f>IFERROR(IF(#REF!="S",VLOOKUP('Raw Data'!A2049,References!#REF!,2,FALSE),(VLOOKUP($S2049,References!$B$3:$C$8,2,FALSE))),"")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0"/>
        <v>0</v>
      </c>
      <c r="T2050" s="98">
        <f t="shared" si="129"/>
        <v>0</v>
      </c>
      <c r="U2050" s="99" t="str">
        <f>IFERROR(IF(#REF!="S",VLOOKUP('Raw Data'!A2050,References!#REF!,2,FALSE),(VLOOKUP($S2050,References!$B$3:$C$8,2,FALSE))),"")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0"/>
        <v>0</v>
      </c>
      <c r="T2051" s="98">
        <f t="shared" si="129"/>
        <v>0</v>
      </c>
      <c r="U2051" s="99" t="str">
        <f>IFERROR(IF(#REF!="S",VLOOKUP('Raw Data'!A2051,References!#REF!,2,FALSE),(VLOOKUP($S2051,References!$B$3:$C$8,2,FALSE))),"")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0"/>
        <v>0</v>
      </c>
      <c r="T2052" s="98">
        <f t="shared" si="129"/>
        <v>0</v>
      </c>
      <c r="U2052" s="99" t="str">
        <f>IFERROR(IF(#REF!="S",VLOOKUP('Raw Data'!A2052,References!#REF!,2,FALSE),(VLOOKUP($S2052,References!$B$3:$C$8,2,FALSE))),"")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0"/>
        <v>0</v>
      </c>
      <c r="T2053" s="98">
        <f t="shared" si="129"/>
        <v>0</v>
      </c>
      <c r="U2053" s="99" t="str">
        <f>IFERROR(IF(#REF!="S",VLOOKUP('Raw Data'!A2053,References!#REF!,2,FALSE),(VLOOKUP($S2053,References!$B$3:$C$8,2,FALSE))),"")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0"/>
        <v>0</v>
      </c>
      <c r="T2054" s="98">
        <f t="shared" si="129"/>
        <v>0</v>
      </c>
      <c r="U2054" s="99" t="str">
        <f>IFERROR(IF(#REF!="S",VLOOKUP('Raw Data'!A2054,References!#REF!,2,FALSE),(VLOOKUP($S2054,References!$B$3:$C$8,2,FALSE))),"")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0"/>
        <v>0</v>
      </c>
      <c r="T2055" s="98">
        <f t="shared" si="129"/>
        <v>0</v>
      </c>
      <c r="U2055" s="99" t="str">
        <f>IFERROR(IF(#REF!="S",VLOOKUP('Raw Data'!A2055,References!#REF!,2,FALSE),(VLOOKUP($S2055,References!$B$3:$C$8,2,FALSE))),"")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0"/>
        <v>0</v>
      </c>
      <c r="T2056" s="98">
        <f t="shared" si="129"/>
        <v>0</v>
      </c>
      <c r="U2056" s="99" t="str">
        <f>IFERROR(IF(#REF!="S",VLOOKUP('Raw Data'!A2056,References!#REF!,2,FALSE),(VLOOKUP($S2056,References!$B$3:$C$8,2,FALSE))),"")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0"/>
        <v>0</v>
      </c>
      <c r="T2057" s="98">
        <f t="shared" si="129"/>
        <v>0</v>
      </c>
      <c r="U2057" s="99" t="str">
        <f>IFERROR(IF(#REF!="S",VLOOKUP('Raw Data'!A2057,References!#REF!,2,FALSE),(VLOOKUP($S2057,References!$B$3:$C$8,2,FALSE))),"")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0"/>
        <v>0</v>
      </c>
      <c r="T2058" s="98">
        <f t="shared" si="129"/>
        <v>0</v>
      </c>
      <c r="U2058" s="99" t="str">
        <f>IFERROR(IF(#REF!="S",VLOOKUP('Raw Data'!A2058,References!#REF!,2,FALSE),(VLOOKUP($S2058,References!$B$3:$C$8,2,FALSE))),"")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0"/>
        <v>0</v>
      </c>
      <c r="T2059" s="98">
        <f t="shared" si="129"/>
        <v>0</v>
      </c>
      <c r="U2059" s="99" t="str">
        <f>IFERROR(IF(#REF!="S",VLOOKUP('Raw Data'!A2059,References!#REF!,2,FALSE),(VLOOKUP($S2059,References!$B$3:$C$8,2,FALSE))),"")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0"/>
        <v>0</v>
      </c>
      <c r="T2060" s="98">
        <f t="shared" si="129"/>
        <v>0</v>
      </c>
      <c r="U2060" s="99" t="str">
        <f>IFERROR(IF(#REF!="S",VLOOKUP('Raw Data'!A2060,References!#REF!,2,FALSE),(VLOOKUP($S2060,References!$B$3:$C$8,2,FALSE))),"")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0"/>
        <v>0</v>
      </c>
      <c r="T2061" s="98">
        <f t="shared" si="129"/>
        <v>0</v>
      </c>
      <c r="U2061" s="99" t="str">
        <f>IFERROR(IF(#REF!="S",VLOOKUP('Raw Data'!A2061,References!#REF!,2,FALSE),(VLOOKUP($S2061,References!$B$3:$C$8,2,FALSE))),"")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0"/>
        <v>0</v>
      </c>
      <c r="T2062" s="98">
        <f t="shared" si="129"/>
        <v>0</v>
      </c>
      <c r="U2062" s="99" t="str">
        <f>IFERROR(IF(#REF!="S",VLOOKUP('Raw Data'!A2062,References!#REF!,2,FALSE),(VLOOKUP($S2062,References!$B$3:$C$8,2,FALSE))),"")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0"/>
        <v>0</v>
      </c>
      <c r="T2063" s="98">
        <f t="shared" si="129"/>
        <v>0</v>
      </c>
      <c r="U2063" s="99" t="str">
        <f>IFERROR(IF(#REF!="S",VLOOKUP('Raw Data'!A2063,References!#REF!,2,FALSE),(VLOOKUP($S2063,References!$B$3:$C$8,2,FALSE))),"")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0"/>
        <v>0</v>
      </c>
      <c r="T2064" s="98">
        <f t="shared" ref="T2064:T2127" si="131">IF(S2064="50 - Cleaning Fee",1,HOUR($R2064)+MINUTE(R2064)/60)</f>
        <v>0</v>
      </c>
      <c r="U2064" s="99" t="str">
        <f>IFERROR(IF(#REF!="S",VLOOKUP('Raw Data'!A2064,References!#REF!,2,FALSE),(VLOOKUP($S2064,References!$B$3:$C$8,2,FALSE))),"")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0"/>
        <v>0</v>
      </c>
      <c r="T2065" s="98">
        <f t="shared" si="131"/>
        <v>0</v>
      </c>
      <c r="U2065" s="99" t="str">
        <f>IFERROR(IF(#REF!="S",VLOOKUP('Raw Data'!A2065,References!#REF!,2,FALSE),(VLOOKUP($S2065,References!$B$3:$C$8,2,FALSE))),"")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0"/>
        <v>0</v>
      </c>
      <c r="T2066" s="98">
        <f t="shared" si="131"/>
        <v>0</v>
      </c>
      <c r="U2066" s="99" t="str">
        <f>IFERROR(IF(#REF!="S",VLOOKUP('Raw Data'!A2066,References!#REF!,2,FALSE),(VLOOKUP($S2066,References!$B$3:$C$8,2,FALSE))),"")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0"/>
        <v>0</v>
      </c>
      <c r="T2067" s="98">
        <f t="shared" si="131"/>
        <v>0</v>
      </c>
      <c r="U2067" s="99" t="str">
        <f>IFERROR(IF(#REF!="S",VLOOKUP('Raw Data'!A2067,References!#REF!,2,FALSE),(VLOOKUP($S2067,References!$B$3:$C$8,2,FALSE))),"")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0"/>
        <v>0</v>
      </c>
      <c r="T2068" s="98">
        <f t="shared" si="131"/>
        <v>0</v>
      </c>
      <c r="U2068" s="99" t="str">
        <f>IFERROR(IF(#REF!="S",VLOOKUP('Raw Data'!A2068,References!#REF!,2,FALSE),(VLOOKUP($S2068,References!$B$3:$C$8,2,FALSE))),"")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0"/>
        <v>0</v>
      </c>
      <c r="T2069" s="98">
        <f t="shared" si="131"/>
        <v>0</v>
      </c>
      <c r="U2069" s="99" t="str">
        <f>IFERROR(IF(#REF!="S",VLOOKUP('Raw Data'!A2069,References!#REF!,2,FALSE),(VLOOKUP($S2069,References!$B$3:$C$8,2,FALSE))),"")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0"/>
        <v>0</v>
      </c>
      <c r="T2070" s="98">
        <f t="shared" si="131"/>
        <v>0</v>
      </c>
      <c r="U2070" s="99" t="str">
        <f>IFERROR(IF(#REF!="S",VLOOKUP('Raw Data'!A2070,References!#REF!,2,FALSE),(VLOOKUP($S2070,References!$B$3:$C$8,2,FALSE))),"")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0"/>
        <v>0</v>
      </c>
      <c r="T2071" s="98">
        <f t="shared" si="131"/>
        <v>0</v>
      </c>
      <c r="U2071" s="99" t="str">
        <f>IFERROR(IF(#REF!="S",VLOOKUP('Raw Data'!A2071,References!#REF!,2,FALSE),(VLOOKUP($S2071,References!$B$3:$C$8,2,FALSE))),"")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0"/>
        <v>0</v>
      </c>
      <c r="T2072" s="98">
        <f t="shared" si="131"/>
        <v>0</v>
      </c>
      <c r="U2072" s="99" t="str">
        <f>IFERROR(IF(#REF!="S",VLOOKUP('Raw Data'!A2072,References!#REF!,2,FALSE),(VLOOKUP($S2072,References!$B$3:$C$8,2,FALSE))),"")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0"/>
        <v>0</v>
      </c>
      <c r="T2073" s="98">
        <f t="shared" si="131"/>
        <v>0</v>
      </c>
      <c r="U2073" s="99" t="str">
        <f>IFERROR(IF(#REF!="S",VLOOKUP('Raw Data'!A2073,References!#REF!,2,FALSE),(VLOOKUP($S2073,References!$B$3:$C$8,2,FALSE))),"")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0"/>
        <v>0</v>
      </c>
      <c r="T2074" s="98">
        <f t="shared" si="131"/>
        <v>0</v>
      </c>
      <c r="U2074" s="99" t="str">
        <f>IFERROR(IF(#REF!="S",VLOOKUP('Raw Data'!A2074,References!#REF!,2,FALSE),(VLOOKUP($S2074,References!$B$3:$C$8,2,FALSE))),"")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0"/>
        <v>0</v>
      </c>
      <c r="T2075" s="98">
        <f t="shared" si="131"/>
        <v>0</v>
      </c>
      <c r="U2075" s="99" t="str">
        <f>IFERROR(IF(#REF!="S",VLOOKUP('Raw Data'!A2075,References!#REF!,2,FALSE),(VLOOKUP($S2075,References!$B$3:$C$8,2,FALSE))),"")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0"/>
        <v>0</v>
      </c>
      <c r="T2076" s="98">
        <f t="shared" si="131"/>
        <v>0</v>
      </c>
      <c r="U2076" s="99" t="str">
        <f>IFERROR(IF(#REF!="S",VLOOKUP('Raw Data'!A2076,References!#REF!,2,FALSE),(VLOOKUP($S2076,References!$B$3:$C$8,2,FALSE))),"")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0"/>
        <v>0</v>
      </c>
      <c r="T2077" s="98">
        <f t="shared" si="131"/>
        <v>0</v>
      </c>
      <c r="U2077" s="99" t="str">
        <f>IFERROR(IF(#REF!="S",VLOOKUP('Raw Data'!A2077,References!#REF!,2,FALSE),(VLOOKUP($S2077,References!$B$3:$C$8,2,FALSE))),"")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0"/>
        <v>0</v>
      </c>
      <c r="T2078" s="98">
        <f t="shared" si="131"/>
        <v>0</v>
      </c>
      <c r="U2078" s="99" t="str">
        <f>IFERROR(IF(#REF!="S",VLOOKUP('Raw Data'!A2078,References!#REF!,2,FALSE),(VLOOKUP($S2078,References!$B$3:$C$8,2,FALSE))),"")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0"/>
        <v>0</v>
      </c>
      <c r="T2079" s="98">
        <f t="shared" si="131"/>
        <v>0</v>
      </c>
      <c r="U2079" s="99" t="str">
        <f>IFERROR(IF(#REF!="S",VLOOKUP('Raw Data'!A2079,References!#REF!,2,FALSE),(VLOOKUP($S2079,References!$B$3:$C$8,2,FALSE))),"")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0"/>
        <v>0</v>
      </c>
      <c r="T2080" s="98">
        <f t="shared" si="131"/>
        <v>0</v>
      </c>
      <c r="U2080" s="99" t="str">
        <f>IFERROR(IF(#REF!="S",VLOOKUP('Raw Data'!A2080,References!#REF!,2,FALSE),(VLOOKUP($S2080,References!$B$3:$C$8,2,FALSE))),"")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0"/>
        <v>0</v>
      </c>
      <c r="T2081" s="98">
        <f t="shared" si="131"/>
        <v>0</v>
      </c>
      <c r="U2081" s="99" t="str">
        <f>IFERROR(IF(#REF!="S",VLOOKUP('Raw Data'!A2081,References!#REF!,2,FALSE),(VLOOKUP($S2081,References!$B$3:$C$8,2,FALSE))),"")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0"/>
        <v>0</v>
      </c>
      <c r="T2082" s="98">
        <f t="shared" si="131"/>
        <v>0</v>
      </c>
      <c r="U2082" s="99" t="str">
        <f>IFERROR(IF(#REF!="S",VLOOKUP('Raw Data'!A2082,References!#REF!,2,FALSE),(VLOOKUP($S2082,References!$B$3:$C$8,2,FALSE))),"")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0"/>
        <v>0</v>
      </c>
      <c r="T2083" s="98">
        <f t="shared" si="131"/>
        <v>0</v>
      </c>
      <c r="U2083" s="99" t="str">
        <f>IFERROR(IF(#REF!="S",VLOOKUP('Raw Data'!A2083,References!#REF!,2,FALSE),(VLOOKUP($S2083,References!$B$3:$C$8,2,FALSE))),"")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0"/>
        <v>0</v>
      </c>
      <c r="T2084" s="98">
        <f t="shared" si="131"/>
        <v>0</v>
      </c>
      <c r="U2084" s="99" t="str">
        <f>IFERROR(IF(#REF!="S",VLOOKUP('Raw Data'!A2084,References!#REF!,2,FALSE),(VLOOKUP($S2084,References!$B$3:$C$8,2,FALSE))),"")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0"/>
        <v>0</v>
      </c>
      <c r="T2085" s="98">
        <f t="shared" si="131"/>
        <v>0</v>
      </c>
      <c r="U2085" s="99" t="str">
        <f>IFERROR(IF(#REF!="S",VLOOKUP('Raw Data'!A2085,References!#REF!,2,FALSE),(VLOOKUP($S2085,References!$B$3:$C$8,2,FALSE))),"")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0"/>
        <v>0</v>
      </c>
      <c r="T2086" s="98">
        <f t="shared" si="131"/>
        <v>0</v>
      </c>
      <c r="U2086" s="99" t="str">
        <f>IFERROR(IF(#REF!="S",VLOOKUP('Raw Data'!A2086,References!#REF!,2,FALSE),(VLOOKUP($S2086,References!$B$3:$C$8,2,FALSE))),"")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0"/>
        <v>0</v>
      </c>
      <c r="T2087" s="98">
        <f t="shared" si="131"/>
        <v>0</v>
      </c>
      <c r="U2087" s="99" t="str">
        <f>IFERROR(IF(#REF!="S",VLOOKUP('Raw Data'!A2087,References!#REF!,2,FALSE),(VLOOKUP($S2087,References!$B$3:$C$8,2,FALSE))),"")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0"/>
        <v>0</v>
      </c>
      <c r="T2088" s="98">
        <f t="shared" si="131"/>
        <v>0</v>
      </c>
      <c r="U2088" s="99" t="str">
        <f>IFERROR(IF(#REF!="S",VLOOKUP('Raw Data'!A2088,References!#REF!,2,FALSE),(VLOOKUP($S2088,References!$B$3:$C$8,2,FALSE))),"")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0"/>
        <v>0</v>
      </c>
      <c r="T2089" s="98">
        <f t="shared" si="131"/>
        <v>0</v>
      </c>
      <c r="U2089" s="99" t="str">
        <f>IFERROR(IF(#REF!="S",VLOOKUP('Raw Data'!A2089,References!#REF!,2,FALSE),(VLOOKUP($S2089,References!$B$3:$C$8,2,FALSE))),"")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0"/>
        <v>0</v>
      </c>
      <c r="T2090" s="98">
        <f t="shared" si="131"/>
        <v>0</v>
      </c>
      <c r="U2090" s="99" t="str">
        <f>IFERROR(IF(#REF!="S",VLOOKUP('Raw Data'!A2090,References!#REF!,2,FALSE),(VLOOKUP($S2090,References!$B$3:$C$8,2,FALSE))),"")</f>
        <v/>
      </c>
      <c r="W2090" s="66" t="str">
        <f>IFERROR(VLOOKUP($O2090,'Customer List'!$A$1:$J$488,10,FALSE),"")</f>
        <v/>
      </c>
    </row>
    <row r="2091" spans="18:23">
      <c r="R2091" s="97">
        <f t="shared" si="130"/>
        <v>0</v>
      </c>
      <c r="T2091" s="98">
        <f t="shared" si="131"/>
        <v>0</v>
      </c>
      <c r="U2091" s="99" t="str">
        <f>IFERROR(IF(#REF!="S",VLOOKUP('Raw Data'!A2091,References!#REF!,2,FALSE),(VLOOKUP($S2091,References!$B$3:$C$8,2,FALSE))),"")</f>
        <v/>
      </c>
      <c r="W2091" s="66" t="str">
        <f>IFERROR(VLOOKUP($O2091,'Customer List'!$A$1:$J$488,10,FALSE),"")</f>
        <v/>
      </c>
    </row>
    <row r="2092" spans="18:23">
      <c r="R2092" s="97">
        <f t="shared" ref="R2092:R2155" si="132">L2092-K2092</f>
        <v>0</v>
      </c>
      <c r="T2092" s="98">
        <f t="shared" si="131"/>
        <v>0</v>
      </c>
      <c r="U2092" s="99" t="str">
        <f>IFERROR(IF(#REF!="S",VLOOKUP('Raw Data'!A2092,References!#REF!,2,FALSE),(VLOOKUP($S2092,References!$B$3:$C$8,2,FALSE))),"")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2"/>
        <v>0</v>
      </c>
      <c r="T2093" s="98">
        <f t="shared" si="131"/>
        <v>0</v>
      </c>
      <c r="U2093" s="99" t="str">
        <f>IFERROR(IF(#REF!="S",VLOOKUP('Raw Data'!A2093,References!#REF!,2,FALSE),(VLOOKUP($S2093,References!$B$3:$C$8,2,FALSE))),"")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2"/>
        <v>0</v>
      </c>
      <c r="T2094" s="98">
        <f t="shared" si="131"/>
        <v>0</v>
      </c>
      <c r="U2094" s="99" t="str">
        <f>IFERROR(IF(#REF!="S",VLOOKUP('Raw Data'!A2094,References!#REF!,2,FALSE),(VLOOKUP($S2094,References!$B$3:$C$8,2,FALSE))),"")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2"/>
        <v>0</v>
      </c>
      <c r="T2095" s="98">
        <f t="shared" si="131"/>
        <v>0</v>
      </c>
      <c r="U2095" s="99" t="str">
        <f>IFERROR(IF(#REF!="S",VLOOKUP('Raw Data'!A2095,References!#REF!,2,FALSE),(VLOOKUP($S2095,References!$B$3:$C$8,2,FALSE))),"")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2"/>
        <v>0</v>
      </c>
      <c r="T2096" s="98">
        <f t="shared" si="131"/>
        <v>0</v>
      </c>
      <c r="U2096" s="99" t="str">
        <f>IFERROR(IF(#REF!="S",VLOOKUP('Raw Data'!A2096,References!#REF!,2,FALSE),(VLOOKUP($S2096,References!$B$3:$C$8,2,FALSE))),"")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2"/>
        <v>0</v>
      </c>
      <c r="T2097" s="98">
        <f t="shared" si="131"/>
        <v>0</v>
      </c>
      <c r="U2097" s="99" t="str">
        <f>IFERROR(IF(#REF!="S",VLOOKUP('Raw Data'!A2097,References!#REF!,2,FALSE),(VLOOKUP($S2097,References!$B$3:$C$8,2,FALSE))),"")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2"/>
        <v>0</v>
      </c>
      <c r="T2098" s="98">
        <f t="shared" si="131"/>
        <v>0</v>
      </c>
      <c r="U2098" s="99" t="str">
        <f>IFERROR(IF(#REF!="S",VLOOKUP('Raw Data'!A2098,References!#REF!,2,FALSE),(VLOOKUP($S2098,References!$B$3:$C$8,2,FALSE))),"")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2"/>
        <v>0</v>
      </c>
      <c r="T2099" s="98">
        <f t="shared" si="131"/>
        <v>0</v>
      </c>
      <c r="U2099" s="99" t="str">
        <f>IFERROR(IF(#REF!="S",VLOOKUP('Raw Data'!A2099,References!#REF!,2,FALSE),(VLOOKUP($S2099,References!$B$3:$C$8,2,FALSE))),"")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2"/>
        <v>0</v>
      </c>
      <c r="T2100" s="98">
        <f t="shared" si="131"/>
        <v>0</v>
      </c>
      <c r="U2100" s="99" t="str">
        <f>IFERROR(IF(#REF!="S",VLOOKUP('Raw Data'!A2100,References!#REF!,2,FALSE),(VLOOKUP($S2100,References!$B$3:$C$8,2,FALSE))),"")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2"/>
        <v>0</v>
      </c>
      <c r="T2101" s="98">
        <f t="shared" si="131"/>
        <v>0</v>
      </c>
      <c r="U2101" s="99" t="str">
        <f>IFERROR(IF(#REF!="S",VLOOKUP('Raw Data'!A2101,References!#REF!,2,FALSE),(VLOOKUP($S2101,References!$B$3:$C$8,2,FALSE))),"")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2"/>
        <v>0</v>
      </c>
      <c r="T2102" s="98">
        <f t="shared" si="131"/>
        <v>0</v>
      </c>
      <c r="U2102" s="99" t="str">
        <f>IFERROR(IF(#REF!="S",VLOOKUP('Raw Data'!A2102,References!#REF!,2,FALSE),(VLOOKUP($S2102,References!$B$3:$C$8,2,FALSE))),"")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2"/>
        <v>0</v>
      </c>
      <c r="T2103" s="98">
        <f t="shared" si="131"/>
        <v>0</v>
      </c>
      <c r="U2103" s="99" t="str">
        <f>IFERROR(IF(#REF!="S",VLOOKUP('Raw Data'!A2103,References!#REF!,2,FALSE),(VLOOKUP($S2103,References!$B$3:$C$8,2,FALSE))),"")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2"/>
        <v>0</v>
      </c>
      <c r="T2104" s="98">
        <f t="shared" si="131"/>
        <v>0</v>
      </c>
      <c r="U2104" s="99" t="str">
        <f>IFERROR(IF(#REF!="S",VLOOKUP('Raw Data'!A2104,References!#REF!,2,FALSE),(VLOOKUP($S2104,References!$B$3:$C$8,2,FALSE))),"")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2"/>
        <v>0</v>
      </c>
      <c r="T2105" s="98">
        <f t="shared" si="131"/>
        <v>0</v>
      </c>
      <c r="U2105" s="99" t="str">
        <f>IFERROR(IF(#REF!="S",VLOOKUP('Raw Data'!A2105,References!#REF!,2,FALSE),(VLOOKUP($S2105,References!$B$3:$C$8,2,FALSE))),"")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2"/>
        <v>0</v>
      </c>
      <c r="T2106" s="98">
        <f t="shared" si="131"/>
        <v>0</v>
      </c>
      <c r="U2106" s="99" t="str">
        <f>IFERROR(IF(#REF!="S",VLOOKUP('Raw Data'!A2106,References!#REF!,2,FALSE),(VLOOKUP($S2106,References!$B$3:$C$8,2,FALSE))),"")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2"/>
        <v>0</v>
      </c>
      <c r="T2107" s="98">
        <f t="shared" si="131"/>
        <v>0</v>
      </c>
      <c r="U2107" s="99" t="str">
        <f>IFERROR(IF(#REF!="S",VLOOKUP('Raw Data'!A2107,References!#REF!,2,FALSE),(VLOOKUP($S2107,References!$B$3:$C$8,2,FALSE))),"")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2"/>
        <v>0</v>
      </c>
      <c r="T2108" s="98">
        <f t="shared" si="131"/>
        <v>0</v>
      </c>
      <c r="U2108" s="99" t="str">
        <f>IFERROR(IF(#REF!="S",VLOOKUP('Raw Data'!A2108,References!#REF!,2,FALSE),(VLOOKUP($S2108,References!$B$3:$C$8,2,FALSE))),"")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2"/>
        <v>0</v>
      </c>
      <c r="T2109" s="98">
        <f t="shared" si="131"/>
        <v>0</v>
      </c>
      <c r="U2109" s="99" t="str">
        <f>IFERROR(IF(#REF!="S",VLOOKUP('Raw Data'!A2109,References!#REF!,2,FALSE),(VLOOKUP($S2109,References!$B$3:$C$8,2,FALSE))),"")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2"/>
        <v>0</v>
      </c>
      <c r="T2110" s="98">
        <f t="shared" si="131"/>
        <v>0</v>
      </c>
      <c r="U2110" s="99" t="str">
        <f>IFERROR(IF(#REF!="S",VLOOKUP('Raw Data'!A2110,References!#REF!,2,FALSE),(VLOOKUP($S2110,References!$B$3:$C$8,2,FALSE))),"")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2"/>
        <v>0</v>
      </c>
      <c r="T2111" s="98">
        <f t="shared" si="131"/>
        <v>0</v>
      </c>
      <c r="U2111" s="99" t="str">
        <f>IFERROR(IF(#REF!="S",VLOOKUP('Raw Data'!A2111,References!#REF!,2,FALSE),(VLOOKUP($S2111,References!$B$3:$C$8,2,FALSE))),"")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2"/>
        <v>0</v>
      </c>
      <c r="T2112" s="98">
        <f t="shared" si="131"/>
        <v>0</v>
      </c>
      <c r="U2112" s="99" t="str">
        <f>IFERROR(IF(#REF!="S",VLOOKUP('Raw Data'!A2112,References!#REF!,2,FALSE),(VLOOKUP($S2112,References!$B$3:$C$8,2,FALSE))),"")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2"/>
        <v>0</v>
      </c>
      <c r="T2113" s="98">
        <f t="shared" si="131"/>
        <v>0</v>
      </c>
      <c r="U2113" s="99" t="str">
        <f>IFERROR(IF(#REF!="S",VLOOKUP('Raw Data'!A2113,References!#REF!,2,FALSE),(VLOOKUP($S2113,References!$B$3:$C$8,2,FALSE))),"")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2"/>
        <v>0</v>
      </c>
      <c r="T2114" s="98">
        <f t="shared" si="131"/>
        <v>0</v>
      </c>
      <c r="U2114" s="99" t="str">
        <f>IFERROR(IF(#REF!="S",VLOOKUP('Raw Data'!A2114,References!#REF!,2,FALSE),(VLOOKUP($S2114,References!$B$3:$C$8,2,FALSE))),"")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2"/>
        <v>0</v>
      </c>
      <c r="T2115" s="98">
        <f t="shared" si="131"/>
        <v>0</v>
      </c>
      <c r="U2115" s="99" t="str">
        <f>IFERROR(IF(#REF!="S",VLOOKUP('Raw Data'!A2115,References!#REF!,2,FALSE),(VLOOKUP($S2115,References!$B$3:$C$8,2,FALSE))),"")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2"/>
        <v>0</v>
      </c>
      <c r="T2116" s="98">
        <f t="shared" si="131"/>
        <v>0</v>
      </c>
      <c r="U2116" s="99" t="str">
        <f>IFERROR(IF(#REF!="S",VLOOKUP('Raw Data'!A2116,References!#REF!,2,FALSE),(VLOOKUP($S2116,References!$B$3:$C$8,2,FALSE))),"")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2"/>
        <v>0</v>
      </c>
      <c r="T2117" s="98">
        <f t="shared" si="131"/>
        <v>0</v>
      </c>
      <c r="U2117" s="99" t="str">
        <f>IFERROR(IF(#REF!="S",VLOOKUP('Raw Data'!A2117,References!#REF!,2,FALSE),(VLOOKUP($S2117,References!$B$3:$C$8,2,FALSE))),"")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2"/>
        <v>0</v>
      </c>
      <c r="T2118" s="98">
        <f t="shared" si="131"/>
        <v>0</v>
      </c>
      <c r="U2118" s="99" t="str">
        <f>IFERROR(IF(#REF!="S",VLOOKUP('Raw Data'!A2118,References!#REF!,2,FALSE),(VLOOKUP($S2118,References!$B$3:$C$8,2,FALSE))),"")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2"/>
        <v>0</v>
      </c>
      <c r="T2119" s="98">
        <f t="shared" si="131"/>
        <v>0</v>
      </c>
      <c r="U2119" s="99" t="str">
        <f>IFERROR(IF(#REF!="S",VLOOKUP('Raw Data'!A2119,References!#REF!,2,FALSE),(VLOOKUP($S2119,References!$B$3:$C$8,2,FALSE))),"")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2"/>
        <v>0</v>
      </c>
      <c r="T2120" s="98">
        <f t="shared" si="131"/>
        <v>0</v>
      </c>
      <c r="U2120" s="99" t="str">
        <f>IFERROR(IF(#REF!="S",VLOOKUP('Raw Data'!A2120,References!#REF!,2,FALSE),(VLOOKUP($S2120,References!$B$3:$C$8,2,FALSE))),"")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2"/>
        <v>0</v>
      </c>
      <c r="T2121" s="98">
        <f t="shared" si="131"/>
        <v>0</v>
      </c>
      <c r="U2121" s="99" t="str">
        <f>IFERROR(IF(#REF!="S",VLOOKUP('Raw Data'!A2121,References!#REF!,2,FALSE),(VLOOKUP($S2121,References!$B$3:$C$8,2,FALSE))),"")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2"/>
        <v>0</v>
      </c>
      <c r="T2122" s="98">
        <f t="shared" si="131"/>
        <v>0</v>
      </c>
      <c r="U2122" s="99" t="str">
        <f>IFERROR(IF(#REF!="S",VLOOKUP('Raw Data'!A2122,References!#REF!,2,FALSE),(VLOOKUP($S2122,References!$B$3:$C$8,2,FALSE))),"")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2"/>
        <v>0</v>
      </c>
      <c r="T2123" s="98">
        <f t="shared" si="131"/>
        <v>0</v>
      </c>
      <c r="U2123" s="99" t="str">
        <f>IFERROR(IF(#REF!="S",VLOOKUP('Raw Data'!A2123,References!#REF!,2,FALSE),(VLOOKUP($S2123,References!$B$3:$C$8,2,FALSE))),"")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2"/>
        <v>0</v>
      </c>
      <c r="T2124" s="98">
        <f t="shared" si="131"/>
        <v>0</v>
      </c>
      <c r="U2124" s="99" t="str">
        <f>IFERROR(IF(#REF!="S",VLOOKUP('Raw Data'!A2124,References!#REF!,2,FALSE),(VLOOKUP($S2124,References!$B$3:$C$8,2,FALSE))),"")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2"/>
        <v>0</v>
      </c>
      <c r="T2125" s="98">
        <f t="shared" si="131"/>
        <v>0</v>
      </c>
      <c r="U2125" s="99" t="str">
        <f>IFERROR(IF(#REF!="S",VLOOKUP('Raw Data'!A2125,References!#REF!,2,FALSE),(VLOOKUP($S2125,References!$B$3:$C$8,2,FALSE))),"")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2"/>
        <v>0</v>
      </c>
      <c r="T2126" s="98">
        <f t="shared" si="131"/>
        <v>0</v>
      </c>
      <c r="U2126" s="99" t="str">
        <f>IFERROR(IF(#REF!="S",VLOOKUP('Raw Data'!A2126,References!#REF!,2,FALSE),(VLOOKUP($S2126,References!$B$3:$C$8,2,FALSE))),"")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2"/>
        <v>0</v>
      </c>
      <c r="T2127" s="98">
        <f t="shared" si="131"/>
        <v>0</v>
      </c>
      <c r="U2127" s="99" t="str">
        <f>IFERROR(IF(#REF!="S",VLOOKUP('Raw Data'!A2127,References!#REF!,2,FALSE),(VLOOKUP($S2127,References!$B$3:$C$8,2,FALSE))),"")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2"/>
        <v>0</v>
      </c>
      <c r="T2128" s="98">
        <f t="shared" ref="T2128:T2191" si="133">IF(S2128="50 - Cleaning Fee",1,HOUR($R2128)+MINUTE(R2128)/60)</f>
        <v>0</v>
      </c>
      <c r="U2128" s="99" t="str">
        <f>IFERROR(IF(#REF!="S",VLOOKUP('Raw Data'!A2128,References!#REF!,2,FALSE),(VLOOKUP($S2128,References!$B$3:$C$8,2,FALSE))),"")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2"/>
        <v>0</v>
      </c>
      <c r="T2129" s="98">
        <f t="shared" si="133"/>
        <v>0</v>
      </c>
      <c r="U2129" s="99" t="str">
        <f>IFERROR(IF(#REF!="S",VLOOKUP('Raw Data'!A2129,References!#REF!,2,FALSE),(VLOOKUP($S2129,References!$B$3:$C$8,2,FALSE))),"")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2"/>
        <v>0</v>
      </c>
      <c r="T2130" s="98">
        <f t="shared" si="133"/>
        <v>0</v>
      </c>
      <c r="U2130" s="99" t="str">
        <f>IFERROR(IF(#REF!="S",VLOOKUP('Raw Data'!A2130,References!#REF!,2,FALSE),(VLOOKUP($S2130,References!$B$3:$C$8,2,FALSE))),"")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2"/>
        <v>0</v>
      </c>
      <c r="T2131" s="98">
        <f t="shared" si="133"/>
        <v>0</v>
      </c>
      <c r="U2131" s="99" t="str">
        <f>IFERROR(IF(#REF!="S",VLOOKUP('Raw Data'!A2131,References!#REF!,2,FALSE),(VLOOKUP($S2131,References!$B$3:$C$8,2,FALSE))),"")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2"/>
        <v>0</v>
      </c>
      <c r="T2132" s="98">
        <f t="shared" si="133"/>
        <v>0</v>
      </c>
      <c r="U2132" s="99" t="str">
        <f>IFERROR(IF(#REF!="S",VLOOKUP('Raw Data'!A2132,References!#REF!,2,FALSE),(VLOOKUP($S2132,References!$B$3:$C$8,2,FALSE))),"")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2"/>
        <v>0</v>
      </c>
      <c r="T2133" s="98">
        <f t="shared" si="133"/>
        <v>0</v>
      </c>
      <c r="U2133" s="99" t="str">
        <f>IFERROR(IF(#REF!="S",VLOOKUP('Raw Data'!A2133,References!#REF!,2,FALSE),(VLOOKUP($S2133,References!$B$3:$C$8,2,FALSE))),"")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2"/>
        <v>0</v>
      </c>
      <c r="T2134" s="98">
        <f t="shared" si="133"/>
        <v>0</v>
      </c>
      <c r="U2134" s="99" t="str">
        <f>IFERROR(IF(#REF!="S",VLOOKUP('Raw Data'!A2134,References!#REF!,2,FALSE),(VLOOKUP($S2134,References!$B$3:$C$8,2,FALSE))),"")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2"/>
        <v>0</v>
      </c>
      <c r="T2135" s="98">
        <f t="shared" si="133"/>
        <v>0</v>
      </c>
      <c r="U2135" s="99" t="str">
        <f>IFERROR(IF(#REF!="S",VLOOKUP('Raw Data'!A2135,References!#REF!,2,FALSE),(VLOOKUP($S2135,References!$B$3:$C$8,2,FALSE))),"")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2"/>
        <v>0</v>
      </c>
      <c r="T2136" s="98">
        <f t="shared" si="133"/>
        <v>0</v>
      </c>
      <c r="U2136" s="99" t="str">
        <f>IFERROR(IF(#REF!="S",VLOOKUP('Raw Data'!A2136,References!#REF!,2,FALSE),(VLOOKUP($S2136,References!$B$3:$C$8,2,FALSE))),"")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2"/>
        <v>0</v>
      </c>
      <c r="T2137" s="98">
        <f t="shared" si="133"/>
        <v>0</v>
      </c>
      <c r="U2137" s="99" t="str">
        <f>IFERROR(IF(#REF!="S",VLOOKUP('Raw Data'!A2137,References!#REF!,2,FALSE),(VLOOKUP($S2137,References!$B$3:$C$8,2,FALSE))),"")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2"/>
        <v>0</v>
      </c>
      <c r="T2138" s="98">
        <f t="shared" si="133"/>
        <v>0</v>
      </c>
      <c r="U2138" s="99" t="str">
        <f>IFERROR(IF(#REF!="S",VLOOKUP('Raw Data'!A2138,References!#REF!,2,FALSE),(VLOOKUP($S2138,References!$B$3:$C$8,2,FALSE))),"")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2"/>
        <v>0</v>
      </c>
      <c r="T2139" s="98">
        <f t="shared" si="133"/>
        <v>0</v>
      </c>
      <c r="U2139" s="99" t="str">
        <f>IFERROR(IF(#REF!="S",VLOOKUP('Raw Data'!A2139,References!#REF!,2,FALSE),(VLOOKUP($S2139,References!$B$3:$C$8,2,FALSE))),"")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2"/>
        <v>0</v>
      </c>
      <c r="T2140" s="98">
        <f t="shared" si="133"/>
        <v>0</v>
      </c>
      <c r="U2140" s="99" t="str">
        <f>IFERROR(IF(#REF!="S",VLOOKUP('Raw Data'!A2140,References!#REF!,2,FALSE),(VLOOKUP($S2140,References!$B$3:$C$8,2,FALSE))),"")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2"/>
        <v>0</v>
      </c>
      <c r="T2141" s="98">
        <f t="shared" si="133"/>
        <v>0</v>
      </c>
      <c r="U2141" s="99" t="str">
        <f>IFERROR(IF(#REF!="S",VLOOKUP('Raw Data'!A2141,References!#REF!,2,FALSE),(VLOOKUP($S2141,References!$B$3:$C$8,2,FALSE))),"")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2"/>
        <v>0</v>
      </c>
      <c r="T2142" s="98">
        <f t="shared" si="133"/>
        <v>0</v>
      </c>
      <c r="U2142" s="99" t="str">
        <f>IFERROR(IF(#REF!="S",VLOOKUP('Raw Data'!A2142,References!#REF!,2,FALSE),(VLOOKUP($S2142,References!$B$3:$C$8,2,FALSE))),"")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2"/>
        <v>0</v>
      </c>
      <c r="T2143" s="98">
        <f t="shared" si="133"/>
        <v>0</v>
      </c>
      <c r="U2143" s="99" t="str">
        <f>IFERROR(IF(#REF!="S",VLOOKUP('Raw Data'!A2143,References!#REF!,2,FALSE),(VLOOKUP($S2143,References!$B$3:$C$8,2,FALSE))),"")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2"/>
        <v>0</v>
      </c>
      <c r="T2144" s="98">
        <f t="shared" si="133"/>
        <v>0</v>
      </c>
      <c r="U2144" s="99" t="str">
        <f>IFERROR(IF(#REF!="S",VLOOKUP('Raw Data'!A2144,References!#REF!,2,FALSE),(VLOOKUP($S2144,References!$B$3:$C$8,2,FALSE))),"")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2"/>
        <v>0</v>
      </c>
      <c r="T2145" s="98">
        <f t="shared" si="133"/>
        <v>0</v>
      </c>
      <c r="U2145" s="99" t="str">
        <f>IFERROR(IF(#REF!="S",VLOOKUP('Raw Data'!A2145,References!#REF!,2,FALSE),(VLOOKUP($S2145,References!$B$3:$C$8,2,FALSE))),"")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2"/>
        <v>0</v>
      </c>
      <c r="T2146" s="98">
        <f t="shared" si="133"/>
        <v>0</v>
      </c>
      <c r="U2146" s="99" t="str">
        <f>IFERROR(IF(#REF!="S",VLOOKUP('Raw Data'!A2146,References!#REF!,2,FALSE),(VLOOKUP($S2146,References!$B$3:$C$8,2,FALSE))),"")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2"/>
        <v>0</v>
      </c>
      <c r="T2147" s="98">
        <f t="shared" si="133"/>
        <v>0</v>
      </c>
      <c r="U2147" s="99" t="str">
        <f>IFERROR(IF(#REF!="S",VLOOKUP('Raw Data'!A2147,References!#REF!,2,FALSE),(VLOOKUP($S2147,References!$B$3:$C$8,2,FALSE))),"")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2"/>
        <v>0</v>
      </c>
      <c r="T2148" s="98">
        <f t="shared" si="133"/>
        <v>0</v>
      </c>
      <c r="U2148" s="99" t="str">
        <f>IFERROR(IF(#REF!="S",VLOOKUP('Raw Data'!A2148,References!#REF!,2,FALSE),(VLOOKUP($S2148,References!$B$3:$C$8,2,FALSE))),"")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2"/>
        <v>0</v>
      </c>
      <c r="T2149" s="98">
        <f t="shared" si="133"/>
        <v>0</v>
      </c>
      <c r="U2149" s="99" t="str">
        <f>IFERROR(IF(#REF!="S",VLOOKUP('Raw Data'!A2149,References!#REF!,2,FALSE),(VLOOKUP($S2149,References!$B$3:$C$8,2,FALSE))),"")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2"/>
        <v>0</v>
      </c>
      <c r="T2150" s="98">
        <f t="shared" si="133"/>
        <v>0</v>
      </c>
      <c r="U2150" s="99" t="str">
        <f>IFERROR(IF(#REF!="S",VLOOKUP('Raw Data'!A2150,References!#REF!,2,FALSE),(VLOOKUP($S2150,References!$B$3:$C$8,2,FALSE))),"")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2"/>
        <v>0</v>
      </c>
      <c r="T2151" s="98">
        <f t="shared" si="133"/>
        <v>0</v>
      </c>
      <c r="U2151" s="99" t="str">
        <f>IFERROR(IF(#REF!="S",VLOOKUP('Raw Data'!A2151,References!#REF!,2,FALSE),(VLOOKUP($S2151,References!$B$3:$C$8,2,FALSE))),"")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2"/>
        <v>0</v>
      </c>
      <c r="T2152" s="98">
        <f t="shared" si="133"/>
        <v>0</v>
      </c>
      <c r="U2152" s="99" t="str">
        <f>IFERROR(IF(#REF!="S",VLOOKUP('Raw Data'!A2152,References!#REF!,2,FALSE),(VLOOKUP($S2152,References!$B$3:$C$8,2,FALSE))),"")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2"/>
        <v>0</v>
      </c>
      <c r="T2153" s="98">
        <f t="shared" si="133"/>
        <v>0</v>
      </c>
      <c r="U2153" s="99" t="str">
        <f>IFERROR(IF(#REF!="S",VLOOKUP('Raw Data'!A2153,References!#REF!,2,FALSE),(VLOOKUP($S2153,References!$B$3:$C$8,2,FALSE))),"")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2"/>
        <v>0</v>
      </c>
      <c r="T2154" s="98">
        <f t="shared" si="133"/>
        <v>0</v>
      </c>
      <c r="U2154" s="99" t="str">
        <f>IFERROR(IF(#REF!="S",VLOOKUP('Raw Data'!A2154,References!#REF!,2,FALSE),(VLOOKUP($S2154,References!$B$3:$C$8,2,FALSE))),"")</f>
        <v/>
      </c>
      <c r="W2154" s="66" t="str">
        <f>IFERROR(VLOOKUP($O2154,'Customer List'!$A$1:$J$488,10,FALSE),"")</f>
        <v/>
      </c>
    </row>
    <row r="2155" spans="18:23">
      <c r="R2155" s="97">
        <f t="shared" si="132"/>
        <v>0</v>
      </c>
      <c r="T2155" s="98">
        <f t="shared" si="133"/>
        <v>0</v>
      </c>
      <c r="U2155" s="99" t="str">
        <f>IFERROR(IF(#REF!="S",VLOOKUP('Raw Data'!A2155,References!#REF!,2,FALSE),(VLOOKUP($S2155,References!$B$3:$C$8,2,FALSE))),"")</f>
        <v/>
      </c>
      <c r="W2155" s="66" t="str">
        <f>IFERROR(VLOOKUP($O2155,'Customer List'!$A$1:$J$488,10,FALSE),"")</f>
        <v/>
      </c>
    </row>
    <row r="2156" spans="18:23">
      <c r="R2156" s="97">
        <f t="shared" ref="R2156:R2219" si="134">L2156-K2156</f>
        <v>0</v>
      </c>
      <c r="T2156" s="98">
        <f t="shared" si="133"/>
        <v>0</v>
      </c>
      <c r="U2156" s="99" t="str">
        <f>IFERROR(IF(#REF!="S",VLOOKUP('Raw Data'!A2156,References!#REF!,2,FALSE),(VLOOKUP($S2156,References!$B$3:$C$8,2,FALSE))),"")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4"/>
        <v>0</v>
      </c>
      <c r="T2157" s="98">
        <f t="shared" si="133"/>
        <v>0</v>
      </c>
      <c r="U2157" s="99" t="str">
        <f>IFERROR(IF(#REF!="S",VLOOKUP('Raw Data'!A2157,References!#REF!,2,FALSE),(VLOOKUP($S2157,References!$B$3:$C$8,2,FALSE))),"")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4"/>
        <v>0</v>
      </c>
      <c r="T2158" s="98">
        <f t="shared" si="133"/>
        <v>0</v>
      </c>
      <c r="U2158" s="99" t="str">
        <f>IFERROR(IF(#REF!="S",VLOOKUP('Raw Data'!A2158,References!#REF!,2,FALSE),(VLOOKUP($S2158,References!$B$3:$C$8,2,FALSE))),"")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4"/>
        <v>0</v>
      </c>
      <c r="T2159" s="98">
        <f t="shared" si="133"/>
        <v>0</v>
      </c>
      <c r="U2159" s="99" t="str">
        <f>IFERROR(IF(#REF!="S",VLOOKUP('Raw Data'!A2159,References!#REF!,2,FALSE),(VLOOKUP($S2159,References!$B$3:$C$8,2,FALSE))),"")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4"/>
        <v>0</v>
      </c>
      <c r="T2160" s="98">
        <f t="shared" si="133"/>
        <v>0</v>
      </c>
      <c r="U2160" s="99" t="str">
        <f>IFERROR(IF(#REF!="S",VLOOKUP('Raw Data'!A2160,References!#REF!,2,FALSE),(VLOOKUP($S2160,References!$B$3:$C$8,2,FALSE))),"")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4"/>
        <v>0</v>
      </c>
      <c r="T2161" s="98">
        <f t="shared" si="133"/>
        <v>0</v>
      </c>
      <c r="U2161" s="99" t="str">
        <f>IFERROR(IF(#REF!="S",VLOOKUP('Raw Data'!A2161,References!#REF!,2,FALSE),(VLOOKUP($S2161,References!$B$3:$C$8,2,FALSE))),"")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4"/>
        <v>0</v>
      </c>
      <c r="T2162" s="98">
        <f t="shared" si="133"/>
        <v>0</v>
      </c>
      <c r="U2162" s="99" t="str">
        <f>IFERROR(IF(#REF!="S",VLOOKUP('Raw Data'!A2162,References!#REF!,2,FALSE),(VLOOKUP($S2162,References!$B$3:$C$8,2,FALSE))),"")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4"/>
        <v>0</v>
      </c>
      <c r="T2163" s="98">
        <f t="shared" si="133"/>
        <v>0</v>
      </c>
      <c r="U2163" s="99" t="str">
        <f>IFERROR(IF(#REF!="S",VLOOKUP('Raw Data'!A2163,References!#REF!,2,FALSE),(VLOOKUP($S2163,References!$B$3:$C$8,2,FALSE))),"")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4"/>
        <v>0</v>
      </c>
      <c r="T2164" s="98">
        <f t="shared" si="133"/>
        <v>0</v>
      </c>
      <c r="U2164" s="99" t="str">
        <f>IFERROR(IF(#REF!="S",VLOOKUP('Raw Data'!A2164,References!#REF!,2,FALSE),(VLOOKUP($S2164,References!$B$3:$C$8,2,FALSE))),"")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4"/>
        <v>0</v>
      </c>
      <c r="T2165" s="98">
        <f t="shared" si="133"/>
        <v>0</v>
      </c>
      <c r="U2165" s="99" t="str">
        <f>IFERROR(IF(#REF!="S",VLOOKUP('Raw Data'!A2165,References!#REF!,2,FALSE),(VLOOKUP($S2165,References!$B$3:$C$8,2,FALSE))),"")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4"/>
        <v>0</v>
      </c>
      <c r="T2166" s="98">
        <f t="shared" si="133"/>
        <v>0</v>
      </c>
      <c r="U2166" s="99" t="str">
        <f>IFERROR(IF(#REF!="S",VLOOKUP('Raw Data'!A2166,References!#REF!,2,FALSE),(VLOOKUP($S2166,References!$B$3:$C$8,2,FALSE))),"")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4"/>
        <v>0</v>
      </c>
      <c r="T2167" s="98">
        <f t="shared" si="133"/>
        <v>0</v>
      </c>
      <c r="U2167" s="99" t="str">
        <f>IFERROR(IF(#REF!="S",VLOOKUP('Raw Data'!A2167,References!#REF!,2,FALSE),(VLOOKUP($S2167,References!$B$3:$C$8,2,FALSE))),"")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4"/>
        <v>0</v>
      </c>
      <c r="T2168" s="98">
        <f t="shared" si="133"/>
        <v>0</v>
      </c>
      <c r="U2168" s="99" t="str">
        <f>IFERROR(IF(#REF!="S",VLOOKUP('Raw Data'!A2168,References!#REF!,2,FALSE),(VLOOKUP($S2168,References!$B$3:$C$8,2,FALSE))),"")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4"/>
        <v>0</v>
      </c>
      <c r="T2169" s="98">
        <f t="shared" si="133"/>
        <v>0</v>
      </c>
      <c r="U2169" s="99" t="str">
        <f>IFERROR(IF(#REF!="S",VLOOKUP('Raw Data'!A2169,References!#REF!,2,FALSE),(VLOOKUP($S2169,References!$B$3:$C$8,2,FALSE))),"")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4"/>
        <v>0</v>
      </c>
      <c r="T2170" s="98">
        <f t="shared" si="133"/>
        <v>0</v>
      </c>
      <c r="U2170" s="99" t="str">
        <f>IFERROR(IF(#REF!="S",VLOOKUP('Raw Data'!A2170,References!#REF!,2,FALSE),(VLOOKUP($S2170,References!$B$3:$C$8,2,FALSE))),"")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4"/>
        <v>0</v>
      </c>
      <c r="T2171" s="98">
        <f t="shared" si="133"/>
        <v>0</v>
      </c>
      <c r="U2171" s="99" t="str">
        <f>IFERROR(IF(#REF!="S",VLOOKUP('Raw Data'!A2171,References!#REF!,2,FALSE),(VLOOKUP($S2171,References!$B$3:$C$8,2,FALSE))),"")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4"/>
        <v>0</v>
      </c>
      <c r="T2172" s="98">
        <f t="shared" si="133"/>
        <v>0</v>
      </c>
      <c r="U2172" s="99" t="str">
        <f>IFERROR(IF(#REF!="S",VLOOKUP('Raw Data'!A2172,References!#REF!,2,FALSE),(VLOOKUP($S2172,References!$B$3:$C$8,2,FALSE))),"")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4"/>
        <v>0</v>
      </c>
      <c r="T2173" s="98">
        <f t="shared" si="133"/>
        <v>0</v>
      </c>
      <c r="U2173" s="99" t="str">
        <f>IFERROR(IF(#REF!="S",VLOOKUP('Raw Data'!A2173,References!#REF!,2,FALSE),(VLOOKUP($S2173,References!$B$3:$C$8,2,FALSE))),"")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4"/>
        <v>0</v>
      </c>
      <c r="T2174" s="98">
        <f t="shared" si="133"/>
        <v>0</v>
      </c>
      <c r="U2174" s="99" t="str">
        <f>IFERROR(IF(#REF!="S",VLOOKUP('Raw Data'!A2174,References!#REF!,2,FALSE),(VLOOKUP($S2174,References!$B$3:$C$8,2,FALSE))),"")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4"/>
        <v>0</v>
      </c>
      <c r="T2175" s="98">
        <f t="shared" si="133"/>
        <v>0</v>
      </c>
      <c r="U2175" s="99" t="str">
        <f>IFERROR(IF(#REF!="S",VLOOKUP('Raw Data'!A2175,References!#REF!,2,FALSE),(VLOOKUP($S2175,References!$B$3:$C$8,2,FALSE))),"")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4"/>
        <v>0</v>
      </c>
      <c r="T2176" s="98">
        <f t="shared" si="133"/>
        <v>0</v>
      </c>
      <c r="U2176" s="99" t="str">
        <f>IFERROR(IF(#REF!="S",VLOOKUP('Raw Data'!A2176,References!#REF!,2,FALSE),(VLOOKUP($S2176,References!$B$3:$C$8,2,FALSE))),"")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4"/>
        <v>0</v>
      </c>
      <c r="T2177" s="98">
        <f t="shared" si="133"/>
        <v>0</v>
      </c>
      <c r="U2177" s="99" t="str">
        <f>IFERROR(IF(#REF!="S",VLOOKUP('Raw Data'!A2177,References!#REF!,2,FALSE),(VLOOKUP($S2177,References!$B$3:$C$8,2,FALSE))),"")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4"/>
        <v>0</v>
      </c>
      <c r="T2178" s="98">
        <f t="shared" si="133"/>
        <v>0</v>
      </c>
      <c r="U2178" s="99" t="str">
        <f>IFERROR(IF(#REF!="S",VLOOKUP('Raw Data'!A2178,References!#REF!,2,FALSE),(VLOOKUP($S2178,References!$B$3:$C$8,2,FALSE))),"")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4"/>
        <v>0</v>
      </c>
      <c r="T2179" s="98">
        <f t="shared" si="133"/>
        <v>0</v>
      </c>
      <c r="U2179" s="99" t="str">
        <f>IFERROR(IF(#REF!="S",VLOOKUP('Raw Data'!A2179,References!#REF!,2,FALSE),(VLOOKUP($S2179,References!$B$3:$C$8,2,FALSE))),"")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4"/>
        <v>0</v>
      </c>
      <c r="T2180" s="98">
        <f t="shared" si="133"/>
        <v>0</v>
      </c>
      <c r="U2180" s="99" t="str">
        <f>IFERROR(IF(#REF!="S",VLOOKUP('Raw Data'!A2180,References!#REF!,2,FALSE),(VLOOKUP($S2180,References!$B$3:$C$8,2,FALSE))),"")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4"/>
        <v>0</v>
      </c>
      <c r="T2181" s="98">
        <f t="shared" si="133"/>
        <v>0</v>
      </c>
      <c r="U2181" s="99" t="str">
        <f>IFERROR(IF(#REF!="S",VLOOKUP('Raw Data'!A2181,References!#REF!,2,FALSE),(VLOOKUP($S2181,References!$B$3:$C$8,2,FALSE))),"")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4"/>
        <v>0</v>
      </c>
      <c r="T2182" s="98">
        <f t="shared" si="133"/>
        <v>0</v>
      </c>
      <c r="U2182" s="99" t="str">
        <f>IFERROR(IF(#REF!="S",VLOOKUP('Raw Data'!A2182,References!#REF!,2,FALSE),(VLOOKUP($S2182,References!$B$3:$C$8,2,FALSE))),"")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4"/>
        <v>0</v>
      </c>
      <c r="T2183" s="98">
        <f t="shared" si="133"/>
        <v>0</v>
      </c>
      <c r="U2183" s="99" t="str">
        <f>IFERROR(IF(#REF!="S",VLOOKUP('Raw Data'!A2183,References!#REF!,2,FALSE),(VLOOKUP($S2183,References!$B$3:$C$8,2,FALSE))),"")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4"/>
        <v>0</v>
      </c>
      <c r="T2184" s="98">
        <f t="shared" si="133"/>
        <v>0</v>
      </c>
      <c r="U2184" s="99" t="str">
        <f>IFERROR(IF(#REF!="S",VLOOKUP('Raw Data'!A2184,References!#REF!,2,FALSE),(VLOOKUP($S2184,References!$B$3:$C$8,2,FALSE))),"")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4"/>
        <v>0</v>
      </c>
      <c r="T2185" s="98">
        <f t="shared" si="133"/>
        <v>0</v>
      </c>
      <c r="U2185" s="99" t="str">
        <f>IFERROR(IF(#REF!="S",VLOOKUP('Raw Data'!A2185,References!#REF!,2,FALSE),(VLOOKUP($S2185,References!$B$3:$C$8,2,FALSE))),"")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4"/>
        <v>0</v>
      </c>
      <c r="T2186" s="98">
        <f t="shared" si="133"/>
        <v>0</v>
      </c>
      <c r="U2186" s="99" t="str">
        <f>IFERROR(IF(#REF!="S",VLOOKUP('Raw Data'!A2186,References!#REF!,2,FALSE),(VLOOKUP($S2186,References!$B$3:$C$8,2,FALSE))),"")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4"/>
        <v>0</v>
      </c>
      <c r="T2187" s="98">
        <f t="shared" si="133"/>
        <v>0</v>
      </c>
      <c r="U2187" s="99" t="str">
        <f>IFERROR(IF(#REF!="S",VLOOKUP('Raw Data'!A2187,References!#REF!,2,FALSE),(VLOOKUP($S2187,References!$B$3:$C$8,2,FALSE))),"")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4"/>
        <v>0</v>
      </c>
      <c r="T2188" s="98">
        <f t="shared" si="133"/>
        <v>0</v>
      </c>
      <c r="U2188" s="99" t="str">
        <f>IFERROR(IF(#REF!="S",VLOOKUP('Raw Data'!A2188,References!#REF!,2,FALSE),(VLOOKUP($S2188,References!$B$3:$C$8,2,FALSE))),"")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4"/>
        <v>0</v>
      </c>
      <c r="T2189" s="98">
        <f t="shared" si="133"/>
        <v>0</v>
      </c>
      <c r="U2189" s="99" t="str">
        <f>IFERROR(IF(#REF!="S",VLOOKUP('Raw Data'!A2189,References!#REF!,2,FALSE),(VLOOKUP($S2189,References!$B$3:$C$8,2,FALSE))),"")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4"/>
        <v>0</v>
      </c>
      <c r="T2190" s="98">
        <f t="shared" si="133"/>
        <v>0</v>
      </c>
      <c r="U2190" s="99" t="str">
        <f>IFERROR(IF(#REF!="S",VLOOKUP('Raw Data'!A2190,References!#REF!,2,FALSE),(VLOOKUP($S2190,References!$B$3:$C$8,2,FALSE))),"")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4"/>
        <v>0</v>
      </c>
      <c r="T2191" s="98">
        <f t="shared" si="133"/>
        <v>0</v>
      </c>
      <c r="U2191" s="99" t="str">
        <f>IFERROR(IF(#REF!="S",VLOOKUP('Raw Data'!A2191,References!#REF!,2,FALSE),(VLOOKUP($S2191,References!$B$3:$C$8,2,FALSE))),"")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4"/>
        <v>0</v>
      </c>
      <c r="T2192" s="98">
        <f t="shared" ref="T2192:T2255" si="135">IF(S2192="50 - Cleaning Fee",1,HOUR($R2192)+MINUTE(R2192)/60)</f>
        <v>0</v>
      </c>
      <c r="U2192" s="99" t="str">
        <f>IFERROR(IF(#REF!="S",VLOOKUP('Raw Data'!A2192,References!#REF!,2,FALSE),(VLOOKUP($S2192,References!$B$3:$C$8,2,FALSE))),"")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4"/>
        <v>0</v>
      </c>
      <c r="T2193" s="98">
        <f t="shared" si="135"/>
        <v>0</v>
      </c>
      <c r="U2193" s="99" t="str">
        <f>IFERROR(IF(#REF!="S",VLOOKUP('Raw Data'!A2193,References!#REF!,2,FALSE),(VLOOKUP($S2193,References!$B$3:$C$8,2,FALSE))),"")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4"/>
        <v>0</v>
      </c>
      <c r="T2194" s="98">
        <f t="shared" si="135"/>
        <v>0</v>
      </c>
      <c r="U2194" s="99" t="str">
        <f>IFERROR(IF(#REF!="S",VLOOKUP('Raw Data'!A2194,References!#REF!,2,FALSE),(VLOOKUP($S2194,References!$B$3:$C$8,2,FALSE))),"")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4"/>
        <v>0</v>
      </c>
      <c r="T2195" s="98">
        <f t="shared" si="135"/>
        <v>0</v>
      </c>
      <c r="U2195" s="99" t="str">
        <f>IFERROR(IF(#REF!="S",VLOOKUP('Raw Data'!A2195,References!#REF!,2,FALSE),(VLOOKUP($S2195,References!$B$3:$C$8,2,FALSE))),"")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4"/>
        <v>0</v>
      </c>
      <c r="T2196" s="98">
        <f t="shared" si="135"/>
        <v>0</v>
      </c>
      <c r="U2196" s="99" t="str">
        <f>IFERROR(IF(#REF!="S",VLOOKUP('Raw Data'!A2196,References!#REF!,2,FALSE),(VLOOKUP($S2196,References!$B$3:$C$8,2,FALSE))),"")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4"/>
        <v>0</v>
      </c>
      <c r="T2197" s="98">
        <f t="shared" si="135"/>
        <v>0</v>
      </c>
      <c r="U2197" s="99" t="str">
        <f>IFERROR(IF(#REF!="S",VLOOKUP('Raw Data'!A2197,References!#REF!,2,FALSE),(VLOOKUP($S2197,References!$B$3:$C$8,2,FALSE))),"")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4"/>
        <v>0</v>
      </c>
      <c r="T2198" s="98">
        <f t="shared" si="135"/>
        <v>0</v>
      </c>
      <c r="U2198" s="99" t="str">
        <f>IFERROR(IF(#REF!="S",VLOOKUP('Raw Data'!A2198,References!#REF!,2,FALSE),(VLOOKUP($S2198,References!$B$3:$C$8,2,FALSE))),"")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4"/>
        <v>0</v>
      </c>
      <c r="T2199" s="98">
        <f t="shared" si="135"/>
        <v>0</v>
      </c>
      <c r="U2199" s="99" t="str">
        <f>IFERROR(IF(#REF!="S",VLOOKUP('Raw Data'!A2199,References!#REF!,2,FALSE),(VLOOKUP($S2199,References!$B$3:$C$8,2,FALSE))),"")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4"/>
        <v>0</v>
      </c>
      <c r="T2200" s="98">
        <f t="shared" si="135"/>
        <v>0</v>
      </c>
      <c r="U2200" s="99" t="str">
        <f>IFERROR(IF(#REF!="S",VLOOKUP('Raw Data'!A2200,References!#REF!,2,FALSE),(VLOOKUP($S2200,References!$B$3:$C$8,2,FALSE))),"")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4"/>
        <v>0</v>
      </c>
      <c r="T2201" s="98">
        <f t="shared" si="135"/>
        <v>0</v>
      </c>
      <c r="U2201" s="99" t="str">
        <f>IFERROR(IF(#REF!="S",VLOOKUP('Raw Data'!A2201,References!#REF!,2,FALSE),(VLOOKUP($S2201,References!$B$3:$C$8,2,FALSE))),"")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4"/>
        <v>0</v>
      </c>
      <c r="T2202" s="98">
        <f t="shared" si="135"/>
        <v>0</v>
      </c>
      <c r="U2202" s="99" t="str">
        <f>IFERROR(IF(#REF!="S",VLOOKUP('Raw Data'!A2202,References!#REF!,2,FALSE),(VLOOKUP($S2202,References!$B$3:$C$8,2,FALSE))),"")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4"/>
        <v>0</v>
      </c>
      <c r="T2203" s="98">
        <f t="shared" si="135"/>
        <v>0</v>
      </c>
      <c r="U2203" s="99" t="str">
        <f>IFERROR(IF(#REF!="S",VLOOKUP('Raw Data'!A2203,References!#REF!,2,FALSE),(VLOOKUP($S2203,References!$B$3:$C$8,2,FALSE))),"")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4"/>
        <v>0</v>
      </c>
      <c r="T2204" s="98">
        <f t="shared" si="135"/>
        <v>0</v>
      </c>
      <c r="U2204" s="99" t="str">
        <f>IFERROR(IF(#REF!="S",VLOOKUP('Raw Data'!A2204,References!#REF!,2,FALSE),(VLOOKUP($S2204,References!$B$3:$C$8,2,FALSE))),"")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4"/>
        <v>0</v>
      </c>
      <c r="T2205" s="98">
        <f t="shared" si="135"/>
        <v>0</v>
      </c>
      <c r="U2205" s="99" t="str">
        <f>IFERROR(IF(#REF!="S",VLOOKUP('Raw Data'!A2205,References!#REF!,2,FALSE),(VLOOKUP($S2205,References!$B$3:$C$8,2,FALSE))),"")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4"/>
        <v>0</v>
      </c>
      <c r="T2206" s="98">
        <f t="shared" si="135"/>
        <v>0</v>
      </c>
      <c r="U2206" s="99" t="str">
        <f>IFERROR(IF(#REF!="S",VLOOKUP('Raw Data'!A2206,References!#REF!,2,FALSE),(VLOOKUP($S2206,References!$B$3:$C$8,2,FALSE))),"")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4"/>
        <v>0</v>
      </c>
      <c r="T2207" s="98">
        <f t="shared" si="135"/>
        <v>0</v>
      </c>
      <c r="U2207" s="99" t="str">
        <f>IFERROR(IF(#REF!="S",VLOOKUP('Raw Data'!A2207,References!#REF!,2,FALSE),(VLOOKUP($S2207,References!$B$3:$C$8,2,FALSE))),"")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4"/>
        <v>0</v>
      </c>
      <c r="T2208" s="98">
        <f t="shared" si="135"/>
        <v>0</v>
      </c>
      <c r="U2208" s="99" t="str">
        <f>IFERROR(IF(#REF!="S",VLOOKUP('Raw Data'!A2208,References!#REF!,2,FALSE),(VLOOKUP($S2208,References!$B$3:$C$8,2,FALSE))),"")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4"/>
        <v>0</v>
      </c>
      <c r="T2209" s="98">
        <f t="shared" si="135"/>
        <v>0</v>
      </c>
      <c r="U2209" s="99" t="str">
        <f>IFERROR(IF(#REF!="S",VLOOKUP('Raw Data'!A2209,References!#REF!,2,FALSE),(VLOOKUP($S2209,References!$B$3:$C$8,2,FALSE))),"")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4"/>
        <v>0</v>
      </c>
      <c r="T2210" s="98">
        <f t="shared" si="135"/>
        <v>0</v>
      </c>
      <c r="U2210" s="99" t="str">
        <f>IFERROR(IF(#REF!="S",VLOOKUP('Raw Data'!A2210,References!#REF!,2,FALSE),(VLOOKUP($S2210,References!$B$3:$C$8,2,FALSE))),"")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4"/>
        <v>0</v>
      </c>
      <c r="T2211" s="98">
        <f t="shared" si="135"/>
        <v>0</v>
      </c>
      <c r="U2211" s="99" t="str">
        <f>IFERROR(IF(#REF!="S",VLOOKUP('Raw Data'!A2211,References!#REF!,2,FALSE),(VLOOKUP($S2211,References!$B$3:$C$8,2,FALSE))),"")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4"/>
        <v>0</v>
      </c>
      <c r="T2212" s="98">
        <f t="shared" si="135"/>
        <v>0</v>
      </c>
      <c r="U2212" s="99" t="str">
        <f>IFERROR(IF(#REF!="S",VLOOKUP('Raw Data'!A2212,References!#REF!,2,FALSE),(VLOOKUP($S2212,References!$B$3:$C$8,2,FALSE))),"")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4"/>
        <v>0</v>
      </c>
      <c r="T2213" s="98">
        <f t="shared" si="135"/>
        <v>0</v>
      </c>
      <c r="U2213" s="99" t="str">
        <f>IFERROR(IF(#REF!="S",VLOOKUP('Raw Data'!A2213,References!#REF!,2,FALSE),(VLOOKUP($S2213,References!$B$3:$C$8,2,FALSE))),"")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4"/>
        <v>0</v>
      </c>
      <c r="T2214" s="98">
        <f t="shared" si="135"/>
        <v>0</v>
      </c>
      <c r="U2214" s="99" t="str">
        <f>IFERROR(IF(#REF!="S",VLOOKUP('Raw Data'!A2214,References!#REF!,2,FALSE),(VLOOKUP($S2214,References!$B$3:$C$8,2,FALSE))),"")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4"/>
        <v>0</v>
      </c>
      <c r="T2215" s="98">
        <f t="shared" si="135"/>
        <v>0</v>
      </c>
      <c r="U2215" s="99" t="str">
        <f>IFERROR(IF(#REF!="S",VLOOKUP('Raw Data'!A2215,References!#REF!,2,FALSE),(VLOOKUP($S2215,References!$B$3:$C$8,2,FALSE))),"")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4"/>
        <v>0</v>
      </c>
      <c r="T2216" s="98">
        <f t="shared" si="135"/>
        <v>0</v>
      </c>
      <c r="U2216" s="99" t="str">
        <f>IFERROR(IF(#REF!="S",VLOOKUP('Raw Data'!A2216,References!#REF!,2,FALSE),(VLOOKUP($S2216,References!$B$3:$C$8,2,FALSE))),"")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4"/>
        <v>0</v>
      </c>
      <c r="T2217" s="98">
        <f t="shared" si="135"/>
        <v>0</v>
      </c>
      <c r="U2217" s="99" t="str">
        <f>IFERROR(IF(#REF!="S",VLOOKUP('Raw Data'!A2217,References!#REF!,2,FALSE),(VLOOKUP($S2217,References!$B$3:$C$8,2,FALSE))),"")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4"/>
        <v>0</v>
      </c>
      <c r="T2218" s="98">
        <f t="shared" si="135"/>
        <v>0</v>
      </c>
      <c r="U2218" s="99" t="str">
        <f>IFERROR(IF(#REF!="S",VLOOKUP('Raw Data'!A2218,References!#REF!,2,FALSE),(VLOOKUP($S2218,References!$B$3:$C$8,2,FALSE))),"")</f>
        <v/>
      </c>
      <c r="W2218" s="66" t="str">
        <f>IFERROR(VLOOKUP($O2218,'Customer List'!$A$1:$J$488,10,FALSE),"")</f>
        <v/>
      </c>
    </row>
    <row r="2219" spans="18:23">
      <c r="R2219" s="97">
        <f t="shared" si="134"/>
        <v>0</v>
      </c>
      <c r="T2219" s="98">
        <f t="shared" si="135"/>
        <v>0</v>
      </c>
      <c r="U2219" s="99" t="str">
        <f>IFERROR(IF(#REF!="S",VLOOKUP('Raw Data'!A2219,References!#REF!,2,FALSE),(VLOOKUP($S2219,References!$B$3:$C$8,2,FALSE))),"")</f>
        <v/>
      </c>
      <c r="W2219" s="66" t="str">
        <f>IFERROR(VLOOKUP($O2219,'Customer List'!$A$1:$J$488,10,FALSE),"")</f>
        <v/>
      </c>
    </row>
    <row r="2220" spans="18:23">
      <c r="R2220" s="97">
        <f t="shared" ref="R2220:R2283" si="136">L2220-K2220</f>
        <v>0</v>
      </c>
      <c r="T2220" s="98">
        <f t="shared" si="135"/>
        <v>0</v>
      </c>
      <c r="U2220" s="99" t="str">
        <f>IFERROR(IF(#REF!="S",VLOOKUP('Raw Data'!A2220,References!#REF!,2,FALSE),(VLOOKUP($S2220,References!$B$3:$C$8,2,FALSE))),"")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6"/>
        <v>0</v>
      </c>
      <c r="T2221" s="98">
        <f t="shared" si="135"/>
        <v>0</v>
      </c>
      <c r="U2221" s="99" t="str">
        <f>IFERROR(IF(#REF!="S",VLOOKUP('Raw Data'!A2221,References!#REF!,2,FALSE),(VLOOKUP($S2221,References!$B$3:$C$8,2,FALSE))),"")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6"/>
        <v>0</v>
      </c>
      <c r="T2222" s="98">
        <f t="shared" si="135"/>
        <v>0</v>
      </c>
      <c r="U2222" s="99" t="str">
        <f>IFERROR(IF(#REF!="S",VLOOKUP('Raw Data'!A2222,References!#REF!,2,FALSE),(VLOOKUP($S2222,References!$B$3:$C$8,2,FALSE))),"")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6"/>
        <v>0</v>
      </c>
      <c r="T2223" s="98">
        <f t="shared" si="135"/>
        <v>0</v>
      </c>
      <c r="U2223" s="99" t="str">
        <f>IFERROR(IF(#REF!="S",VLOOKUP('Raw Data'!A2223,References!#REF!,2,FALSE),(VLOOKUP($S2223,References!$B$3:$C$8,2,FALSE))),"")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6"/>
        <v>0</v>
      </c>
      <c r="T2224" s="98">
        <f t="shared" si="135"/>
        <v>0</v>
      </c>
      <c r="U2224" s="99" t="str">
        <f>IFERROR(IF(#REF!="S",VLOOKUP('Raw Data'!A2224,References!#REF!,2,FALSE),(VLOOKUP($S2224,References!$B$3:$C$8,2,FALSE))),"")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6"/>
        <v>0</v>
      </c>
      <c r="T2225" s="98">
        <f t="shared" si="135"/>
        <v>0</v>
      </c>
      <c r="U2225" s="99" t="str">
        <f>IFERROR(IF(#REF!="S",VLOOKUP('Raw Data'!A2225,References!#REF!,2,FALSE),(VLOOKUP($S2225,References!$B$3:$C$8,2,FALSE))),"")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6"/>
        <v>0</v>
      </c>
      <c r="T2226" s="98">
        <f t="shared" si="135"/>
        <v>0</v>
      </c>
      <c r="U2226" s="99" t="str">
        <f>IFERROR(IF(#REF!="S",VLOOKUP('Raw Data'!A2226,References!#REF!,2,FALSE),(VLOOKUP($S2226,References!$B$3:$C$8,2,FALSE))),"")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6"/>
        <v>0</v>
      </c>
      <c r="T2227" s="98">
        <f t="shared" si="135"/>
        <v>0</v>
      </c>
      <c r="U2227" s="99" t="str">
        <f>IFERROR(IF(#REF!="S",VLOOKUP('Raw Data'!A2227,References!#REF!,2,FALSE),(VLOOKUP($S2227,References!$B$3:$C$8,2,FALSE))),"")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6"/>
        <v>0</v>
      </c>
      <c r="T2228" s="98">
        <f t="shared" si="135"/>
        <v>0</v>
      </c>
      <c r="U2228" s="99" t="str">
        <f>IFERROR(IF(#REF!="S",VLOOKUP('Raw Data'!A2228,References!#REF!,2,FALSE),(VLOOKUP($S2228,References!$B$3:$C$8,2,FALSE))),"")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6"/>
        <v>0</v>
      </c>
      <c r="T2229" s="98">
        <f t="shared" si="135"/>
        <v>0</v>
      </c>
      <c r="U2229" s="99" t="str">
        <f>IFERROR(IF(#REF!="S",VLOOKUP('Raw Data'!A2229,References!#REF!,2,FALSE),(VLOOKUP($S2229,References!$B$3:$C$8,2,FALSE))),"")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6"/>
        <v>0</v>
      </c>
      <c r="T2230" s="98">
        <f t="shared" si="135"/>
        <v>0</v>
      </c>
      <c r="U2230" s="99" t="str">
        <f>IFERROR(IF(#REF!="S",VLOOKUP('Raw Data'!A2230,References!#REF!,2,FALSE),(VLOOKUP($S2230,References!$B$3:$C$8,2,FALSE))),"")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6"/>
        <v>0</v>
      </c>
      <c r="T2231" s="98">
        <f t="shared" si="135"/>
        <v>0</v>
      </c>
      <c r="U2231" s="99" t="str">
        <f>IFERROR(IF(#REF!="S",VLOOKUP('Raw Data'!A2231,References!#REF!,2,FALSE),(VLOOKUP($S2231,References!$B$3:$C$8,2,FALSE))),"")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6"/>
        <v>0</v>
      </c>
      <c r="T2232" s="98">
        <f t="shared" si="135"/>
        <v>0</v>
      </c>
      <c r="U2232" s="99" t="str">
        <f>IFERROR(IF(#REF!="S",VLOOKUP('Raw Data'!A2232,References!#REF!,2,FALSE),(VLOOKUP($S2232,References!$B$3:$C$8,2,FALSE))),"")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6"/>
        <v>0</v>
      </c>
      <c r="T2233" s="98">
        <f t="shared" si="135"/>
        <v>0</v>
      </c>
      <c r="U2233" s="99" t="str">
        <f>IFERROR(IF(#REF!="S",VLOOKUP('Raw Data'!A2233,References!#REF!,2,FALSE),(VLOOKUP($S2233,References!$B$3:$C$8,2,FALSE))),"")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6"/>
        <v>0</v>
      </c>
      <c r="T2234" s="98">
        <f t="shared" si="135"/>
        <v>0</v>
      </c>
      <c r="U2234" s="99" t="str">
        <f>IFERROR(IF(#REF!="S",VLOOKUP('Raw Data'!A2234,References!#REF!,2,FALSE),(VLOOKUP($S2234,References!$B$3:$C$8,2,FALSE))),"")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6"/>
        <v>0</v>
      </c>
      <c r="T2235" s="98">
        <f t="shared" si="135"/>
        <v>0</v>
      </c>
      <c r="U2235" s="99" t="str">
        <f>IFERROR(IF(#REF!="S",VLOOKUP('Raw Data'!A2235,References!#REF!,2,FALSE),(VLOOKUP($S2235,References!$B$3:$C$8,2,FALSE))),"")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6"/>
        <v>0</v>
      </c>
      <c r="T2236" s="98">
        <f t="shared" si="135"/>
        <v>0</v>
      </c>
      <c r="U2236" s="99" t="str">
        <f>IFERROR(IF(#REF!="S",VLOOKUP('Raw Data'!A2236,References!#REF!,2,FALSE),(VLOOKUP($S2236,References!$B$3:$C$8,2,FALSE))),"")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6"/>
        <v>0</v>
      </c>
      <c r="T2237" s="98">
        <f t="shared" si="135"/>
        <v>0</v>
      </c>
      <c r="U2237" s="99" t="str">
        <f>IFERROR(IF(#REF!="S",VLOOKUP('Raw Data'!A2237,References!#REF!,2,FALSE),(VLOOKUP($S2237,References!$B$3:$C$8,2,FALSE))),"")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6"/>
        <v>0</v>
      </c>
      <c r="T2238" s="98">
        <f t="shared" si="135"/>
        <v>0</v>
      </c>
      <c r="U2238" s="99" t="str">
        <f>IFERROR(IF(#REF!="S",VLOOKUP('Raw Data'!A2238,References!#REF!,2,FALSE),(VLOOKUP($S2238,References!$B$3:$C$8,2,FALSE))),"")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6"/>
        <v>0</v>
      </c>
      <c r="T2239" s="98">
        <f t="shared" si="135"/>
        <v>0</v>
      </c>
      <c r="U2239" s="99" t="str">
        <f>IFERROR(IF(#REF!="S",VLOOKUP('Raw Data'!A2239,References!#REF!,2,FALSE),(VLOOKUP($S2239,References!$B$3:$C$8,2,FALSE))),"")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6"/>
        <v>0</v>
      </c>
      <c r="T2240" s="98">
        <f t="shared" si="135"/>
        <v>0</v>
      </c>
      <c r="U2240" s="99" t="str">
        <f>IFERROR(IF(#REF!="S",VLOOKUP('Raw Data'!A2240,References!#REF!,2,FALSE),(VLOOKUP($S2240,References!$B$3:$C$8,2,FALSE))),"")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6"/>
        <v>0</v>
      </c>
      <c r="T2241" s="98">
        <f t="shared" si="135"/>
        <v>0</v>
      </c>
      <c r="U2241" s="99" t="str">
        <f>IFERROR(IF(#REF!="S",VLOOKUP('Raw Data'!A2241,References!#REF!,2,FALSE),(VLOOKUP($S2241,References!$B$3:$C$8,2,FALSE))),"")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6"/>
        <v>0</v>
      </c>
      <c r="T2242" s="98">
        <f t="shared" si="135"/>
        <v>0</v>
      </c>
      <c r="U2242" s="99" t="str">
        <f>IFERROR(IF(#REF!="S",VLOOKUP('Raw Data'!A2242,References!#REF!,2,FALSE),(VLOOKUP($S2242,References!$B$3:$C$8,2,FALSE))),"")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6"/>
        <v>0</v>
      </c>
      <c r="T2243" s="98">
        <f t="shared" si="135"/>
        <v>0</v>
      </c>
      <c r="U2243" s="99" t="str">
        <f>IFERROR(IF(#REF!="S",VLOOKUP('Raw Data'!A2243,References!#REF!,2,FALSE),(VLOOKUP($S2243,References!$B$3:$C$8,2,FALSE))),"")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6"/>
        <v>0</v>
      </c>
      <c r="T2244" s="98">
        <f t="shared" si="135"/>
        <v>0</v>
      </c>
      <c r="U2244" s="99" t="str">
        <f>IFERROR(IF(#REF!="S",VLOOKUP('Raw Data'!A2244,References!#REF!,2,FALSE),(VLOOKUP($S2244,References!$B$3:$C$8,2,FALSE))),"")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6"/>
        <v>0</v>
      </c>
      <c r="T2245" s="98">
        <f t="shared" si="135"/>
        <v>0</v>
      </c>
      <c r="U2245" s="99" t="str">
        <f>IFERROR(IF(#REF!="S",VLOOKUP('Raw Data'!A2245,References!#REF!,2,FALSE),(VLOOKUP($S2245,References!$B$3:$C$8,2,FALSE))),"")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6"/>
        <v>0</v>
      </c>
      <c r="T2246" s="98">
        <f t="shared" si="135"/>
        <v>0</v>
      </c>
      <c r="U2246" s="99" t="str">
        <f>IFERROR(IF(#REF!="S",VLOOKUP('Raw Data'!A2246,References!#REF!,2,FALSE),(VLOOKUP($S2246,References!$B$3:$C$8,2,FALSE))),"")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6"/>
        <v>0</v>
      </c>
      <c r="T2247" s="98">
        <f t="shared" si="135"/>
        <v>0</v>
      </c>
      <c r="U2247" s="99" t="str">
        <f>IFERROR(IF(#REF!="S",VLOOKUP('Raw Data'!A2247,References!#REF!,2,FALSE),(VLOOKUP($S2247,References!$B$3:$C$8,2,FALSE))),"")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6"/>
        <v>0</v>
      </c>
      <c r="T2248" s="98">
        <f t="shared" si="135"/>
        <v>0</v>
      </c>
      <c r="U2248" s="99" t="str">
        <f>IFERROR(IF(#REF!="S",VLOOKUP('Raw Data'!A2248,References!#REF!,2,FALSE),(VLOOKUP($S2248,References!$B$3:$C$8,2,FALSE))),"")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6"/>
        <v>0</v>
      </c>
      <c r="T2249" s="98">
        <f t="shared" si="135"/>
        <v>0</v>
      </c>
      <c r="U2249" s="99" t="str">
        <f>IFERROR(IF(#REF!="S",VLOOKUP('Raw Data'!A2249,References!#REF!,2,FALSE),(VLOOKUP($S2249,References!$B$3:$C$8,2,FALSE))),"")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6"/>
        <v>0</v>
      </c>
      <c r="T2250" s="98">
        <f t="shared" si="135"/>
        <v>0</v>
      </c>
      <c r="U2250" s="99" t="str">
        <f>IFERROR(IF(#REF!="S",VLOOKUP('Raw Data'!A2250,References!#REF!,2,FALSE),(VLOOKUP($S2250,References!$B$3:$C$8,2,FALSE))),"")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6"/>
        <v>0</v>
      </c>
      <c r="T2251" s="98">
        <f t="shared" si="135"/>
        <v>0</v>
      </c>
      <c r="U2251" s="99" t="str">
        <f>IFERROR(IF(#REF!="S",VLOOKUP('Raw Data'!A2251,References!#REF!,2,FALSE),(VLOOKUP($S2251,References!$B$3:$C$8,2,FALSE))),"")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6"/>
        <v>0</v>
      </c>
      <c r="T2252" s="98">
        <f t="shared" si="135"/>
        <v>0</v>
      </c>
      <c r="U2252" s="99" t="str">
        <f>IFERROR(IF(#REF!="S",VLOOKUP('Raw Data'!A2252,References!#REF!,2,FALSE),(VLOOKUP($S2252,References!$B$3:$C$8,2,FALSE))),"")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6"/>
        <v>0</v>
      </c>
      <c r="T2253" s="98">
        <f t="shared" si="135"/>
        <v>0</v>
      </c>
      <c r="U2253" s="99" t="str">
        <f>IFERROR(IF(#REF!="S",VLOOKUP('Raw Data'!A2253,References!#REF!,2,FALSE),(VLOOKUP($S2253,References!$B$3:$C$8,2,FALSE))),"")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6"/>
        <v>0</v>
      </c>
      <c r="T2254" s="98">
        <f t="shared" si="135"/>
        <v>0</v>
      </c>
      <c r="U2254" s="99" t="str">
        <f>IFERROR(IF(#REF!="S",VLOOKUP('Raw Data'!A2254,References!#REF!,2,FALSE),(VLOOKUP($S2254,References!$B$3:$C$8,2,FALSE))),"")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6"/>
        <v>0</v>
      </c>
      <c r="T2255" s="98">
        <f t="shared" si="135"/>
        <v>0</v>
      </c>
      <c r="U2255" s="99" t="str">
        <f>IFERROR(IF(#REF!="S",VLOOKUP('Raw Data'!A2255,References!#REF!,2,FALSE),(VLOOKUP($S2255,References!$B$3:$C$8,2,FALSE))),"")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6"/>
        <v>0</v>
      </c>
      <c r="T2256" s="98">
        <f t="shared" ref="T2256:T2319" si="137">IF(S2256="50 - Cleaning Fee",1,HOUR($R2256)+MINUTE(R2256)/60)</f>
        <v>0</v>
      </c>
      <c r="U2256" s="99" t="str">
        <f>IFERROR(IF(#REF!="S",VLOOKUP('Raw Data'!A2256,References!#REF!,2,FALSE),(VLOOKUP($S2256,References!$B$3:$C$8,2,FALSE))),"")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6"/>
        <v>0</v>
      </c>
      <c r="T2257" s="98">
        <f t="shared" si="137"/>
        <v>0</v>
      </c>
      <c r="U2257" s="99" t="str">
        <f>IFERROR(IF(#REF!="S",VLOOKUP('Raw Data'!A2257,References!#REF!,2,FALSE),(VLOOKUP($S2257,References!$B$3:$C$8,2,FALSE))),"")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6"/>
        <v>0</v>
      </c>
      <c r="T2258" s="98">
        <f t="shared" si="137"/>
        <v>0</v>
      </c>
      <c r="U2258" s="99" t="str">
        <f>IFERROR(IF(#REF!="S",VLOOKUP('Raw Data'!A2258,References!#REF!,2,FALSE),(VLOOKUP($S2258,References!$B$3:$C$8,2,FALSE))),"")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6"/>
        <v>0</v>
      </c>
      <c r="T2259" s="98">
        <f t="shared" si="137"/>
        <v>0</v>
      </c>
      <c r="U2259" s="99" t="str">
        <f>IFERROR(IF(#REF!="S",VLOOKUP('Raw Data'!A2259,References!#REF!,2,FALSE),(VLOOKUP($S2259,References!$B$3:$C$8,2,FALSE))),"")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6"/>
        <v>0</v>
      </c>
      <c r="T2260" s="98">
        <f t="shared" si="137"/>
        <v>0</v>
      </c>
      <c r="U2260" s="99" t="str">
        <f>IFERROR(IF(#REF!="S",VLOOKUP('Raw Data'!A2260,References!#REF!,2,FALSE),(VLOOKUP($S2260,References!$B$3:$C$8,2,FALSE))),"")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6"/>
        <v>0</v>
      </c>
      <c r="T2261" s="98">
        <f t="shared" si="137"/>
        <v>0</v>
      </c>
      <c r="U2261" s="99" t="str">
        <f>IFERROR(IF(#REF!="S",VLOOKUP('Raw Data'!A2261,References!#REF!,2,FALSE),(VLOOKUP($S2261,References!$B$3:$C$8,2,FALSE))),"")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6"/>
        <v>0</v>
      </c>
      <c r="T2262" s="98">
        <f t="shared" si="137"/>
        <v>0</v>
      </c>
      <c r="U2262" s="99" t="str">
        <f>IFERROR(IF(#REF!="S",VLOOKUP('Raw Data'!A2262,References!#REF!,2,FALSE),(VLOOKUP($S2262,References!$B$3:$C$8,2,FALSE))),"")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6"/>
        <v>0</v>
      </c>
      <c r="T2263" s="98">
        <f t="shared" si="137"/>
        <v>0</v>
      </c>
      <c r="U2263" s="99" t="str">
        <f>IFERROR(IF(#REF!="S",VLOOKUP('Raw Data'!A2263,References!#REF!,2,FALSE),(VLOOKUP($S2263,References!$B$3:$C$8,2,FALSE))),"")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6"/>
        <v>0</v>
      </c>
      <c r="T2264" s="98">
        <f t="shared" si="137"/>
        <v>0</v>
      </c>
      <c r="U2264" s="99" t="str">
        <f>IFERROR(IF(#REF!="S",VLOOKUP('Raw Data'!A2264,References!#REF!,2,FALSE),(VLOOKUP($S2264,References!$B$3:$C$8,2,FALSE))),"")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6"/>
        <v>0</v>
      </c>
      <c r="T2265" s="98">
        <f t="shared" si="137"/>
        <v>0</v>
      </c>
      <c r="U2265" s="99" t="str">
        <f>IFERROR(IF(#REF!="S",VLOOKUP('Raw Data'!A2265,References!#REF!,2,FALSE),(VLOOKUP($S2265,References!$B$3:$C$8,2,FALSE))),"")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6"/>
        <v>0</v>
      </c>
      <c r="T2266" s="98">
        <f t="shared" si="137"/>
        <v>0</v>
      </c>
      <c r="U2266" s="99" t="str">
        <f>IFERROR(IF(#REF!="S",VLOOKUP('Raw Data'!A2266,References!#REF!,2,FALSE),(VLOOKUP($S2266,References!$B$3:$C$8,2,FALSE))),"")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6"/>
        <v>0</v>
      </c>
      <c r="T2267" s="98">
        <f t="shared" si="137"/>
        <v>0</v>
      </c>
      <c r="U2267" s="99" t="str">
        <f>IFERROR(IF(#REF!="S",VLOOKUP('Raw Data'!A2267,References!#REF!,2,FALSE),(VLOOKUP($S2267,References!$B$3:$C$8,2,FALSE))),"")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6"/>
        <v>0</v>
      </c>
      <c r="T2268" s="98">
        <f t="shared" si="137"/>
        <v>0</v>
      </c>
      <c r="U2268" s="99" t="str">
        <f>IFERROR(IF(#REF!="S",VLOOKUP('Raw Data'!A2268,References!#REF!,2,FALSE),(VLOOKUP($S2268,References!$B$3:$C$8,2,FALSE))),"")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6"/>
        <v>0</v>
      </c>
      <c r="T2269" s="98">
        <f t="shared" si="137"/>
        <v>0</v>
      </c>
      <c r="U2269" s="99" t="str">
        <f>IFERROR(IF(#REF!="S",VLOOKUP('Raw Data'!A2269,References!#REF!,2,FALSE),(VLOOKUP($S2269,References!$B$3:$C$8,2,FALSE))),"")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6"/>
        <v>0</v>
      </c>
      <c r="T2270" s="98">
        <f t="shared" si="137"/>
        <v>0</v>
      </c>
      <c r="U2270" s="99" t="str">
        <f>IFERROR(IF(#REF!="S",VLOOKUP('Raw Data'!A2270,References!#REF!,2,FALSE),(VLOOKUP($S2270,References!$B$3:$C$8,2,FALSE))),"")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6"/>
        <v>0</v>
      </c>
      <c r="T2271" s="98">
        <f t="shared" si="137"/>
        <v>0</v>
      </c>
      <c r="U2271" s="99" t="str">
        <f>IFERROR(IF(#REF!="S",VLOOKUP('Raw Data'!A2271,References!#REF!,2,FALSE),(VLOOKUP($S2271,References!$B$3:$C$8,2,FALSE))),"")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6"/>
        <v>0</v>
      </c>
      <c r="T2272" s="98">
        <f t="shared" si="137"/>
        <v>0</v>
      </c>
      <c r="U2272" s="99" t="str">
        <f>IFERROR(IF(#REF!="S",VLOOKUP('Raw Data'!A2272,References!#REF!,2,FALSE),(VLOOKUP($S2272,References!$B$3:$C$8,2,FALSE))),"")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6"/>
        <v>0</v>
      </c>
      <c r="T2273" s="98">
        <f t="shared" si="137"/>
        <v>0</v>
      </c>
      <c r="U2273" s="99" t="str">
        <f>IFERROR(IF(#REF!="S",VLOOKUP('Raw Data'!A2273,References!#REF!,2,FALSE),(VLOOKUP($S2273,References!$B$3:$C$8,2,FALSE))),"")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6"/>
        <v>0</v>
      </c>
      <c r="T2274" s="98">
        <f t="shared" si="137"/>
        <v>0</v>
      </c>
      <c r="U2274" s="99" t="str">
        <f>IFERROR(IF(#REF!="S",VLOOKUP('Raw Data'!A2274,References!#REF!,2,FALSE),(VLOOKUP($S2274,References!$B$3:$C$8,2,FALSE))),"")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6"/>
        <v>0</v>
      </c>
      <c r="T2275" s="98">
        <f t="shared" si="137"/>
        <v>0</v>
      </c>
      <c r="U2275" s="99" t="str">
        <f>IFERROR(IF(#REF!="S",VLOOKUP('Raw Data'!A2275,References!#REF!,2,FALSE),(VLOOKUP($S2275,References!$B$3:$C$8,2,FALSE))),"")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6"/>
        <v>0</v>
      </c>
      <c r="T2276" s="98">
        <f t="shared" si="137"/>
        <v>0</v>
      </c>
      <c r="U2276" s="99" t="str">
        <f>IFERROR(IF(#REF!="S",VLOOKUP('Raw Data'!A2276,References!#REF!,2,FALSE),(VLOOKUP($S2276,References!$B$3:$C$8,2,FALSE))),"")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6"/>
        <v>0</v>
      </c>
      <c r="T2277" s="98">
        <f t="shared" si="137"/>
        <v>0</v>
      </c>
      <c r="U2277" s="99" t="str">
        <f>IFERROR(IF(#REF!="S",VLOOKUP('Raw Data'!A2277,References!#REF!,2,FALSE),(VLOOKUP($S2277,References!$B$3:$C$8,2,FALSE))),"")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6"/>
        <v>0</v>
      </c>
      <c r="T2278" s="98">
        <f t="shared" si="137"/>
        <v>0</v>
      </c>
      <c r="U2278" s="99" t="str">
        <f>IFERROR(IF(#REF!="S",VLOOKUP('Raw Data'!A2278,References!#REF!,2,FALSE),(VLOOKUP($S2278,References!$B$3:$C$8,2,FALSE))),"")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6"/>
        <v>0</v>
      </c>
      <c r="T2279" s="98">
        <f t="shared" si="137"/>
        <v>0</v>
      </c>
      <c r="U2279" s="99" t="str">
        <f>IFERROR(IF(#REF!="S",VLOOKUP('Raw Data'!A2279,References!#REF!,2,FALSE),(VLOOKUP($S2279,References!$B$3:$C$8,2,FALSE))),"")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6"/>
        <v>0</v>
      </c>
      <c r="T2280" s="98">
        <f t="shared" si="137"/>
        <v>0</v>
      </c>
      <c r="U2280" s="99" t="str">
        <f>IFERROR(IF(#REF!="S",VLOOKUP('Raw Data'!A2280,References!#REF!,2,FALSE),(VLOOKUP($S2280,References!$B$3:$C$8,2,FALSE))),"")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6"/>
        <v>0</v>
      </c>
      <c r="T2281" s="98">
        <f t="shared" si="137"/>
        <v>0</v>
      </c>
      <c r="U2281" s="99" t="str">
        <f>IFERROR(IF(#REF!="S",VLOOKUP('Raw Data'!A2281,References!#REF!,2,FALSE),(VLOOKUP($S2281,References!$B$3:$C$8,2,FALSE))),"")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6"/>
        <v>0</v>
      </c>
      <c r="T2282" s="98">
        <f t="shared" si="137"/>
        <v>0</v>
      </c>
      <c r="U2282" s="99" t="str">
        <f>IFERROR(IF(#REF!="S",VLOOKUP('Raw Data'!A2282,References!#REF!,2,FALSE),(VLOOKUP($S2282,References!$B$3:$C$8,2,FALSE))),"")</f>
        <v/>
      </c>
      <c r="W2282" s="66" t="str">
        <f>IFERROR(VLOOKUP($O2282,'Customer List'!$A$1:$J$488,10,FALSE),"")</f>
        <v/>
      </c>
    </row>
    <row r="2283" spans="18:23">
      <c r="R2283" s="97">
        <f t="shared" si="136"/>
        <v>0</v>
      </c>
      <c r="T2283" s="98">
        <f t="shared" si="137"/>
        <v>0</v>
      </c>
      <c r="U2283" s="99" t="str">
        <f>IFERROR(IF(#REF!="S",VLOOKUP('Raw Data'!A2283,References!#REF!,2,FALSE),(VLOOKUP($S2283,References!$B$3:$C$8,2,FALSE))),"")</f>
        <v/>
      </c>
      <c r="W2283" s="66" t="str">
        <f>IFERROR(VLOOKUP($O2283,'Customer List'!$A$1:$J$488,10,FALSE),"")</f>
        <v/>
      </c>
    </row>
    <row r="2284" spans="18:23">
      <c r="R2284" s="97">
        <f t="shared" ref="R2284:R2347" si="138">L2284-K2284</f>
        <v>0</v>
      </c>
      <c r="T2284" s="98">
        <f t="shared" si="137"/>
        <v>0</v>
      </c>
      <c r="U2284" s="99" t="str">
        <f>IFERROR(IF(#REF!="S",VLOOKUP('Raw Data'!A2284,References!#REF!,2,FALSE),(VLOOKUP($S2284,References!$B$3:$C$8,2,FALSE))),"")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38"/>
        <v>0</v>
      </c>
      <c r="T2285" s="98">
        <f t="shared" si="137"/>
        <v>0</v>
      </c>
      <c r="U2285" s="99" t="str">
        <f>IFERROR(IF(#REF!="S",VLOOKUP('Raw Data'!A2285,References!#REF!,2,FALSE),(VLOOKUP($S2285,References!$B$3:$C$8,2,FALSE))),"")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38"/>
        <v>0</v>
      </c>
      <c r="T2286" s="98">
        <f t="shared" si="137"/>
        <v>0</v>
      </c>
      <c r="U2286" s="99" t="str">
        <f>IFERROR(IF(#REF!="S",VLOOKUP('Raw Data'!A2286,References!#REF!,2,FALSE),(VLOOKUP($S2286,References!$B$3:$C$8,2,FALSE))),"")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38"/>
        <v>0</v>
      </c>
      <c r="T2287" s="98">
        <f t="shared" si="137"/>
        <v>0</v>
      </c>
      <c r="U2287" s="99" t="str">
        <f>IFERROR(IF(#REF!="S",VLOOKUP('Raw Data'!A2287,References!#REF!,2,FALSE),(VLOOKUP($S2287,References!$B$3:$C$8,2,FALSE))),"")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38"/>
        <v>0</v>
      </c>
      <c r="T2288" s="98">
        <f t="shared" si="137"/>
        <v>0</v>
      </c>
      <c r="U2288" s="99" t="str">
        <f>IFERROR(IF(#REF!="S",VLOOKUP('Raw Data'!A2288,References!#REF!,2,FALSE),(VLOOKUP($S2288,References!$B$3:$C$8,2,FALSE))),"")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38"/>
        <v>0</v>
      </c>
      <c r="T2289" s="98">
        <f t="shared" si="137"/>
        <v>0</v>
      </c>
      <c r="U2289" s="99" t="str">
        <f>IFERROR(IF(#REF!="S",VLOOKUP('Raw Data'!A2289,References!#REF!,2,FALSE),(VLOOKUP($S2289,References!$B$3:$C$8,2,FALSE))),"")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38"/>
        <v>0</v>
      </c>
      <c r="T2290" s="98">
        <f t="shared" si="137"/>
        <v>0</v>
      </c>
      <c r="U2290" s="99" t="str">
        <f>IFERROR(IF(#REF!="S",VLOOKUP('Raw Data'!A2290,References!#REF!,2,FALSE),(VLOOKUP($S2290,References!$B$3:$C$8,2,FALSE))),"")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38"/>
        <v>0</v>
      </c>
      <c r="T2291" s="98">
        <f t="shared" si="137"/>
        <v>0</v>
      </c>
      <c r="U2291" s="99" t="str">
        <f>IFERROR(IF(#REF!="S",VLOOKUP('Raw Data'!A2291,References!#REF!,2,FALSE),(VLOOKUP($S2291,References!$B$3:$C$8,2,FALSE))),"")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38"/>
        <v>0</v>
      </c>
      <c r="T2292" s="98">
        <f t="shared" si="137"/>
        <v>0</v>
      </c>
      <c r="U2292" s="99" t="str">
        <f>IFERROR(IF(#REF!="S",VLOOKUP('Raw Data'!A2292,References!#REF!,2,FALSE),(VLOOKUP($S2292,References!$B$3:$C$8,2,FALSE))),"")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38"/>
        <v>0</v>
      </c>
      <c r="T2293" s="98">
        <f t="shared" si="137"/>
        <v>0</v>
      </c>
      <c r="U2293" s="99" t="str">
        <f>IFERROR(IF(#REF!="S",VLOOKUP('Raw Data'!A2293,References!#REF!,2,FALSE),(VLOOKUP($S2293,References!$B$3:$C$8,2,FALSE))),"")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38"/>
        <v>0</v>
      </c>
      <c r="T2294" s="98">
        <f t="shared" si="137"/>
        <v>0</v>
      </c>
      <c r="U2294" s="99" t="str">
        <f>IFERROR(IF(#REF!="S",VLOOKUP('Raw Data'!A2294,References!#REF!,2,FALSE),(VLOOKUP($S2294,References!$B$3:$C$8,2,FALSE))),"")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38"/>
        <v>0</v>
      </c>
      <c r="T2295" s="98">
        <f t="shared" si="137"/>
        <v>0</v>
      </c>
      <c r="U2295" s="99" t="str">
        <f>IFERROR(IF(#REF!="S",VLOOKUP('Raw Data'!A2295,References!#REF!,2,FALSE),(VLOOKUP($S2295,References!$B$3:$C$8,2,FALSE))),"")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38"/>
        <v>0</v>
      </c>
      <c r="T2296" s="98">
        <f t="shared" si="137"/>
        <v>0</v>
      </c>
      <c r="U2296" s="99" t="str">
        <f>IFERROR(IF(#REF!="S",VLOOKUP('Raw Data'!A2296,References!#REF!,2,FALSE),(VLOOKUP($S2296,References!$B$3:$C$8,2,FALSE))),"")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38"/>
        <v>0</v>
      </c>
      <c r="T2297" s="98">
        <f t="shared" si="137"/>
        <v>0</v>
      </c>
      <c r="U2297" s="99" t="str">
        <f>IFERROR(IF(#REF!="S",VLOOKUP('Raw Data'!A2297,References!#REF!,2,FALSE),(VLOOKUP($S2297,References!$B$3:$C$8,2,FALSE))),"")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38"/>
        <v>0</v>
      </c>
      <c r="T2298" s="98">
        <f t="shared" si="137"/>
        <v>0</v>
      </c>
      <c r="U2298" s="99" t="str">
        <f>IFERROR(IF(#REF!="S",VLOOKUP('Raw Data'!A2298,References!#REF!,2,FALSE),(VLOOKUP($S2298,References!$B$3:$C$8,2,FALSE))),"")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38"/>
        <v>0</v>
      </c>
      <c r="T2299" s="98">
        <f t="shared" si="137"/>
        <v>0</v>
      </c>
      <c r="U2299" s="99" t="str">
        <f>IFERROR(IF(#REF!="S",VLOOKUP('Raw Data'!A2299,References!#REF!,2,FALSE),(VLOOKUP($S2299,References!$B$3:$C$8,2,FALSE))),"")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38"/>
        <v>0</v>
      </c>
      <c r="T2300" s="98">
        <f t="shared" si="137"/>
        <v>0</v>
      </c>
      <c r="U2300" s="99" t="str">
        <f>IFERROR(IF(#REF!="S",VLOOKUP('Raw Data'!A2300,References!#REF!,2,FALSE),(VLOOKUP($S2300,References!$B$3:$C$8,2,FALSE))),"")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38"/>
        <v>0</v>
      </c>
      <c r="T2301" s="98">
        <f t="shared" si="137"/>
        <v>0</v>
      </c>
      <c r="U2301" s="99" t="str">
        <f>IFERROR(IF(#REF!="S",VLOOKUP('Raw Data'!A2301,References!#REF!,2,FALSE),(VLOOKUP($S2301,References!$B$3:$C$8,2,FALSE))),"")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38"/>
        <v>0</v>
      </c>
      <c r="T2302" s="98">
        <f t="shared" si="137"/>
        <v>0</v>
      </c>
      <c r="U2302" s="99" t="str">
        <f>IFERROR(IF(#REF!="S",VLOOKUP('Raw Data'!A2302,References!#REF!,2,FALSE),(VLOOKUP($S2302,References!$B$3:$C$8,2,FALSE))),"")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38"/>
        <v>0</v>
      </c>
      <c r="T2303" s="98">
        <f t="shared" si="137"/>
        <v>0</v>
      </c>
      <c r="U2303" s="99" t="str">
        <f>IFERROR(IF(#REF!="S",VLOOKUP('Raw Data'!A2303,References!#REF!,2,FALSE),(VLOOKUP($S2303,References!$B$3:$C$8,2,FALSE))),"")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38"/>
        <v>0</v>
      </c>
      <c r="T2304" s="98">
        <f t="shared" si="137"/>
        <v>0</v>
      </c>
      <c r="U2304" s="99" t="str">
        <f>IFERROR(IF(#REF!="S",VLOOKUP('Raw Data'!A2304,References!#REF!,2,FALSE),(VLOOKUP($S2304,References!$B$3:$C$8,2,FALSE))),"")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38"/>
        <v>0</v>
      </c>
      <c r="T2305" s="98">
        <f t="shared" si="137"/>
        <v>0</v>
      </c>
      <c r="U2305" s="99" t="str">
        <f>IFERROR(IF(#REF!="S",VLOOKUP('Raw Data'!A2305,References!#REF!,2,FALSE),(VLOOKUP($S2305,References!$B$3:$C$8,2,FALSE))),"")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38"/>
        <v>0</v>
      </c>
      <c r="T2306" s="98">
        <f t="shared" si="137"/>
        <v>0</v>
      </c>
      <c r="U2306" s="99" t="str">
        <f>IFERROR(IF(#REF!="S",VLOOKUP('Raw Data'!A2306,References!#REF!,2,FALSE),(VLOOKUP($S2306,References!$B$3:$C$8,2,FALSE))),"")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38"/>
        <v>0</v>
      </c>
      <c r="T2307" s="98">
        <f t="shared" si="137"/>
        <v>0</v>
      </c>
      <c r="U2307" s="99" t="str">
        <f>IFERROR(IF(#REF!="S",VLOOKUP('Raw Data'!A2307,References!#REF!,2,FALSE),(VLOOKUP($S2307,References!$B$3:$C$8,2,FALSE))),"")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38"/>
        <v>0</v>
      </c>
      <c r="T2308" s="98">
        <f t="shared" si="137"/>
        <v>0</v>
      </c>
      <c r="U2308" s="99" t="str">
        <f>IFERROR(IF(#REF!="S",VLOOKUP('Raw Data'!A2308,References!#REF!,2,FALSE),(VLOOKUP($S2308,References!$B$3:$C$8,2,FALSE))),"")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38"/>
        <v>0</v>
      </c>
      <c r="T2309" s="98">
        <f t="shared" si="137"/>
        <v>0</v>
      </c>
      <c r="U2309" s="99" t="str">
        <f>IFERROR(IF(#REF!="S",VLOOKUP('Raw Data'!A2309,References!#REF!,2,FALSE),(VLOOKUP($S2309,References!$B$3:$C$8,2,FALSE))),"")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38"/>
        <v>0</v>
      </c>
      <c r="T2310" s="98">
        <f t="shared" si="137"/>
        <v>0</v>
      </c>
      <c r="U2310" s="99" t="str">
        <f>IFERROR(IF(#REF!="S",VLOOKUP('Raw Data'!A2310,References!#REF!,2,FALSE),(VLOOKUP($S2310,References!$B$3:$C$8,2,FALSE))),"")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38"/>
        <v>0</v>
      </c>
      <c r="T2311" s="98">
        <f t="shared" si="137"/>
        <v>0</v>
      </c>
      <c r="U2311" s="99" t="str">
        <f>IFERROR(IF(#REF!="S",VLOOKUP('Raw Data'!A2311,References!#REF!,2,FALSE),(VLOOKUP($S2311,References!$B$3:$C$8,2,FALSE))),"")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38"/>
        <v>0</v>
      </c>
      <c r="T2312" s="98">
        <f t="shared" si="137"/>
        <v>0</v>
      </c>
      <c r="U2312" s="99" t="str">
        <f>IFERROR(IF(#REF!="S",VLOOKUP('Raw Data'!A2312,References!#REF!,2,FALSE),(VLOOKUP($S2312,References!$B$3:$C$8,2,FALSE))),"")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38"/>
        <v>0</v>
      </c>
      <c r="T2313" s="98">
        <f t="shared" si="137"/>
        <v>0</v>
      </c>
      <c r="U2313" s="99" t="str">
        <f>IFERROR(IF(#REF!="S",VLOOKUP('Raw Data'!A2313,References!#REF!,2,FALSE),(VLOOKUP($S2313,References!$B$3:$C$8,2,FALSE))),"")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38"/>
        <v>0</v>
      </c>
      <c r="T2314" s="98">
        <f t="shared" si="137"/>
        <v>0</v>
      </c>
      <c r="U2314" s="99" t="str">
        <f>IFERROR(IF(#REF!="S",VLOOKUP('Raw Data'!A2314,References!#REF!,2,FALSE),(VLOOKUP($S2314,References!$B$3:$C$8,2,FALSE))),"")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38"/>
        <v>0</v>
      </c>
      <c r="T2315" s="98">
        <f t="shared" si="137"/>
        <v>0</v>
      </c>
      <c r="U2315" s="99" t="str">
        <f>IFERROR(IF(#REF!="S",VLOOKUP('Raw Data'!A2315,References!#REF!,2,FALSE),(VLOOKUP($S2315,References!$B$3:$C$8,2,FALSE))),"")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38"/>
        <v>0</v>
      </c>
      <c r="T2316" s="98">
        <f t="shared" si="137"/>
        <v>0</v>
      </c>
      <c r="U2316" s="99" t="str">
        <f>IFERROR(IF(#REF!="S",VLOOKUP('Raw Data'!A2316,References!#REF!,2,FALSE),(VLOOKUP($S2316,References!$B$3:$C$8,2,FALSE))),"")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38"/>
        <v>0</v>
      </c>
      <c r="T2317" s="98">
        <f t="shared" si="137"/>
        <v>0</v>
      </c>
      <c r="U2317" s="99" t="str">
        <f>IFERROR(IF(#REF!="S",VLOOKUP('Raw Data'!A2317,References!#REF!,2,FALSE),(VLOOKUP($S2317,References!$B$3:$C$8,2,FALSE))),"")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38"/>
        <v>0</v>
      </c>
      <c r="T2318" s="98">
        <f t="shared" si="137"/>
        <v>0</v>
      </c>
      <c r="U2318" s="99" t="str">
        <f>IFERROR(IF(#REF!="S",VLOOKUP('Raw Data'!A2318,References!#REF!,2,FALSE),(VLOOKUP($S2318,References!$B$3:$C$8,2,FALSE))),"")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38"/>
        <v>0</v>
      </c>
      <c r="T2319" s="98">
        <f t="shared" si="137"/>
        <v>0</v>
      </c>
      <c r="U2319" s="99" t="str">
        <f>IFERROR(IF(#REF!="S",VLOOKUP('Raw Data'!A2319,References!#REF!,2,FALSE),(VLOOKUP($S2319,References!$B$3:$C$8,2,FALSE))),"")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38"/>
        <v>0</v>
      </c>
      <c r="T2320" s="98">
        <f t="shared" ref="T2320:T2383" si="139">IF(S2320="50 - Cleaning Fee",1,HOUR($R2320)+MINUTE(R2320)/60)</f>
        <v>0</v>
      </c>
      <c r="U2320" s="99" t="str">
        <f>IFERROR(IF(#REF!="S",VLOOKUP('Raw Data'!A2320,References!#REF!,2,FALSE),(VLOOKUP($S2320,References!$B$3:$C$8,2,FALSE))),"")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38"/>
        <v>0</v>
      </c>
      <c r="T2321" s="98">
        <f t="shared" si="139"/>
        <v>0</v>
      </c>
      <c r="U2321" s="99" t="str">
        <f>IFERROR(IF(#REF!="S",VLOOKUP('Raw Data'!A2321,References!#REF!,2,FALSE),(VLOOKUP($S2321,References!$B$3:$C$8,2,FALSE))),"")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38"/>
        <v>0</v>
      </c>
      <c r="T2322" s="98">
        <f t="shared" si="139"/>
        <v>0</v>
      </c>
      <c r="U2322" s="99" t="str">
        <f>IFERROR(IF(#REF!="S",VLOOKUP('Raw Data'!A2322,References!#REF!,2,FALSE),(VLOOKUP($S2322,References!$B$3:$C$8,2,FALSE))),"")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38"/>
        <v>0</v>
      </c>
      <c r="T2323" s="98">
        <f t="shared" si="139"/>
        <v>0</v>
      </c>
      <c r="U2323" s="99" t="str">
        <f>IFERROR(IF(#REF!="S",VLOOKUP('Raw Data'!A2323,References!#REF!,2,FALSE),(VLOOKUP($S2323,References!$B$3:$C$8,2,FALSE))),"")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38"/>
        <v>0</v>
      </c>
      <c r="T2324" s="98">
        <f t="shared" si="139"/>
        <v>0</v>
      </c>
      <c r="U2324" s="99" t="str">
        <f>IFERROR(IF(#REF!="S",VLOOKUP('Raw Data'!A2324,References!#REF!,2,FALSE),(VLOOKUP($S2324,References!$B$3:$C$8,2,FALSE))),"")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38"/>
        <v>0</v>
      </c>
      <c r="T2325" s="98">
        <f t="shared" si="139"/>
        <v>0</v>
      </c>
      <c r="U2325" s="99" t="str">
        <f>IFERROR(IF(#REF!="S",VLOOKUP('Raw Data'!A2325,References!#REF!,2,FALSE),(VLOOKUP($S2325,References!$B$3:$C$8,2,FALSE))),"")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38"/>
        <v>0</v>
      </c>
      <c r="T2326" s="98">
        <f t="shared" si="139"/>
        <v>0</v>
      </c>
      <c r="U2326" s="99" t="str">
        <f>IFERROR(IF(#REF!="S",VLOOKUP('Raw Data'!A2326,References!#REF!,2,FALSE),(VLOOKUP($S2326,References!$B$3:$C$8,2,FALSE))),"")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38"/>
        <v>0</v>
      </c>
      <c r="T2327" s="98">
        <f t="shared" si="139"/>
        <v>0</v>
      </c>
      <c r="U2327" s="99" t="str">
        <f>IFERROR(IF(#REF!="S",VLOOKUP('Raw Data'!A2327,References!#REF!,2,FALSE),(VLOOKUP($S2327,References!$B$3:$C$8,2,FALSE))),"")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38"/>
        <v>0</v>
      </c>
      <c r="T2328" s="98">
        <f t="shared" si="139"/>
        <v>0</v>
      </c>
      <c r="U2328" s="99" t="str">
        <f>IFERROR(IF(#REF!="S",VLOOKUP('Raw Data'!A2328,References!#REF!,2,FALSE),(VLOOKUP($S2328,References!$B$3:$C$8,2,FALSE))),"")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38"/>
        <v>0</v>
      </c>
      <c r="T2329" s="98">
        <f t="shared" si="139"/>
        <v>0</v>
      </c>
      <c r="U2329" s="99" t="str">
        <f>IFERROR(IF(#REF!="S",VLOOKUP('Raw Data'!A2329,References!#REF!,2,FALSE),(VLOOKUP($S2329,References!$B$3:$C$8,2,FALSE))),"")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38"/>
        <v>0</v>
      </c>
      <c r="T2330" s="98">
        <f t="shared" si="139"/>
        <v>0</v>
      </c>
      <c r="U2330" s="99" t="str">
        <f>IFERROR(IF(#REF!="S",VLOOKUP('Raw Data'!A2330,References!#REF!,2,FALSE),(VLOOKUP($S2330,References!$B$3:$C$8,2,FALSE))),"")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38"/>
        <v>0</v>
      </c>
      <c r="T2331" s="98">
        <f t="shared" si="139"/>
        <v>0</v>
      </c>
      <c r="U2331" s="99" t="str">
        <f>IFERROR(IF(#REF!="S",VLOOKUP('Raw Data'!A2331,References!#REF!,2,FALSE),(VLOOKUP($S2331,References!$B$3:$C$8,2,FALSE))),"")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38"/>
        <v>0</v>
      </c>
      <c r="T2332" s="98">
        <f t="shared" si="139"/>
        <v>0</v>
      </c>
      <c r="U2332" s="99" t="str">
        <f>IFERROR(IF(#REF!="S",VLOOKUP('Raw Data'!A2332,References!#REF!,2,FALSE),(VLOOKUP($S2332,References!$B$3:$C$8,2,FALSE))),"")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38"/>
        <v>0</v>
      </c>
      <c r="T2333" s="98">
        <f t="shared" si="139"/>
        <v>0</v>
      </c>
      <c r="U2333" s="99" t="str">
        <f>IFERROR(IF(#REF!="S",VLOOKUP('Raw Data'!A2333,References!#REF!,2,FALSE),(VLOOKUP($S2333,References!$B$3:$C$8,2,FALSE))),"")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38"/>
        <v>0</v>
      </c>
      <c r="T2334" s="98">
        <f t="shared" si="139"/>
        <v>0</v>
      </c>
      <c r="U2334" s="99" t="str">
        <f>IFERROR(IF(#REF!="S",VLOOKUP('Raw Data'!A2334,References!#REF!,2,FALSE),(VLOOKUP($S2334,References!$B$3:$C$8,2,FALSE))),"")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38"/>
        <v>0</v>
      </c>
      <c r="T2335" s="98">
        <f t="shared" si="139"/>
        <v>0</v>
      </c>
      <c r="U2335" s="99" t="str">
        <f>IFERROR(IF(#REF!="S",VLOOKUP('Raw Data'!A2335,References!#REF!,2,FALSE),(VLOOKUP($S2335,References!$B$3:$C$8,2,FALSE))),"")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38"/>
        <v>0</v>
      </c>
      <c r="T2336" s="98">
        <f t="shared" si="139"/>
        <v>0</v>
      </c>
      <c r="U2336" s="99" t="str">
        <f>IFERROR(IF(#REF!="S",VLOOKUP('Raw Data'!A2336,References!#REF!,2,FALSE),(VLOOKUP($S2336,References!$B$3:$C$8,2,FALSE))),"")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38"/>
        <v>0</v>
      </c>
      <c r="T2337" s="98">
        <f t="shared" si="139"/>
        <v>0</v>
      </c>
      <c r="U2337" s="99" t="str">
        <f>IFERROR(IF(#REF!="S",VLOOKUP('Raw Data'!A2337,References!#REF!,2,FALSE),(VLOOKUP($S2337,References!$B$3:$C$8,2,FALSE))),"")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38"/>
        <v>0</v>
      </c>
      <c r="T2338" s="98">
        <f t="shared" si="139"/>
        <v>0</v>
      </c>
      <c r="U2338" s="99" t="str">
        <f>IFERROR(IF(#REF!="S",VLOOKUP('Raw Data'!A2338,References!#REF!,2,FALSE),(VLOOKUP($S2338,References!$B$3:$C$8,2,FALSE))),"")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38"/>
        <v>0</v>
      </c>
      <c r="T2339" s="98">
        <f t="shared" si="139"/>
        <v>0</v>
      </c>
      <c r="U2339" s="99" t="str">
        <f>IFERROR(IF(#REF!="S",VLOOKUP('Raw Data'!A2339,References!#REF!,2,FALSE),(VLOOKUP($S2339,References!$B$3:$C$8,2,FALSE))),"")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38"/>
        <v>0</v>
      </c>
      <c r="T2340" s="98">
        <f t="shared" si="139"/>
        <v>0</v>
      </c>
      <c r="U2340" s="99" t="str">
        <f>IFERROR(IF(#REF!="S",VLOOKUP('Raw Data'!A2340,References!#REF!,2,FALSE),(VLOOKUP($S2340,References!$B$3:$C$8,2,FALSE))),"")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38"/>
        <v>0</v>
      </c>
      <c r="T2341" s="98">
        <f t="shared" si="139"/>
        <v>0</v>
      </c>
      <c r="U2341" s="99" t="str">
        <f>IFERROR(IF(#REF!="S",VLOOKUP('Raw Data'!A2341,References!#REF!,2,FALSE),(VLOOKUP($S2341,References!$B$3:$C$8,2,FALSE))),"")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38"/>
        <v>0</v>
      </c>
      <c r="T2342" s="98">
        <f t="shared" si="139"/>
        <v>0</v>
      </c>
      <c r="U2342" s="99" t="str">
        <f>IFERROR(IF(#REF!="S",VLOOKUP('Raw Data'!A2342,References!#REF!,2,FALSE),(VLOOKUP($S2342,References!$B$3:$C$8,2,FALSE))),"")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38"/>
        <v>0</v>
      </c>
      <c r="T2343" s="98">
        <f t="shared" si="139"/>
        <v>0</v>
      </c>
      <c r="U2343" s="99" t="str">
        <f>IFERROR(IF(#REF!="S",VLOOKUP('Raw Data'!A2343,References!#REF!,2,FALSE),(VLOOKUP($S2343,References!$B$3:$C$8,2,FALSE))),"")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38"/>
        <v>0</v>
      </c>
      <c r="T2344" s="98">
        <f t="shared" si="139"/>
        <v>0</v>
      </c>
      <c r="U2344" s="99" t="str">
        <f>IFERROR(IF(#REF!="S",VLOOKUP('Raw Data'!A2344,References!#REF!,2,FALSE),(VLOOKUP($S2344,References!$B$3:$C$8,2,FALSE))),"")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38"/>
        <v>0</v>
      </c>
      <c r="T2345" s="98">
        <f t="shared" si="139"/>
        <v>0</v>
      </c>
      <c r="U2345" s="99" t="str">
        <f>IFERROR(IF(#REF!="S",VLOOKUP('Raw Data'!A2345,References!#REF!,2,FALSE),(VLOOKUP($S2345,References!$B$3:$C$8,2,FALSE))),"")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38"/>
        <v>0</v>
      </c>
      <c r="T2346" s="98">
        <f t="shared" si="139"/>
        <v>0</v>
      </c>
      <c r="U2346" s="99" t="str">
        <f>IFERROR(IF(#REF!="S",VLOOKUP('Raw Data'!A2346,References!#REF!,2,FALSE),(VLOOKUP($S2346,References!$B$3:$C$8,2,FALSE))),"")</f>
        <v/>
      </c>
      <c r="W2346" s="66" t="str">
        <f>IFERROR(VLOOKUP($O2346,'Customer List'!$A$1:$J$488,10,FALSE),"")</f>
        <v/>
      </c>
    </row>
    <row r="2347" spans="18:23">
      <c r="R2347" s="97">
        <f t="shared" si="138"/>
        <v>0</v>
      </c>
      <c r="T2347" s="98">
        <f t="shared" si="139"/>
        <v>0</v>
      </c>
      <c r="U2347" s="99" t="str">
        <f>IFERROR(IF(#REF!="S",VLOOKUP('Raw Data'!A2347,References!#REF!,2,FALSE),(VLOOKUP($S2347,References!$B$3:$C$8,2,FALSE))),"")</f>
        <v/>
      </c>
      <c r="W2347" s="66" t="str">
        <f>IFERROR(VLOOKUP($O2347,'Customer List'!$A$1:$J$488,10,FALSE),"")</f>
        <v/>
      </c>
    </row>
    <row r="2348" spans="18:23">
      <c r="R2348" s="97">
        <f t="shared" ref="R2348:R2407" si="140">L2348-K2348</f>
        <v>0</v>
      </c>
      <c r="T2348" s="98">
        <f t="shared" si="139"/>
        <v>0</v>
      </c>
      <c r="U2348" s="99" t="str">
        <f>IFERROR(IF(#REF!="S",VLOOKUP('Raw Data'!A2348,References!#REF!,2,FALSE),(VLOOKUP($S2348,References!$B$3:$C$8,2,FALSE))),"")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0"/>
        <v>0</v>
      </c>
      <c r="T2349" s="98">
        <f t="shared" si="139"/>
        <v>0</v>
      </c>
      <c r="U2349" s="99" t="str">
        <f>IFERROR(IF(#REF!="S",VLOOKUP('Raw Data'!A2349,References!#REF!,2,FALSE),(VLOOKUP($S2349,References!$B$3:$C$8,2,FALSE))),"")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0"/>
        <v>0</v>
      </c>
      <c r="T2350" s="98">
        <f t="shared" si="139"/>
        <v>0</v>
      </c>
      <c r="U2350" s="99" t="str">
        <f>IFERROR(IF(#REF!="S",VLOOKUP('Raw Data'!A2350,References!#REF!,2,FALSE),(VLOOKUP($S2350,References!$B$3:$C$8,2,FALSE))),"")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0"/>
        <v>0</v>
      </c>
      <c r="T2351" s="98">
        <f t="shared" si="139"/>
        <v>0</v>
      </c>
      <c r="U2351" s="99" t="str">
        <f>IFERROR(IF(#REF!="S",VLOOKUP('Raw Data'!A2351,References!#REF!,2,FALSE),(VLOOKUP($S2351,References!$B$3:$C$8,2,FALSE))),"")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0"/>
        <v>0</v>
      </c>
      <c r="T2352" s="98">
        <f t="shared" si="139"/>
        <v>0</v>
      </c>
      <c r="U2352" s="99" t="str">
        <f>IFERROR(IF(#REF!="S",VLOOKUP('Raw Data'!A2352,References!#REF!,2,FALSE),(VLOOKUP($S2352,References!$B$3:$C$8,2,FALSE))),"")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0"/>
        <v>0</v>
      </c>
      <c r="T2353" s="98">
        <f t="shared" si="139"/>
        <v>0</v>
      </c>
      <c r="U2353" s="99" t="str">
        <f>IFERROR(IF(#REF!="S",VLOOKUP('Raw Data'!A2353,References!#REF!,2,FALSE),(VLOOKUP($S2353,References!$B$3:$C$8,2,FALSE))),"")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0"/>
        <v>0</v>
      </c>
      <c r="T2354" s="98">
        <f t="shared" si="139"/>
        <v>0</v>
      </c>
      <c r="U2354" s="99" t="str">
        <f>IFERROR(IF(#REF!="S",VLOOKUP('Raw Data'!A2354,References!#REF!,2,FALSE),(VLOOKUP($S2354,References!$B$3:$C$8,2,FALSE))),"")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0"/>
        <v>0</v>
      </c>
      <c r="T2355" s="98">
        <f t="shared" si="139"/>
        <v>0</v>
      </c>
      <c r="U2355" s="99" t="str">
        <f>IFERROR(IF(#REF!="S",VLOOKUP('Raw Data'!A2355,References!#REF!,2,FALSE),(VLOOKUP($S2355,References!$B$3:$C$8,2,FALSE))),"")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0"/>
        <v>0</v>
      </c>
      <c r="T2356" s="98">
        <f t="shared" si="139"/>
        <v>0</v>
      </c>
      <c r="U2356" s="99" t="str">
        <f>IFERROR(IF(#REF!="S",VLOOKUP('Raw Data'!A2356,References!#REF!,2,FALSE),(VLOOKUP($S2356,References!$B$3:$C$8,2,FALSE))),"")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0"/>
        <v>0</v>
      </c>
      <c r="T2357" s="98">
        <f t="shared" si="139"/>
        <v>0</v>
      </c>
      <c r="U2357" s="99" t="str">
        <f>IFERROR(IF(#REF!="S",VLOOKUP('Raw Data'!A2357,References!#REF!,2,FALSE),(VLOOKUP($S2357,References!$B$3:$C$8,2,FALSE))),"")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0"/>
        <v>0</v>
      </c>
      <c r="T2358" s="98">
        <f t="shared" si="139"/>
        <v>0</v>
      </c>
      <c r="U2358" s="99" t="str">
        <f>IFERROR(IF(#REF!="S",VLOOKUP('Raw Data'!A2358,References!#REF!,2,FALSE),(VLOOKUP($S2358,References!$B$3:$C$8,2,FALSE))),"")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0"/>
        <v>0</v>
      </c>
      <c r="T2359" s="98">
        <f t="shared" si="139"/>
        <v>0</v>
      </c>
      <c r="U2359" s="99" t="str">
        <f>IFERROR(IF(#REF!="S",VLOOKUP('Raw Data'!A2359,References!#REF!,2,FALSE),(VLOOKUP($S2359,References!$B$3:$C$8,2,FALSE))),"")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0"/>
        <v>0</v>
      </c>
      <c r="T2360" s="98">
        <f t="shared" si="139"/>
        <v>0</v>
      </c>
      <c r="U2360" s="99" t="str">
        <f>IFERROR(IF(#REF!="S",VLOOKUP('Raw Data'!A2360,References!#REF!,2,FALSE),(VLOOKUP($S2360,References!$B$3:$C$8,2,FALSE))),"")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0"/>
        <v>0</v>
      </c>
      <c r="T2361" s="98">
        <f t="shared" si="139"/>
        <v>0</v>
      </c>
      <c r="U2361" s="99" t="str">
        <f>IFERROR(IF(#REF!="S",VLOOKUP('Raw Data'!A2361,References!#REF!,2,FALSE),(VLOOKUP($S2361,References!$B$3:$C$8,2,FALSE))),"")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0"/>
        <v>0</v>
      </c>
      <c r="T2362" s="98">
        <f t="shared" si="139"/>
        <v>0</v>
      </c>
      <c r="U2362" s="99" t="str">
        <f>IFERROR(IF(#REF!="S",VLOOKUP('Raw Data'!A2362,References!#REF!,2,FALSE),(VLOOKUP($S2362,References!$B$3:$C$8,2,FALSE))),"")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0"/>
        <v>0</v>
      </c>
      <c r="T2363" s="98">
        <f t="shared" si="139"/>
        <v>0</v>
      </c>
      <c r="U2363" s="99" t="str">
        <f>IFERROR(IF(#REF!="S",VLOOKUP('Raw Data'!A2363,References!#REF!,2,FALSE),(VLOOKUP($S2363,References!$B$3:$C$8,2,FALSE))),"")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0"/>
        <v>0</v>
      </c>
      <c r="T2364" s="98">
        <f t="shared" si="139"/>
        <v>0</v>
      </c>
      <c r="U2364" s="99" t="str">
        <f>IFERROR(IF(#REF!="S",VLOOKUP('Raw Data'!A2364,References!#REF!,2,FALSE),(VLOOKUP($S2364,References!$B$3:$C$8,2,FALSE))),"")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0"/>
        <v>0</v>
      </c>
      <c r="T2365" s="98">
        <f t="shared" si="139"/>
        <v>0</v>
      </c>
      <c r="U2365" s="99" t="str">
        <f>IFERROR(IF(#REF!="S",VLOOKUP('Raw Data'!A2365,References!#REF!,2,FALSE),(VLOOKUP($S2365,References!$B$3:$C$8,2,FALSE))),"")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0"/>
        <v>0</v>
      </c>
      <c r="T2366" s="98">
        <f t="shared" si="139"/>
        <v>0</v>
      </c>
      <c r="U2366" s="99" t="str">
        <f>IFERROR(IF(#REF!="S",VLOOKUP('Raw Data'!A2366,References!#REF!,2,FALSE),(VLOOKUP($S2366,References!$B$3:$C$8,2,FALSE))),"")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0"/>
        <v>0</v>
      </c>
      <c r="T2367" s="98">
        <f t="shared" si="139"/>
        <v>0</v>
      </c>
      <c r="U2367" s="99" t="str">
        <f>IFERROR(IF(#REF!="S",VLOOKUP('Raw Data'!A2367,References!#REF!,2,FALSE),(VLOOKUP($S2367,References!$B$3:$C$8,2,FALSE))),"")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0"/>
        <v>0</v>
      </c>
      <c r="T2368" s="98">
        <f t="shared" si="139"/>
        <v>0</v>
      </c>
      <c r="U2368" s="99" t="str">
        <f>IFERROR(IF(#REF!="S",VLOOKUP('Raw Data'!A2368,References!#REF!,2,FALSE),(VLOOKUP($S2368,References!$B$3:$C$8,2,FALSE))),"")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0"/>
        <v>0</v>
      </c>
      <c r="T2369" s="98">
        <f t="shared" si="139"/>
        <v>0</v>
      </c>
      <c r="U2369" s="99" t="str">
        <f>IFERROR(IF(#REF!="S",VLOOKUP('Raw Data'!A2369,References!#REF!,2,FALSE),(VLOOKUP($S2369,References!$B$3:$C$8,2,FALSE))),"")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0"/>
        <v>0</v>
      </c>
      <c r="T2370" s="98">
        <f t="shared" si="139"/>
        <v>0</v>
      </c>
      <c r="U2370" s="99" t="str">
        <f>IFERROR(IF(#REF!="S",VLOOKUP('Raw Data'!A2370,References!#REF!,2,FALSE),(VLOOKUP($S2370,References!$B$3:$C$8,2,FALSE))),"")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0"/>
        <v>0</v>
      </c>
      <c r="T2371" s="98">
        <f t="shared" si="139"/>
        <v>0</v>
      </c>
      <c r="U2371" s="99" t="str">
        <f>IFERROR(IF(#REF!="S",VLOOKUP('Raw Data'!A2371,References!#REF!,2,FALSE),(VLOOKUP($S2371,References!$B$3:$C$8,2,FALSE))),"")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0"/>
        <v>0</v>
      </c>
      <c r="T2372" s="98">
        <f t="shared" si="139"/>
        <v>0</v>
      </c>
      <c r="U2372" s="99" t="str">
        <f>IFERROR(IF(#REF!="S",VLOOKUP('Raw Data'!A2372,References!#REF!,2,FALSE),(VLOOKUP($S2372,References!$B$3:$C$8,2,FALSE))),"")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0"/>
        <v>0</v>
      </c>
      <c r="T2373" s="98">
        <f t="shared" si="139"/>
        <v>0</v>
      </c>
      <c r="U2373" s="99" t="str">
        <f>IFERROR(IF(#REF!="S",VLOOKUP('Raw Data'!A2373,References!#REF!,2,FALSE),(VLOOKUP($S2373,References!$B$3:$C$8,2,FALSE))),"")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0"/>
        <v>0</v>
      </c>
      <c r="T2374" s="98">
        <f t="shared" si="139"/>
        <v>0</v>
      </c>
      <c r="U2374" s="99" t="str">
        <f>IFERROR(IF(#REF!="S",VLOOKUP('Raw Data'!A2374,References!#REF!,2,FALSE),(VLOOKUP($S2374,References!$B$3:$C$8,2,FALSE))),"")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0"/>
        <v>0</v>
      </c>
      <c r="T2375" s="98">
        <f t="shared" si="139"/>
        <v>0</v>
      </c>
      <c r="U2375" s="99" t="str">
        <f>IFERROR(IF(#REF!="S",VLOOKUP('Raw Data'!A2375,References!#REF!,2,FALSE),(VLOOKUP($S2375,References!$B$3:$C$8,2,FALSE))),"")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0"/>
        <v>0</v>
      </c>
      <c r="T2376" s="98">
        <f t="shared" si="139"/>
        <v>0</v>
      </c>
      <c r="U2376" s="99" t="str">
        <f>IFERROR(IF(#REF!="S",VLOOKUP('Raw Data'!A2376,References!#REF!,2,FALSE),(VLOOKUP($S2376,References!$B$3:$C$8,2,FALSE))),"")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0"/>
        <v>0</v>
      </c>
      <c r="T2377" s="98">
        <f t="shared" si="139"/>
        <v>0</v>
      </c>
      <c r="U2377" s="99" t="str">
        <f>IFERROR(IF(#REF!="S",VLOOKUP('Raw Data'!A2377,References!#REF!,2,FALSE),(VLOOKUP($S2377,References!$B$3:$C$8,2,FALSE))),"")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0"/>
        <v>0</v>
      </c>
      <c r="T2378" s="98">
        <f t="shared" si="139"/>
        <v>0</v>
      </c>
      <c r="U2378" s="99" t="str">
        <f>IFERROR(IF(#REF!="S",VLOOKUP('Raw Data'!A2378,References!#REF!,2,FALSE),(VLOOKUP($S2378,References!$B$3:$C$8,2,FALSE))),"")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0"/>
        <v>0</v>
      </c>
      <c r="T2379" s="98">
        <f t="shared" si="139"/>
        <v>0</v>
      </c>
      <c r="U2379" s="99" t="str">
        <f>IFERROR(IF(#REF!="S",VLOOKUP('Raw Data'!A2379,References!#REF!,2,FALSE),(VLOOKUP($S2379,References!$B$3:$C$8,2,FALSE))),"")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0"/>
        <v>0</v>
      </c>
      <c r="T2380" s="98">
        <f t="shared" si="139"/>
        <v>0</v>
      </c>
      <c r="U2380" s="99" t="str">
        <f>IFERROR(IF(#REF!="S",VLOOKUP('Raw Data'!A2380,References!#REF!,2,FALSE),(VLOOKUP($S2380,References!$B$3:$C$8,2,FALSE))),"")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0"/>
        <v>0</v>
      </c>
      <c r="T2381" s="98">
        <f t="shared" si="139"/>
        <v>0</v>
      </c>
      <c r="U2381" s="99" t="str">
        <f>IFERROR(IF(#REF!="S",VLOOKUP('Raw Data'!A2381,References!#REF!,2,FALSE),(VLOOKUP($S2381,References!$B$3:$C$8,2,FALSE))),"")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0"/>
        <v>0</v>
      </c>
      <c r="T2382" s="98">
        <f t="shared" si="139"/>
        <v>0</v>
      </c>
      <c r="U2382" s="99" t="str">
        <f>IFERROR(IF(#REF!="S",VLOOKUP('Raw Data'!A2382,References!#REF!,2,FALSE),(VLOOKUP($S2382,References!$B$3:$C$8,2,FALSE))),"")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0"/>
        <v>0</v>
      </c>
      <c r="T2383" s="98">
        <f t="shared" si="139"/>
        <v>0</v>
      </c>
      <c r="U2383" s="99" t="str">
        <f>IFERROR(IF(#REF!="S",VLOOKUP('Raw Data'!A2383,References!#REF!,2,FALSE),(VLOOKUP($S2383,References!$B$3:$C$8,2,FALSE))),"")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0"/>
        <v>0</v>
      </c>
      <c r="T2384" s="98">
        <f t="shared" ref="T2384:T2447" si="141">IF(S2384="50 - Cleaning Fee",1,HOUR($R2384)+MINUTE(R2384)/60)</f>
        <v>0</v>
      </c>
      <c r="U2384" s="99" t="str">
        <f>IFERROR(IF(#REF!="S",VLOOKUP('Raw Data'!A2384,References!#REF!,2,FALSE),(VLOOKUP($S2384,References!$B$3:$C$8,2,FALSE))),"")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0"/>
        <v>0</v>
      </c>
      <c r="T2385" s="98">
        <f t="shared" si="141"/>
        <v>0</v>
      </c>
      <c r="U2385" s="99" t="str">
        <f>IFERROR(IF(#REF!="S",VLOOKUP('Raw Data'!A2385,References!#REF!,2,FALSE),(VLOOKUP($S2385,References!$B$3:$C$8,2,FALSE))),"")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0"/>
        <v>0</v>
      </c>
      <c r="T2386" s="98">
        <f t="shared" si="141"/>
        <v>0</v>
      </c>
      <c r="U2386" s="99" t="str">
        <f>IFERROR(IF(#REF!="S",VLOOKUP('Raw Data'!A2386,References!#REF!,2,FALSE),(VLOOKUP($S2386,References!$B$3:$C$8,2,FALSE))),"")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0"/>
        <v>0</v>
      </c>
      <c r="T2387" s="98">
        <f t="shared" si="141"/>
        <v>0</v>
      </c>
      <c r="U2387" s="99" t="str">
        <f>IFERROR(IF(#REF!="S",VLOOKUP('Raw Data'!A2387,References!#REF!,2,FALSE),(VLOOKUP($S2387,References!$B$3:$C$8,2,FALSE))),"")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0"/>
        <v>0</v>
      </c>
      <c r="T2388" s="98">
        <f t="shared" si="141"/>
        <v>0</v>
      </c>
      <c r="U2388" s="99" t="str">
        <f>IFERROR(IF(#REF!="S",VLOOKUP('Raw Data'!A2388,References!#REF!,2,FALSE),(VLOOKUP($S2388,References!$B$3:$C$8,2,FALSE))),"")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0"/>
        <v>0</v>
      </c>
      <c r="T2389" s="98">
        <f t="shared" si="141"/>
        <v>0</v>
      </c>
      <c r="U2389" s="99" t="str">
        <f>IFERROR(IF(#REF!="S",VLOOKUP('Raw Data'!A2389,References!#REF!,2,FALSE),(VLOOKUP($S2389,References!$B$3:$C$8,2,FALSE))),"")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0"/>
        <v>0</v>
      </c>
      <c r="T2390" s="98">
        <f t="shared" si="141"/>
        <v>0</v>
      </c>
      <c r="U2390" s="99" t="str">
        <f>IFERROR(IF(#REF!="S",VLOOKUP('Raw Data'!A2390,References!#REF!,2,FALSE),(VLOOKUP($S2390,References!$B$3:$C$8,2,FALSE))),"")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0"/>
        <v>0</v>
      </c>
      <c r="T2391" s="98">
        <f t="shared" si="141"/>
        <v>0</v>
      </c>
      <c r="U2391" s="99" t="str">
        <f>IFERROR(IF(#REF!="S",VLOOKUP('Raw Data'!A2391,References!#REF!,2,FALSE),(VLOOKUP($S2391,References!$B$3:$C$8,2,FALSE))),"")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0"/>
        <v>0</v>
      </c>
      <c r="T2392" s="98">
        <f t="shared" si="141"/>
        <v>0</v>
      </c>
      <c r="U2392" s="99" t="str">
        <f>IFERROR(IF(#REF!="S",VLOOKUP('Raw Data'!A2392,References!#REF!,2,FALSE),(VLOOKUP($S2392,References!$B$3:$C$8,2,FALSE))),"")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0"/>
        <v>0</v>
      </c>
      <c r="T2393" s="98">
        <f t="shared" si="141"/>
        <v>0</v>
      </c>
      <c r="U2393" s="99" t="str">
        <f>IFERROR(IF(#REF!="S",VLOOKUP('Raw Data'!A2393,References!#REF!,2,FALSE),(VLOOKUP($S2393,References!$B$3:$C$8,2,FALSE))),"")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0"/>
        <v>0</v>
      </c>
      <c r="T2394" s="98">
        <f t="shared" si="141"/>
        <v>0</v>
      </c>
      <c r="U2394" s="99" t="str">
        <f>IFERROR(IF(#REF!="S",VLOOKUP('Raw Data'!A2394,References!#REF!,2,FALSE),(VLOOKUP($S2394,References!$B$3:$C$8,2,FALSE))),"")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0"/>
        <v>0</v>
      </c>
      <c r="T2395" s="98">
        <f t="shared" si="141"/>
        <v>0</v>
      </c>
      <c r="U2395" s="99" t="str">
        <f>IFERROR(IF(#REF!="S",VLOOKUP('Raw Data'!A2395,References!#REF!,2,FALSE),(VLOOKUP($S2395,References!$B$3:$C$8,2,FALSE))),"")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0"/>
        <v>0</v>
      </c>
      <c r="T2396" s="98">
        <f t="shared" si="141"/>
        <v>0</v>
      </c>
      <c r="U2396" s="99" t="str">
        <f>IFERROR(IF(#REF!="S",VLOOKUP('Raw Data'!A2396,References!#REF!,2,FALSE),(VLOOKUP($S2396,References!$B$3:$C$8,2,FALSE))),"")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0"/>
        <v>0</v>
      </c>
      <c r="T2397" s="98">
        <f t="shared" si="141"/>
        <v>0</v>
      </c>
      <c r="U2397" s="99" t="str">
        <f>IFERROR(IF(#REF!="S",VLOOKUP('Raw Data'!A2397,References!#REF!,2,FALSE),(VLOOKUP($S2397,References!$B$3:$C$8,2,FALSE))),"")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0"/>
        <v>0</v>
      </c>
      <c r="T2398" s="98">
        <f t="shared" si="141"/>
        <v>0</v>
      </c>
      <c r="U2398" s="99" t="str">
        <f>IFERROR(IF(#REF!="S",VLOOKUP('Raw Data'!A2398,References!#REF!,2,FALSE),(VLOOKUP($S2398,References!$B$3:$C$8,2,FALSE))),"")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0"/>
        <v>0</v>
      </c>
      <c r="T2399" s="98">
        <f t="shared" si="141"/>
        <v>0</v>
      </c>
      <c r="U2399" s="99" t="str">
        <f>IFERROR(IF(#REF!="S",VLOOKUP('Raw Data'!A2399,References!#REF!,2,FALSE),(VLOOKUP($S2399,References!$B$3:$C$8,2,FALSE))),"")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0"/>
        <v>0</v>
      </c>
      <c r="T2400" s="98">
        <f t="shared" si="141"/>
        <v>0</v>
      </c>
      <c r="U2400" s="99" t="str">
        <f>IFERROR(IF(#REF!="S",VLOOKUP('Raw Data'!A2400,References!#REF!,2,FALSE),(VLOOKUP($S2400,References!$B$3:$C$8,2,FALSE))),"")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0"/>
        <v>0</v>
      </c>
      <c r="T2401" s="98">
        <f t="shared" si="141"/>
        <v>0</v>
      </c>
      <c r="U2401" s="99" t="str">
        <f>IFERROR(IF(#REF!="S",VLOOKUP('Raw Data'!A2401,References!#REF!,2,FALSE),(VLOOKUP($S2401,References!$B$3:$C$8,2,FALSE))),"")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0"/>
        <v>0</v>
      </c>
      <c r="T2402" s="98">
        <f t="shared" si="141"/>
        <v>0</v>
      </c>
      <c r="U2402" s="99" t="str">
        <f>IFERROR(IF(#REF!="S",VLOOKUP('Raw Data'!A2402,References!#REF!,2,FALSE),(VLOOKUP($S2402,References!$B$3:$C$8,2,FALSE))),"")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0"/>
        <v>0</v>
      </c>
      <c r="T2403" s="98">
        <f t="shared" si="141"/>
        <v>0</v>
      </c>
      <c r="U2403" s="99" t="str">
        <f>IFERROR(IF(#REF!="S",VLOOKUP('Raw Data'!A2403,References!#REF!,2,FALSE),(VLOOKUP($S2403,References!$B$3:$C$8,2,FALSE))),"")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0"/>
        <v>0</v>
      </c>
      <c r="T2404" s="98">
        <f t="shared" si="141"/>
        <v>0</v>
      </c>
      <c r="U2404" s="99" t="str">
        <f>IFERROR(IF(#REF!="S",VLOOKUP('Raw Data'!A2404,References!#REF!,2,FALSE),(VLOOKUP($S2404,References!$B$3:$C$8,2,FALSE))),"")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0"/>
        <v>0</v>
      </c>
      <c r="T2405" s="98">
        <f t="shared" si="141"/>
        <v>0</v>
      </c>
      <c r="U2405" s="99" t="str">
        <f>IFERROR(IF(#REF!="S",VLOOKUP('Raw Data'!A2405,References!#REF!,2,FALSE),(VLOOKUP($S2405,References!$B$3:$C$8,2,FALSE))),"")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0"/>
        <v>0</v>
      </c>
      <c r="T2406" s="98">
        <f t="shared" si="141"/>
        <v>0</v>
      </c>
      <c r="U2406" s="99" t="str">
        <f>IFERROR(IF(#REF!="S",VLOOKUP('Raw Data'!A2406,References!#REF!,2,FALSE),(VLOOKUP($S2406,References!$B$3:$C$8,2,FALSE))),"")</f>
        <v/>
      </c>
      <c r="W2406" s="66" t="str">
        <f>IFERROR(VLOOKUP($O2406,'Customer List'!$A$1:$J$488,10,FALSE),"")</f>
        <v/>
      </c>
    </row>
    <row r="2407" spans="18:23">
      <c r="R2407" s="97">
        <f t="shared" si="140"/>
        <v>0</v>
      </c>
      <c r="T2407" s="98">
        <f t="shared" si="141"/>
        <v>0</v>
      </c>
      <c r="U2407" s="99" t="str">
        <f>IFERROR(IF(#REF!="S",VLOOKUP('Raw Data'!A2407,References!#REF!,2,FALSE),(VLOOKUP($S2407,References!$B$3:$C$8,2,FALSE))),"")</f>
        <v/>
      </c>
      <c r="W2407" s="66" t="str">
        <f>IFERROR(VLOOKUP($O2407,'Customer List'!$A$1:$J$488,10,FALSE),"")</f>
        <v/>
      </c>
    </row>
    <row r="2408" spans="18:23">
      <c r="R2408" s="97">
        <f t="shared" ref="R2408:R2471" si="142">L2408-K2408</f>
        <v>0</v>
      </c>
      <c r="T2408" s="98">
        <f t="shared" si="141"/>
        <v>0</v>
      </c>
      <c r="U2408" s="99" t="str">
        <f>IFERROR(IF(#REF!="S",VLOOKUP('Raw Data'!A2408,References!#REF!,2,FALSE),(VLOOKUP($S2408,References!$B$3:$C$8,2,FALSE))),"")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2"/>
        <v>0</v>
      </c>
      <c r="T2409" s="98">
        <f t="shared" si="141"/>
        <v>0</v>
      </c>
      <c r="U2409" s="99" t="str">
        <f>IFERROR(IF(#REF!="S",VLOOKUP('Raw Data'!A2409,References!#REF!,2,FALSE),(VLOOKUP($S2409,References!$B$3:$C$8,2,FALSE))),"")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2"/>
        <v>0</v>
      </c>
      <c r="T2410" s="98">
        <f t="shared" si="141"/>
        <v>0</v>
      </c>
      <c r="U2410" s="99" t="str">
        <f>IFERROR(IF(#REF!="S",VLOOKUP('Raw Data'!A2410,References!#REF!,2,FALSE),(VLOOKUP($S2410,References!$B$3:$C$8,2,FALSE))),"")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2"/>
        <v>0</v>
      </c>
      <c r="T2411" s="98">
        <f t="shared" si="141"/>
        <v>0</v>
      </c>
      <c r="U2411" s="99" t="str">
        <f>IFERROR(IF(#REF!="S",VLOOKUP('Raw Data'!A2411,References!#REF!,2,FALSE),(VLOOKUP($S2411,References!$B$3:$C$8,2,FALSE))),"")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2"/>
        <v>0</v>
      </c>
      <c r="T2412" s="98">
        <f t="shared" si="141"/>
        <v>0</v>
      </c>
      <c r="U2412" s="99" t="str">
        <f>IFERROR(IF(#REF!="S",VLOOKUP('Raw Data'!A2412,References!#REF!,2,FALSE),(VLOOKUP($S2412,References!$B$3:$C$8,2,FALSE))),"")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2"/>
        <v>0</v>
      </c>
      <c r="T2413" s="98">
        <f t="shared" si="141"/>
        <v>0</v>
      </c>
      <c r="U2413" s="99" t="str">
        <f>IFERROR(IF(#REF!="S",VLOOKUP('Raw Data'!A2413,References!#REF!,2,FALSE),(VLOOKUP($S2413,References!$B$3:$C$8,2,FALSE))),"")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2"/>
        <v>0</v>
      </c>
      <c r="T2414" s="98">
        <f t="shared" si="141"/>
        <v>0</v>
      </c>
      <c r="U2414" s="99" t="str">
        <f>IFERROR(IF(#REF!="S",VLOOKUP('Raw Data'!A2414,References!#REF!,2,FALSE),(VLOOKUP($S2414,References!$B$3:$C$8,2,FALSE))),"")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2"/>
        <v>0</v>
      </c>
      <c r="T2415" s="98">
        <f t="shared" si="141"/>
        <v>0</v>
      </c>
      <c r="U2415" s="99" t="str">
        <f>IFERROR(IF(#REF!="S",VLOOKUP('Raw Data'!A2415,References!#REF!,2,FALSE),(VLOOKUP($S2415,References!$B$3:$C$8,2,FALSE))),"")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2"/>
        <v>0</v>
      </c>
      <c r="T2416" s="98">
        <f t="shared" si="141"/>
        <v>0</v>
      </c>
      <c r="U2416" s="99" t="str">
        <f>IFERROR(IF(#REF!="S",VLOOKUP('Raw Data'!A2416,References!#REF!,2,FALSE),(VLOOKUP($S2416,References!$B$3:$C$8,2,FALSE))),"")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2"/>
        <v>0</v>
      </c>
      <c r="T2417" s="98">
        <f t="shared" si="141"/>
        <v>0</v>
      </c>
      <c r="U2417" s="99" t="str">
        <f>IFERROR(IF(#REF!="S",VLOOKUP('Raw Data'!A2417,References!#REF!,2,FALSE),(VLOOKUP($S2417,References!$B$3:$C$8,2,FALSE))),"")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2"/>
        <v>0</v>
      </c>
      <c r="T2418" s="98">
        <f t="shared" si="141"/>
        <v>0</v>
      </c>
      <c r="U2418" s="99" t="str">
        <f>IFERROR(IF(#REF!="S",VLOOKUP('Raw Data'!A2418,References!#REF!,2,FALSE),(VLOOKUP($S2418,References!$B$3:$C$8,2,FALSE))),"")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2"/>
        <v>0</v>
      </c>
      <c r="T2419" s="98">
        <f t="shared" si="141"/>
        <v>0</v>
      </c>
      <c r="U2419" s="99" t="str">
        <f>IFERROR(IF(#REF!="S",VLOOKUP('Raw Data'!A2419,References!#REF!,2,FALSE),(VLOOKUP($S2419,References!$B$3:$C$8,2,FALSE))),"")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2"/>
        <v>0</v>
      </c>
      <c r="T2420" s="98">
        <f t="shared" si="141"/>
        <v>0</v>
      </c>
      <c r="U2420" s="99" t="str">
        <f>IFERROR(IF(#REF!="S",VLOOKUP('Raw Data'!A2420,References!#REF!,2,FALSE),(VLOOKUP($S2420,References!$B$3:$C$8,2,FALSE))),"")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2"/>
        <v>0</v>
      </c>
      <c r="T2421" s="98">
        <f t="shared" si="141"/>
        <v>0</v>
      </c>
      <c r="U2421" s="99" t="str">
        <f>IFERROR(IF(#REF!="S",VLOOKUP('Raw Data'!A2421,References!#REF!,2,FALSE),(VLOOKUP($S2421,References!$B$3:$C$8,2,FALSE))),"")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2"/>
        <v>0</v>
      </c>
      <c r="T2422" s="98">
        <f t="shared" si="141"/>
        <v>0</v>
      </c>
      <c r="U2422" s="99" t="str">
        <f>IFERROR(IF(#REF!="S",VLOOKUP('Raw Data'!A2422,References!#REF!,2,FALSE),(VLOOKUP($S2422,References!$B$3:$C$8,2,FALSE))),"")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2"/>
        <v>0</v>
      </c>
      <c r="T2423" s="98">
        <f t="shared" si="141"/>
        <v>0</v>
      </c>
      <c r="U2423" s="99" t="str">
        <f>IFERROR(IF(#REF!="S",VLOOKUP('Raw Data'!A2423,References!#REF!,2,FALSE),(VLOOKUP($S2423,References!$B$3:$C$8,2,FALSE))),"")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2"/>
        <v>0</v>
      </c>
      <c r="T2424" s="98">
        <f t="shared" si="141"/>
        <v>0</v>
      </c>
      <c r="U2424" s="99" t="str">
        <f>IFERROR(IF(#REF!="S",VLOOKUP('Raw Data'!A2424,References!#REF!,2,FALSE),(VLOOKUP($S2424,References!$B$3:$C$8,2,FALSE))),"")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2"/>
        <v>0</v>
      </c>
      <c r="T2425" s="98">
        <f t="shared" si="141"/>
        <v>0</v>
      </c>
      <c r="U2425" s="99" t="str">
        <f>IFERROR(IF(#REF!="S",VLOOKUP('Raw Data'!A2425,References!#REF!,2,FALSE),(VLOOKUP($S2425,References!$B$3:$C$8,2,FALSE))),"")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2"/>
        <v>0</v>
      </c>
      <c r="T2426" s="98">
        <f t="shared" si="141"/>
        <v>0</v>
      </c>
      <c r="U2426" s="99" t="str">
        <f>IFERROR(IF(#REF!="S",VLOOKUP('Raw Data'!A2426,References!#REF!,2,FALSE),(VLOOKUP($S2426,References!$B$3:$C$8,2,FALSE))),"")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2"/>
        <v>0</v>
      </c>
      <c r="T2427" s="98">
        <f t="shared" si="141"/>
        <v>0</v>
      </c>
      <c r="U2427" s="99" t="str">
        <f>IFERROR(IF(#REF!="S",VLOOKUP('Raw Data'!A2427,References!#REF!,2,FALSE),(VLOOKUP($S2427,References!$B$3:$C$8,2,FALSE))),"")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2"/>
        <v>0</v>
      </c>
      <c r="T2428" s="98">
        <f t="shared" si="141"/>
        <v>0</v>
      </c>
      <c r="U2428" s="99" t="str">
        <f>IFERROR(IF(#REF!="S",VLOOKUP('Raw Data'!A2428,References!#REF!,2,FALSE),(VLOOKUP($S2428,References!$B$3:$C$8,2,FALSE))),"")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2"/>
        <v>0</v>
      </c>
      <c r="T2429" s="98">
        <f t="shared" si="141"/>
        <v>0</v>
      </c>
      <c r="U2429" s="99" t="str">
        <f>IFERROR(IF(#REF!="S",VLOOKUP('Raw Data'!A2429,References!#REF!,2,FALSE),(VLOOKUP($S2429,References!$B$3:$C$8,2,FALSE))),"")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2"/>
        <v>0</v>
      </c>
      <c r="T2430" s="98">
        <f t="shared" si="141"/>
        <v>0</v>
      </c>
      <c r="U2430" s="99" t="str">
        <f>IFERROR(IF(#REF!="S",VLOOKUP('Raw Data'!A2430,References!#REF!,2,FALSE),(VLOOKUP($S2430,References!$B$3:$C$8,2,FALSE))),"")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2"/>
        <v>0</v>
      </c>
      <c r="T2431" s="98">
        <f t="shared" si="141"/>
        <v>0</v>
      </c>
      <c r="U2431" s="99" t="str">
        <f>IFERROR(IF(#REF!="S",VLOOKUP('Raw Data'!A2431,References!#REF!,2,FALSE),(VLOOKUP($S2431,References!$B$3:$C$8,2,FALSE))),"")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2"/>
        <v>0</v>
      </c>
      <c r="T2432" s="98">
        <f t="shared" si="141"/>
        <v>0</v>
      </c>
      <c r="U2432" s="99" t="str">
        <f>IFERROR(IF(#REF!="S",VLOOKUP('Raw Data'!A2432,References!#REF!,2,FALSE),(VLOOKUP($S2432,References!$B$3:$C$8,2,FALSE))),"")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2"/>
        <v>0</v>
      </c>
      <c r="T2433" s="98">
        <f t="shared" si="141"/>
        <v>0</v>
      </c>
      <c r="U2433" s="99" t="str">
        <f>IFERROR(IF(#REF!="S",VLOOKUP('Raw Data'!A2433,References!#REF!,2,FALSE),(VLOOKUP($S2433,References!$B$3:$C$8,2,FALSE))),"")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2"/>
        <v>0</v>
      </c>
      <c r="T2434" s="98">
        <f t="shared" si="141"/>
        <v>0</v>
      </c>
      <c r="U2434" s="99" t="str">
        <f>IFERROR(IF(#REF!="S",VLOOKUP('Raw Data'!A2434,References!#REF!,2,FALSE),(VLOOKUP($S2434,References!$B$3:$C$8,2,FALSE))),"")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2"/>
        <v>0</v>
      </c>
      <c r="T2435" s="98">
        <f t="shared" si="141"/>
        <v>0</v>
      </c>
      <c r="U2435" s="99" t="str">
        <f>IFERROR(IF(#REF!="S",VLOOKUP('Raw Data'!A2435,References!#REF!,2,FALSE),(VLOOKUP($S2435,References!$B$3:$C$8,2,FALSE))),"")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2"/>
        <v>0</v>
      </c>
      <c r="T2436" s="98">
        <f t="shared" si="141"/>
        <v>0</v>
      </c>
      <c r="U2436" s="99" t="str">
        <f>IFERROR(IF(#REF!="S",VLOOKUP('Raw Data'!A2436,References!#REF!,2,FALSE),(VLOOKUP($S2436,References!$B$3:$C$8,2,FALSE))),"")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2"/>
        <v>0</v>
      </c>
      <c r="T2437" s="98">
        <f t="shared" si="141"/>
        <v>0</v>
      </c>
      <c r="U2437" s="99" t="str">
        <f>IFERROR(IF(#REF!="S",VLOOKUP('Raw Data'!A2437,References!#REF!,2,FALSE),(VLOOKUP($S2437,References!$B$3:$C$8,2,FALSE))),"")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2"/>
        <v>0</v>
      </c>
      <c r="T2438" s="98">
        <f t="shared" si="141"/>
        <v>0</v>
      </c>
      <c r="U2438" s="99" t="str">
        <f>IFERROR(IF(#REF!="S",VLOOKUP('Raw Data'!A2438,References!#REF!,2,FALSE),(VLOOKUP($S2438,References!$B$3:$C$8,2,FALSE))),"")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2"/>
        <v>0</v>
      </c>
      <c r="T2439" s="98">
        <f t="shared" si="141"/>
        <v>0</v>
      </c>
      <c r="U2439" s="99" t="str">
        <f>IFERROR(IF(#REF!="S",VLOOKUP('Raw Data'!A2439,References!#REF!,2,FALSE),(VLOOKUP($S2439,References!$B$3:$C$8,2,FALSE))),"")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2"/>
        <v>0</v>
      </c>
      <c r="T2440" s="98">
        <f t="shared" si="141"/>
        <v>0</v>
      </c>
      <c r="U2440" s="99" t="str">
        <f>IFERROR(IF(#REF!="S",VLOOKUP('Raw Data'!A2440,References!#REF!,2,FALSE),(VLOOKUP($S2440,References!$B$3:$C$8,2,FALSE))),"")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2"/>
        <v>0</v>
      </c>
      <c r="T2441" s="98">
        <f t="shared" si="141"/>
        <v>0</v>
      </c>
      <c r="U2441" s="99" t="str">
        <f>IFERROR(IF(#REF!="S",VLOOKUP('Raw Data'!A2441,References!#REF!,2,FALSE),(VLOOKUP($S2441,References!$B$3:$C$8,2,FALSE))),"")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2"/>
        <v>0</v>
      </c>
      <c r="T2442" s="98">
        <f t="shared" si="141"/>
        <v>0</v>
      </c>
      <c r="U2442" s="99" t="str">
        <f>IFERROR(IF(#REF!="S",VLOOKUP('Raw Data'!A2442,References!#REF!,2,FALSE),(VLOOKUP($S2442,References!$B$3:$C$8,2,FALSE))),"")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2"/>
        <v>0</v>
      </c>
      <c r="T2443" s="98">
        <f t="shared" si="141"/>
        <v>0</v>
      </c>
      <c r="U2443" s="99" t="str">
        <f>IFERROR(IF(#REF!="S",VLOOKUP('Raw Data'!A2443,References!#REF!,2,FALSE),(VLOOKUP($S2443,References!$B$3:$C$8,2,FALSE))),"")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2"/>
        <v>0</v>
      </c>
      <c r="T2444" s="98">
        <f t="shared" si="141"/>
        <v>0</v>
      </c>
      <c r="U2444" s="99" t="str">
        <f>IFERROR(IF(#REF!="S",VLOOKUP('Raw Data'!A2444,References!#REF!,2,FALSE),(VLOOKUP($S2444,References!$B$3:$C$8,2,FALSE))),"")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2"/>
        <v>0</v>
      </c>
      <c r="T2445" s="98">
        <f t="shared" si="141"/>
        <v>0</v>
      </c>
      <c r="U2445" s="99" t="str">
        <f>IFERROR(IF(#REF!="S",VLOOKUP('Raw Data'!A2445,References!#REF!,2,FALSE),(VLOOKUP($S2445,References!$B$3:$C$8,2,FALSE))),"")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2"/>
        <v>0</v>
      </c>
      <c r="T2446" s="98">
        <f t="shared" si="141"/>
        <v>0</v>
      </c>
      <c r="U2446" s="99" t="str">
        <f>IFERROR(IF(#REF!="S",VLOOKUP('Raw Data'!A2446,References!#REF!,2,FALSE),(VLOOKUP($S2446,References!$B$3:$C$8,2,FALSE))),"")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2"/>
        <v>0</v>
      </c>
      <c r="T2447" s="98">
        <f t="shared" si="141"/>
        <v>0</v>
      </c>
      <c r="U2447" s="99" t="str">
        <f>IFERROR(IF(#REF!="S",VLOOKUP('Raw Data'!A2447,References!#REF!,2,FALSE),(VLOOKUP($S2447,References!$B$3:$C$8,2,FALSE))),"")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2"/>
        <v>0</v>
      </c>
      <c r="T2448" s="98">
        <f t="shared" ref="T2448:T2511" si="143">IF(S2448="50 - Cleaning Fee",1,HOUR($R2448)+MINUTE(R2448)/60)</f>
        <v>0</v>
      </c>
      <c r="U2448" s="99" t="str">
        <f>IFERROR(IF(#REF!="S",VLOOKUP('Raw Data'!A2448,References!#REF!,2,FALSE),(VLOOKUP($S2448,References!$B$3:$C$8,2,FALSE))),"")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2"/>
        <v>0</v>
      </c>
      <c r="T2449" s="98">
        <f t="shared" si="143"/>
        <v>0</v>
      </c>
      <c r="U2449" s="99" t="str">
        <f>IFERROR(IF(#REF!="S",VLOOKUP('Raw Data'!A2449,References!#REF!,2,FALSE),(VLOOKUP($S2449,References!$B$3:$C$8,2,FALSE))),"")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2"/>
        <v>0</v>
      </c>
      <c r="T2450" s="98">
        <f t="shared" si="143"/>
        <v>0</v>
      </c>
      <c r="U2450" s="99" t="str">
        <f>IFERROR(IF(#REF!="S",VLOOKUP('Raw Data'!A2450,References!#REF!,2,FALSE),(VLOOKUP($S2450,References!$B$3:$C$8,2,FALSE))),"")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2"/>
        <v>0</v>
      </c>
      <c r="T2451" s="98">
        <f t="shared" si="143"/>
        <v>0</v>
      </c>
      <c r="U2451" s="99" t="str">
        <f>IFERROR(IF(#REF!="S",VLOOKUP('Raw Data'!A2451,References!#REF!,2,FALSE),(VLOOKUP($S2451,References!$B$3:$C$8,2,FALSE))),"")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2"/>
        <v>0</v>
      </c>
      <c r="T2452" s="98">
        <f t="shared" si="143"/>
        <v>0</v>
      </c>
      <c r="U2452" s="99" t="str">
        <f>IFERROR(IF(#REF!="S",VLOOKUP('Raw Data'!A2452,References!#REF!,2,FALSE),(VLOOKUP($S2452,References!$B$3:$C$8,2,FALSE))),"")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2"/>
        <v>0</v>
      </c>
      <c r="T2453" s="98">
        <f t="shared" si="143"/>
        <v>0</v>
      </c>
      <c r="U2453" s="99" t="str">
        <f>IFERROR(IF(#REF!="S",VLOOKUP('Raw Data'!A2453,References!#REF!,2,FALSE),(VLOOKUP($S2453,References!$B$3:$C$8,2,FALSE))),"")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2"/>
        <v>0</v>
      </c>
      <c r="T2454" s="98">
        <f t="shared" si="143"/>
        <v>0</v>
      </c>
      <c r="U2454" s="99" t="str">
        <f>IFERROR(IF(#REF!="S",VLOOKUP('Raw Data'!A2454,References!#REF!,2,FALSE),(VLOOKUP($S2454,References!$B$3:$C$8,2,FALSE))),"")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2"/>
        <v>0</v>
      </c>
      <c r="T2455" s="98">
        <f t="shared" si="143"/>
        <v>0</v>
      </c>
      <c r="U2455" s="99" t="str">
        <f>IFERROR(IF(#REF!="S",VLOOKUP('Raw Data'!A2455,References!#REF!,2,FALSE),(VLOOKUP($S2455,References!$B$3:$C$8,2,FALSE))),"")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2"/>
        <v>0</v>
      </c>
      <c r="T2456" s="98">
        <f t="shared" si="143"/>
        <v>0</v>
      </c>
      <c r="U2456" s="99" t="str">
        <f>IFERROR(IF(#REF!="S",VLOOKUP('Raw Data'!A2456,References!#REF!,2,FALSE),(VLOOKUP($S2456,References!$B$3:$C$8,2,FALSE))),"")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2"/>
        <v>0</v>
      </c>
      <c r="T2457" s="98">
        <f t="shared" si="143"/>
        <v>0</v>
      </c>
      <c r="U2457" s="99" t="str">
        <f>IFERROR(IF(#REF!="S",VLOOKUP('Raw Data'!A2457,References!#REF!,2,FALSE),(VLOOKUP($S2457,References!$B$3:$C$8,2,FALSE))),"")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2"/>
        <v>0</v>
      </c>
      <c r="T2458" s="98">
        <f t="shared" si="143"/>
        <v>0</v>
      </c>
      <c r="U2458" s="99" t="str">
        <f>IFERROR(IF(#REF!="S",VLOOKUP('Raw Data'!A2458,References!#REF!,2,FALSE),(VLOOKUP($S2458,References!$B$3:$C$8,2,FALSE))),"")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2"/>
        <v>0</v>
      </c>
      <c r="T2459" s="98">
        <f t="shared" si="143"/>
        <v>0</v>
      </c>
      <c r="U2459" s="99" t="str">
        <f>IFERROR(IF(#REF!="S",VLOOKUP('Raw Data'!A2459,References!#REF!,2,FALSE),(VLOOKUP($S2459,References!$B$3:$C$8,2,FALSE))),"")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2"/>
        <v>0</v>
      </c>
      <c r="T2460" s="98">
        <f t="shared" si="143"/>
        <v>0</v>
      </c>
      <c r="U2460" s="99" t="str">
        <f>IFERROR(IF(#REF!="S",VLOOKUP('Raw Data'!A2460,References!#REF!,2,FALSE),(VLOOKUP($S2460,References!$B$3:$C$8,2,FALSE))),"")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2"/>
        <v>0</v>
      </c>
      <c r="T2461" s="98">
        <f t="shared" si="143"/>
        <v>0</v>
      </c>
      <c r="U2461" s="99" t="str">
        <f>IFERROR(IF(#REF!="S",VLOOKUP('Raw Data'!A2461,References!#REF!,2,FALSE),(VLOOKUP($S2461,References!$B$3:$C$8,2,FALSE))),"")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2"/>
        <v>0</v>
      </c>
      <c r="T2462" s="98">
        <f t="shared" si="143"/>
        <v>0</v>
      </c>
      <c r="U2462" s="99" t="str">
        <f>IFERROR(IF(#REF!="S",VLOOKUP('Raw Data'!A2462,References!#REF!,2,FALSE),(VLOOKUP($S2462,References!$B$3:$C$8,2,FALSE))),"")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2"/>
        <v>0</v>
      </c>
      <c r="T2463" s="98">
        <f t="shared" si="143"/>
        <v>0</v>
      </c>
      <c r="U2463" s="99" t="str">
        <f>IFERROR(IF(#REF!="S",VLOOKUP('Raw Data'!A2463,References!#REF!,2,FALSE),(VLOOKUP($S2463,References!$B$3:$C$8,2,FALSE))),"")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2"/>
        <v>0</v>
      </c>
      <c r="T2464" s="98">
        <f t="shared" si="143"/>
        <v>0</v>
      </c>
      <c r="U2464" s="99" t="str">
        <f>IFERROR(IF(#REF!="S",VLOOKUP('Raw Data'!A2464,References!#REF!,2,FALSE),(VLOOKUP($S2464,References!$B$3:$C$8,2,FALSE))),"")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2"/>
        <v>0</v>
      </c>
      <c r="T2465" s="98">
        <f t="shared" si="143"/>
        <v>0</v>
      </c>
      <c r="U2465" s="99" t="str">
        <f>IFERROR(IF(#REF!="S",VLOOKUP('Raw Data'!A2465,References!#REF!,2,FALSE),(VLOOKUP($S2465,References!$B$3:$C$8,2,FALSE))),"")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2"/>
        <v>0</v>
      </c>
      <c r="T2466" s="98">
        <f t="shared" si="143"/>
        <v>0</v>
      </c>
      <c r="U2466" s="99" t="str">
        <f>IFERROR(IF(#REF!="S",VLOOKUP('Raw Data'!A2466,References!#REF!,2,FALSE),(VLOOKUP($S2466,References!$B$3:$C$8,2,FALSE))),"")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2"/>
        <v>0</v>
      </c>
      <c r="T2467" s="98">
        <f t="shared" si="143"/>
        <v>0</v>
      </c>
      <c r="U2467" s="99" t="str">
        <f>IFERROR(IF(#REF!="S",VLOOKUP('Raw Data'!A2467,References!#REF!,2,FALSE),(VLOOKUP($S2467,References!$B$3:$C$8,2,FALSE))),"")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2"/>
        <v>0</v>
      </c>
      <c r="T2468" s="98">
        <f t="shared" si="143"/>
        <v>0</v>
      </c>
      <c r="U2468" s="99" t="str">
        <f>IFERROR(IF(#REF!="S",VLOOKUP('Raw Data'!A2468,References!#REF!,2,FALSE),(VLOOKUP($S2468,References!$B$3:$C$8,2,FALSE))),"")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2"/>
        <v>0</v>
      </c>
      <c r="T2469" s="98">
        <f t="shared" si="143"/>
        <v>0</v>
      </c>
      <c r="U2469" s="99" t="str">
        <f>IFERROR(IF(#REF!="S",VLOOKUP('Raw Data'!A2469,References!#REF!,2,FALSE),(VLOOKUP($S2469,References!$B$3:$C$8,2,FALSE))),"")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2"/>
        <v>0</v>
      </c>
      <c r="T2470" s="98">
        <f t="shared" si="143"/>
        <v>0</v>
      </c>
      <c r="U2470" s="99" t="str">
        <f>IFERROR(IF(#REF!="S",VLOOKUP('Raw Data'!A2470,References!#REF!,2,FALSE),(VLOOKUP($S2470,References!$B$3:$C$8,2,FALSE))),"")</f>
        <v/>
      </c>
      <c r="W2470" s="66" t="str">
        <f>IFERROR(VLOOKUP($O2470,'Customer List'!$A$1:$J$488,10,FALSE),"")</f>
        <v/>
      </c>
    </row>
    <row r="2471" spans="18:23">
      <c r="R2471" s="97">
        <f t="shared" si="142"/>
        <v>0</v>
      </c>
      <c r="T2471" s="98">
        <f t="shared" si="143"/>
        <v>0</v>
      </c>
      <c r="U2471" s="99" t="str">
        <f>IFERROR(IF(#REF!="S",VLOOKUP('Raw Data'!A2471,References!#REF!,2,FALSE),(VLOOKUP($S2471,References!$B$3:$C$8,2,FALSE))),"")</f>
        <v/>
      </c>
      <c r="W2471" s="66" t="str">
        <f>IFERROR(VLOOKUP($O2471,'Customer List'!$A$1:$J$488,10,FALSE),"")</f>
        <v/>
      </c>
    </row>
    <row r="2472" spans="18:23">
      <c r="R2472" s="97">
        <f t="shared" ref="R2472:R2535" si="144">L2472-K2472</f>
        <v>0</v>
      </c>
      <c r="T2472" s="98">
        <f t="shared" si="143"/>
        <v>0</v>
      </c>
      <c r="U2472" s="99" t="str">
        <f>IFERROR(IF(#REF!="S",VLOOKUP('Raw Data'!A2472,References!#REF!,2,FALSE),(VLOOKUP($S2472,References!$B$3:$C$8,2,FALSE))),"")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4"/>
        <v>0</v>
      </c>
      <c r="T2473" s="98">
        <f t="shared" si="143"/>
        <v>0</v>
      </c>
      <c r="U2473" s="99" t="str">
        <f>IFERROR(IF(#REF!="S",VLOOKUP('Raw Data'!A2473,References!#REF!,2,FALSE),(VLOOKUP($S2473,References!$B$3:$C$8,2,FALSE))),"")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4"/>
        <v>0</v>
      </c>
      <c r="T2474" s="98">
        <f t="shared" si="143"/>
        <v>0</v>
      </c>
      <c r="U2474" s="99" t="str">
        <f>IFERROR(IF(#REF!="S",VLOOKUP('Raw Data'!A2474,References!#REF!,2,FALSE),(VLOOKUP($S2474,References!$B$3:$C$8,2,FALSE))),"")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4"/>
        <v>0</v>
      </c>
      <c r="T2475" s="98">
        <f t="shared" si="143"/>
        <v>0</v>
      </c>
      <c r="U2475" s="99" t="str">
        <f>IFERROR(IF(#REF!="S",VLOOKUP('Raw Data'!A2475,References!#REF!,2,FALSE),(VLOOKUP($S2475,References!$B$3:$C$8,2,FALSE))),"")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4"/>
        <v>0</v>
      </c>
      <c r="T2476" s="98">
        <f t="shared" si="143"/>
        <v>0</v>
      </c>
      <c r="U2476" s="99" t="str">
        <f>IFERROR(IF(#REF!="S",VLOOKUP('Raw Data'!A2476,References!#REF!,2,FALSE),(VLOOKUP($S2476,References!$B$3:$C$8,2,FALSE))),"")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4"/>
        <v>0</v>
      </c>
      <c r="T2477" s="98">
        <f t="shared" si="143"/>
        <v>0</v>
      </c>
      <c r="U2477" s="99" t="str">
        <f>IFERROR(IF(#REF!="S",VLOOKUP('Raw Data'!A2477,References!#REF!,2,FALSE),(VLOOKUP($S2477,References!$B$3:$C$8,2,FALSE))),"")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4"/>
        <v>0</v>
      </c>
      <c r="T2478" s="98">
        <f t="shared" si="143"/>
        <v>0</v>
      </c>
      <c r="U2478" s="99" t="str">
        <f>IFERROR(IF(#REF!="S",VLOOKUP('Raw Data'!A2478,References!#REF!,2,FALSE),(VLOOKUP($S2478,References!$B$3:$C$8,2,FALSE))),"")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4"/>
        <v>0</v>
      </c>
      <c r="T2479" s="98">
        <f t="shared" si="143"/>
        <v>0</v>
      </c>
      <c r="U2479" s="99" t="str">
        <f>IFERROR(IF(#REF!="S",VLOOKUP('Raw Data'!A2479,References!#REF!,2,FALSE),(VLOOKUP($S2479,References!$B$3:$C$8,2,FALSE))),"")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4"/>
        <v>0</v>
      </c>
      <c r="T2480" s="98">
        <f t="shared" si="143"/>
        <v>0</v>
      </c>
      <c r="U2480" s="99" t="str">
        <f>IFERROR(IF(#REF!="S",VLOOKUP('Raw Data'!A2480,References!#REF!,2,FALSE),(VLOOKUP($S2480,References!$B$3:$C$8,2,FALSE))),"")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4"/>
        <v>0</v>
      </c>
      <c r="T2481" s="98">
        <f t="shared" si="143"/>
        <v>0</v>
      </c>
      <c r="U2481" s="99" t="str">
        <f>IFERROR(IF(#REF!="S",VLOOKUP('Raw Data'!A2481,References!#REF!,2,FALSE),(VLOOKUP($S2481,References!$B$3:$C$8,2,FALSE))),"")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4"/>
        <v>0</v>
      </c>
      <c r="T2482" s="98">
        <f t="shared" si="143"/>
        <v>0</v>
      </c>
      <c r="U2482" s="99" t="str">
        <f>IFERROR(IF(#REF!="S",VLOOKUP('Raw Data'!A2482,References!#REF!,2,FALSE),(VLOOKUP($S2482,References!$B$3:$C$8,2,FALSE))),"")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4"/>
        <v>0</v>
      </c>
      <c r="T2483" s="98">
        <f t="shared" si="143"/>
        <v>0</v>
      </c>
      <c r="U2483" s="99" t="str">
        <f>IFERROR(IF(#REF!="S",VLOOKUP('Raw Data'!A2483,References!#REF!,2,FALSE),(VLOOKUP($S2483,References!$B$3:$C$8,2,FALSE))),"")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4"/>
        <v>0</v>
      </c>
      <c r="T2484" s="98">
        <f t="shared" si="143"/>
        <v>0</v>
      </c>
      <c r="U2484" s="99" t="str">
        <f>IFERROR(IF(#REF!="S",VLOOKUP('Raw Data'!A2484,References!#REF!,2,FALSE),(VLOOKUP($S2484,References!$B$3:$C$8,2,FALSE))),"")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4"/>
        <v>0</v>
      </c>
      <c r="T2485" s="98">
        <f t="shared" si="143"/>
        <v>0</v>
      </c>
      <c r="U2485" s="99" t="str">
        <f>IFERROR(IF(#REF!="S",VLOOKUP('Raw Data'!A2485,References!#REF!,2,FALSE),(VLOOKUP($S2485,References!$B$3:$C$8,2,FALSE))),"")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4"/>
        <v>0</v>
      </c>
      <c r="T2486" s="98">
        <f t="shared" si="143"/>
        <v>0</v>
      </c>
      <c r="U2486" s="99" t="str">
        <f>IFERROR(IF(#REF!="S",VLOOKUP('Raw Data'!A2486,References!#REF!,2,FALSE),(VLOOKUP($S2486,References!$B$3:$C$8,2,FALSE))),"")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4"/>
        <v>0</v>
      </c>
      <c r="T2487" s="98">
        <f t="shared" si="143"/>
        <v>0</v>
      </c>
      <c r="U2487" s="99" t="str">
        <f>IFERROR(IF(#REF!="S",VLOOKUP('Raw Data'!A2487,References!#REF!,2,FALSE),(VLOOKUP($S2487,References!$B$3:$C$8,2,FALSE))),"")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4"/>
        <v>0</v>
      </c>
      <c r="T2488" s="98">
        <f t="shared" si="143"/>
        <v>0</v>
      </c>
      <c r="U2488" s="99" t="str">
        <f>IFERROR(IF(#REF!="S",VLOOKUP('Raw Data'!A2488,References!#REF!,2,FALSE),(VLOOKUP($S2488,References!$B$3:$C$8,2,FALSE))),"")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4"/>
        <v>0</v>
      </c>
      <c r="T2489" s="98">
        <f t="shared" si="143"/>
        <v>0</v>
      </c>
      <c r="U2489" s="99" t="str">
        <f>IFERROR(IF(#REF!="S",VLOOKUP('Raw Data'!A2489,References!#REF!,2,FALSE),(VLOOKUP($S2489,References!$B$3:$C$8,2,FALSE))),"")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4"/>
        <v>0</v>
      </c>
      <c r="T2490" s="98">
        <f t="shared" si="143"/>
        <v>0</v>
      </c>
      <c r="U2490" s="99" t="str">
        <f>IFERROR(IF(#REF!="S",VLOOKUP('Raw Data'!A2490,References!#REF!,2,FALSE),(VLOOKUP($S2490,References!$B$3:$C$8,2,FALSE))),"")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4"/>
        <v>0</v>
      </c>
      <c r="T2491" s="98">
        <f t="shared" si="143"/>
        <v>0</v>
      </c>
      <c r="U2491" s="99" t="str">
        <f>IFERROR(IF(#REF!="S",VLOOKUP('Raw Data'!A2491,References!#REF!,2,FALSE),(VLOOKUP($S2491,References!$B$3:$C$8,2,FALSE))),"")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4"/>
        <v>0</v>
      </c>
      <c r="T2492" s="98">
        <f t="shared" si="143"/>
        <v>0</v>
      </c>
      <c r="U2492" s="99" t="str">
        <f>IFERROR(IF(#REF!="S",VLOOKUP('Raw Data'!A2492,References!#REF!,2,FALSE),(VLOOKUP($S2492,References!$B$3:$C$8,2,FALSE))),"")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4"/>
        <v>0</v>
      </c>
      <c r="T2493" s="98">
        <f t="shared" si="143"/>
        <v>0</v>
      </c>
      <c r="U2493" s="99" t="str">
        <f>IFERROR(IF(#REF!="S",VLOOKUP('Raw Data'!A2493,References!#REF!,2,FALSE),(VLOOKUP($S2493,References!$B$3:$C$8,2,FALSE))),"")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4"/>
        <v>0</v>
      </c>
      <c r="T2494" s="98">
        <f t="shared" si="143"/>
        <v>0</v>
      </c>
      <c r="U2494" s="99" t="str">
        <f>IFERROR(IF(#REF!="S",VLOOKUP('Raw Data'!A2494,References!#REF!,2,FALSE),(VLOOKUP($S2494,References!$B$3:$C$8,2,FALSE))),"")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4"/>
        <v>0</v>
      </c>
      <c r="T2495" s="98">
        <f t="shared" si="143"/>
        <v>0</v>
      </c>
      <c r="U2495" s="99" t="str">
        <f>IFERROR(IF(#REF!="S",VLOOKUP('Raw Data'!A2495,References!#REF!,2,FALSE),(VLOOKUP($S2495,References!$B$3:$C$8,2,FALSE))),"")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4"/>
        <v>0</v>
      </c>
      <c r="T2496" s="98">
        <f t="shared" si="143"/>
        <v>0</v>
      </c>
      <c r="U2496" s="99" t="str">
        <f>IFERROR(IF(#REF!="S",VLOOKUP('Raw Data'!A2496,References!#REF!,2,FALSE),(VLOOKUP($S2496,References!$B$3:$C$8,2,FALSE))),"")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4"/>
        <v>0</v>
      </c>
      <c r="T2497" s="98">
        <f t="shared" si="143"/>
        <v>0</v>
      </c>
      <c r="U2497" s="99" t="str">
        <f>IFERROR(IF(#REF!="S",VLOOKUP('Raw Data'!A2497,References!#REF!,2,FALSE),(VLOOKUP($S2497,References!$B$3:$C$8,2,FALSE))),"")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4"/>
        <v>0</v>
      </c>
      <c r="T2498" s="98">
        <f t="shared" si="143"/>
        <v>0</v>
      </c>
      <c r="U2498" s="99" t="str">
        <f>IFERROR(IF(#REF!="S",VLOOKUP('Raw Data'!A2498,References!#REF!,2,FALSE),(VLOOKUP($S2498,References!$B$3:$C$8,2,FALSE))),"")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4"/>
        <v>0</v>
      </c>
      <c r="T2499" s="98">
        <f t="shared" si="143"/>
        <v>0</v>
      </c>
      <c r="U2499" s="99" t="str">
        <f>IFERROR(IF(#REF!="S",VLOOKUP('Raw Data'!A2499,References!#REF!,2,FALSE),(VLOOKUP($S2499,References!$B$3:$C$8,2,FALSE))),"")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4"/>
        <v>0</v>
      </c>
      <c r="T2500" s="98">
        <f t="shared" si="143"/>
        <v>0</v>
      </c>
      <c r="U2500" s="99" t="str">
        <f>IFERROR(IF(#REF!="S",VLOOKUP('Raw Data'!A2500,References!#REF!,2,FALSE),(VLOOKUP($S2500,References!$B$3:$C$8,2,FALSE))),"")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4"/>
        <v>0</v>
      </c>
      <c r="T2501" s="98">
        <f t="shared" si="143"/>
        <v>0</v>
      </c>
      <c r="U2501" s="99" t="str">
        <f>IFERROR(IF(#REF!="S",VLOOKUP('Raw Data'!A2501,References!#REF!,2,FALSE),(VLOOKUP($S2501,References!$B$3:$C$8,2,FALSE))),"")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4"/>
        <v>0</v>
      </c>
      <c r="T2502" s="98">
        <f t="shared" si="143"/>
        <v>0</v>
      </c>
      <c r="U2502" s="99" t="str">
        <f>IFERROR(IF(#REF!="S",VLOOKUP('Raw Data'!A2502,References!#REF!,2,FALSE),(VLOOKUP($S2502,References!$B$3:$C$8,2,FALSE))),"")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4"/>
        <v>0</v>
      </c>
      <c r="T2503" s="98">
        <f t="shared" si="143"/>
        <v>0</v>
      </c>
      <c r="U2503" s="99" t="str">
        <f>IFERROR(IF(#REF!="S",VLOOKUP('Raw Data'!A2503,References!#REF!,2,FALSE),(VLOOKUP($S2503,References!$B$3:$C$8,2,FALSE))),"")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4"/>
        <v>0</v>
      </c>
      <c r="T2504" s="98">
        <f t="shared" si="143"/>
        <v>0</v>
      </c>
      <c r="U2504" s="99" t="str">
        <f>IFERROR(IF(#REF!="S",VLOOKUP('Raw Data'!A2504,References!#REF!,2,FALSE),(VLOOKUP($S2504,References!$B$3:$C$8,2,FALSE))),"")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4"/>
        <v>0</v>
      </c>
      <c r="T2505" s="98">
        <f t="shared" si="143"/>
        <v>0</v>
      </c>
      <c r="U2505" s="99" t="str">
        <f>IFERROR(IF(#REF!="S",VLOOKUP('Raw Data'!A2505,References!#REF!,2,FALSE),(VLOOKUP($S2505,References!$B$3:$C$8,2,FALSE))),"")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4"/>
        <v>0</v>
      </c>
      <c r="T2506" s="98">
        <f t="shared" si="143"/>
        <v>0</v>
      </c>
      <c r="U2506" s="99" t="str">
        <f>IFERROR(IF(#REF!="S",VLOOKUP('Raw Data'!A2506,References!#REF!,2,FALSE),(VLOOKUP($S2506,References!$B$3:$C$8,2,FALSE))),"")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4"/>
        <v>0</v>
      </c>
      <c r="T2507" s="98">
        <f t="shared" si="143"/>
        <v>0</v>
      </c>
      <c r="U2507" s="99" t="str">
        <f>IFERROR(IF(#REF!="S",VLOOKUP('Raw Data'!A2507,References!#REF!,2,FALSE),(VLOOKUP($S2507,References!$B$3:$C$8,2,FALSE))),"")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4"/>
        <v>0</v>
      </c>
      <c r="T2508" s="98">
        <f t="shared" si="143"/>
        <v>0</v>
      </c>
      <c r="U2508" s="99" t="str">
        <f>IFERROR(IF(#REF!="S",VLOOKUP('Raw Data'!A2508,References!#REF!,2,FALSE),(VLOOKUP($S2508,References!$B$3:$C$8,2,FALSE))),"")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4"/>
        <v>0</v>
      </c>
      <c r="T2509" s="98">
        <f t="shared" si="143"/>
        <v>0</v>
      </c>
      <c r="U2509" s="99" t="str">
        <f>IFERROR(IF(#REF!="S",VLOOKUP('Raw Data'!A2509,References!#REF!,2,FALSE),(VLOOKUP($S2509,References!$B$3:$C$8,2,FALSE))),"")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4"/>
        <v>0</v>
      </c>
      <c r="T2510" s="98">
        <f t="shared" si="143"/>
        <v>0</v>
      </c>
      <c r="U2510" s="99" t="str">
        <f>IFERROR(IF(#REF!="S",VLOOKUP('Raw Data'!A2510,References!#REF!,2,FALSE),(VLOOKUP($S2510,References!$B$3:$C$8,2,FALSE))),"")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4"/>
        <v>0</v>
      </c>
      <c r="T2511" s="98">
        <f t="shared" si="143"/>
        <v>0</v>
      </c>
      <c r="U2511" s="99" t="str">
        <f>IFERROR(IF(#REF!="S",VLOOKUP('Raw Data'!A2511,References!#REF!,2,FALSE),(VLOOKUP($S2511,References!$B$3:$C$8,2,FALSE))),"")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4"/>
        <v>0</v>
      </c>
      <c r="T2512" s="98">
        <f t="shared" ref="T2512:T2575" si="145">IF(S2512="50 - Cleaning Fee",1,HOUR($R2512)+MINUTE(R2512)/60)</f>
        <v>0</v>
      </c>
      <c r="U2512" s="99" t="str">
        <f>IFERROR(IF(#REF!="S",VLOOKUP('Raw Data'!A2512,References!#REF!,2,FALSE),(VLOOKUP($S2512,References!$B$3:$C$8,2,FALSE))),"")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4"/>
        <v>0</v>
      </c>
      <c r="T2513" s="98">
        <f t="shared" si="145"/>
        <v>0</v>
      </c>
      <c r="U2513" s="99" t="str">
        <f>IFERROR(IF(#REF!="S",VLOOKUP('Raw Data'!A2513,References!#REF!,2,FALSE),(VLOOKUP($S2513,References!$B$3:$C$8,2,FALSE))),"")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4"/>
        <v>0</v>
      </c>
      <c r="T2514" s="98">
        <f t="shared" si="145"/>
        <v>0</v>
      </c>
      <c r="U2514" s="99" t="str">
        <f>IFERROR(IF(#REF!="S",VLOOKUP('Raw Data'!A2514,References!#REF!,2,FALSE),(VLOOKUP($S2514,References!$B$3:$C$8,2,FALSE))),"")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4"/>
        <v>0</v>
      </c>
      <c r="T2515" s="98">
        <f t="shared" si="145"/>
        <v>0</v>
      </c>
      <c r="U2515" s="99" t="str">
        <f>IFERROR(IF(#REF!="S",VLOOKUP('Raw Data'!A2515,References!#REF!,2,FALSE),(VLOOKUP($S2515,References!$B$3:$C$8,2,FALSE))),"")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4"/>
        <v>0</v>
      </c>
      <c r="T2516" s="98">
        <f t="shared" si="145"/>
        <v>0</v>
      </c>
      <c r="U2516" s="99" t="str">
        <f>IFERROR(IF(#REF!="S",VLOOKUP('Raw Data'!A2516,References!#REF!,2,FALSE),(VLOOKUP($S2516,References!$B$3:$C$8,2,FALSE))),"")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4"/>
        <v>0</v>
      </c>
      <c r="T2517" s="98">
        <f t="shared" si="145"/>
        <v>0</v>
      </c>
      <c r="U2517" s="99" t="str">
        <f>IFERROR(IF(#REF!="S",VLOOKUP('Raw Data'!A2517,References!#REF!,2,FALSE),(VLOOKUP($S2517,References!$B$3:$C$8,2,FALSE))),"")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4"/>
        <v>0</v>
      </c>
      <c r="T2518" s="98">
        <f t="shared" si="145"/>
        <v>0</v>
      </c>
      <c r="U2518" s="99" t="str">
        <f>IFERROR(IF(#REF!="S",VLOOKUP('Raw Data'!A2518,References!#REF!,2,FALSE),(VLOOKUP($S2518,References!$B$3:$C$8,2,FALSE))),"")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4"/>
        <v>0</v>
      </c>
      <c r="T2519" s="98">
        <f t="shared" si="145"/>
        <v>0</v>
      </c>
      <c r="U2519" s="99" t="str">
        <f>IFERROR(IF(#REF!="S",VLOOKUP('Raw Data'!A2519,References!#REF!,2,FALSE),(VLOOKUP($S2519,References!$B$3:$C$8,2,FALSE))),"")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4"/>
        <v>0</v>
      </c>
      <c r="T2520" s="98">
        <f t="shared" si="145"/>
        <v>0</v>
      </c>
      <c r="U2520" s="99" t="str">
        <f>IFERROR(IF(#REF!="S",VLOOKUP('Raw Data'!A2520,References!#REF!,2,FALSE),(VLOOKUP($S2520,References!$B$3:$C$8,2,FALSE))),"")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4"/>
        <v>0</v>
      </c>
      <c r="T2521" s="98">
        <f t="shared" si="145"/>
        <v>0</v>
      </c>
      <c r="U2521" s="99" t="str">
        <f>IFERROR(IF(#REF!="S",VLOOKUP('Raw Data'!A2521,References!#REF!,2,FALSE),(VLOOKUP($S2521,References!$B$3:$C$8,2,FALSE))),"")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4"/>
        <v>0</v>
      </c>
      <c r="T2522" s="98">
        <f t="shared" si="145"/>
        <v>0</v>
      </c>
      <c r="U2522" s="99" t="str">
        <f>IFERROR(IF(#REF!="S",VLOOKUP('Raw Data'!A2522,References!#REF!,2,FALSE),(VLOOKUP($S2522,References!$B$3:$C$8,2,FALSE))),"")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4"/>
        <v>0</v>
      </c>
      <c r="T2523" s="98">
        <f t="shared" si="145"/>
        <v>0</v>
      </c>
      <c r="U2523" s="99" t="str">
        <f>IFERROR(IF(#REF!="S",VLOOKUP('Raw Data'!A2523,References!#REF!,2,FALSE),(VLOOKUP($S2523,References!$B$3:$C$8,2,FALSE))),"")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4"/>
        <v>0</v>
      </c>
      <c r="T2524" s="98">
        <f t="shared" si="145"/>
        <v>0</v>
      </c>
      <c r="U2524" s="99" t="str">
        <f>IFERROR(IF(#REF!="S",VLOOKUP('Raw Data'!A2524,References!#REF!,2,FALSE),(VLOOKUP($S2524,References!$B$3:$C$8,2,FALSE))),"")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4"/>
        <v>0</v>
      </c>
      <c r="T2525" s="98">
        <f t="shared" si="145"/>
        <v>0</v>
      </c>
      <c r="U2525" s="99" t="str">
        <f>IFERROR(IF(#REF!="S",VLOOKUP('Raw Data'!A2525,References!#REF!,2,FALSE),(VLOOKUP($S2525,References!$B$3:$C$8,2,FALSE))),"")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4"/>
        <v>0</v>
      </c>
      <c r="T2526" s="98">
        <f t="shared" si="145"/>
        <v>0</v>
      </c>
      <c r="U2526" s="99" t="str">
        <f>IFERROR(IF(#REF!="S",VLOOKUP('Raw Data'!A2526,References!#REF!,2,FALSE),(VLOOKUP($S2526,References!$B$3:$C$8,2,FALSE))),"")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4"/>
        <v>0</v>
      </c>
      <c r="T2527" s="98">
        <f t="shared" si="145"/>
        <v>0</v>
      </c>
      <c r="U2527" s="99" t="str">
        <f>IFERROR(IF(#REF!="S",VLOOKUP('Raw Data'!A2527,References!#REF!,2,FALSE),(VLOOKUP($S2527,References!$B$3:$C$8,2,FALSE))),"")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4"/>
        <v>0</v>
      </c>
      <c r="T2528" s="98">
        <f t="shared" si="145"/>
        <v>0</v>
      </c>
      <c r="U2528" s="99" t="str">
        <f>IFERROR(IF(#REF!="S",VLOOKUP('Raw Data'!A2528,References!#REF!,2,FALSE),(VLOOKUP($S2528,References!$B$3:$C$8,2,FALSE))),"")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4"/>
        <v>0</v>
      </c>
      <c r="T2529" s="98">
        <f t="shared" si="145"/>
        <v>0</v>
      </c>
      <c r="U2529" s="99" t="str">
        <f>IFERROR(IF(#REF!="S",VLOOKUP('Raw Data'!A2529,References!#REF!,2,FALSE),(VLOOKUP($S2529,References!$B$3:$C$8,2,FALSE))),"")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4"/>
        <v>0</v>
      </c>
      <c r="T2530" s="98">
        <f t="shared" si="145"/>
        <v>0</v>
      </c>
      <c r="U2530" s="99" t="str">
        <f>IFERROR(IF(#REF!="S",VLOOKUP('Raw Data'!A2530,References!#REF!,2,FALSE),(VLOOKUP($S2530,References!$B$3:$C$8,2,FALSE))),"")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4"/>
        <v>0</v>
      </c>
      <c r="T2531" s="98">
        <f t="shared" si="145"/>
        <v>0</v>
      </c>
      <c r="U2531" s="99" t="str">
        <f>IFERROR(IF(#REF!="S",VLOOKUP('Raw Data'!A2531,References!#REF!,2,FALSE),(VLOOKUP($S2531,References!$B$3:$C$8,2,FALSE))),"")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4"/>
        <v>0</v>
      </c>
      <c r="T2532" s="98">
        <f t="shared" si="145"/>
        <v>0</v>
      </c>
      <c r="U2532" s="99" t="str">
        <f>IFERROR(IF(#REF!="S",VLOOKUP('Raw Data'!A2532,References!#REF!,2,FALSE),(VLOOKUP($S2532,References!$B$3:$C$8,2,FALSE))),"")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4"/>
        <v>0</v>
      </c>
      <c r="T2533" s="98">
        <f t="shared" si="145"/>
        <v>0</v>
      </c>
      <c r="U2533" s="99" t="str">
        <f>IFERROR(IF(#REF!="S",VLOOKUP('Raw Data'!A2533,References!#REF!,2,FALSE),(VLOOKUP($S2533,References!$B$3:$C$8,2,FALSE))),"")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4"/>
        <v>0</v>
      </c>
      <c r="T2534" s="98">
        <f t="shared" si="145"/>
        <v>0</v>
      </c>
      <c r="U2534" s="99" t="str">
        <f>IFERROR(IF(#REF!="S",VLOOKUP('Raw Data'!A2534,References!#REF!,2,FALSE),(VLOOKUP($S2534,References!$B$3:$C$8,2,FALSE))),"")</f>
        <v/>
      </c>
      <c r="W2534" s="66" t="str">
        <f>IFERROR(VLOOKUP($O2534,'Customer List'!$A$1:$J$488,10,FALSE),"")</f>
        <v/>
      </c>
    </row>
    <row r="2535" spans="18:23">
      <c r="R2535" s="97">
        <f t="shared" si="144"/>
        <v>0</v>
      </c>
      <c r="T2535" s="98">
        <f t="shared" si="145"/>
        <v>0</v>
      </c>
      <c r="U2535" s="99" t="str">
        <f>IFERROR(IF(#REF!="S",VLOOKUP('Raw Data'!A2535,References!#REF!,2,FALSE),(VLOOKUP($S2535,References!$B$3:$C$8,2,FALSE))),"")</f>
        <v/>
      </c>
      <c r="W2535" s="66" t="str">
        <f>IFERROR(VLOOKUP($O2535,'Customer List'!$A$1:$J$488,10,FALSE),"")</f>
        <v/>
      </c>
    </row>
    <row r="2536" spans="18:23">
      <c r="R2536" s="97">
        <f t="shared" ref="R2536:R2599" si="146">L2536-K2536</f>
        <v>0</v>
      </c>
      <c r="T2536" s="98">
        <f t="shared" si="145"/>
        <v>0</v>
      </c>
      <c r="U2536" s="99" t="str">
        <f>IFERROR(IF(#REF!="S",VLOOKUP('Raw Data'!A2536,References!#REF!,2,FALSE),(VLOOKUP($S2536,References!$B$3:$C$8,2,FALSE))),"")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6"/>
        <v>0</v>
      </c>
      <c r="T2537" s="98">
        <f t="shared" si="145"/>
        <v>0</v>
      </c>
      <c r="U2537" s="99" t="str">
        <f>IFERROR(IF(#REF!="S",VLOOKUP('Raw Data'!A2537,References!#REF!,2,FALSE),(VLOOKUP($S2537,References!$B$3:$C$8,2,FALSE))),"")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6"/>
        <v>0</v>
      </c>
      <c r="T2538" s="98">
        <f t="shared" si="145"/>
        <v>0</v>
      </c>
      <c r="U2538" s="99" t="str">
        <f>IFERROR(IF(#REF!="S",VLOOKUP('Raw Data'!A2538,References!#REF!,2,FALSE),(VLOOKUP($S2538,References!$B$3:$C$8,2,FALSE))),"")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6"/>
        <v>0</v>
      </c>
      <c r="T2539" s="98">
        <f t="shared" si="145"/>
        <v>0</v>
      </c>
      <c r="U2539" s="99" t="str">
        <f>IFERROR(IF(#REF!="S",VLOOKUP('Raw Data'!A2539,References!#REF!,2,FALSE),(VLOOKUP($S2539,References!$B$3:$C$8,2,FALSE))),"")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6"/>
        <v>0</v>
      </c>
      <c r="T2540" s="98">
        <f t="shared" si="145"/>
        <v>0</v>
      </c>
      <c r="U2540" s="99" t="str">
        <f>IFERROR(IF(#REF!="S",VLOOKUP('Raw Data'!A2540,References!#REF!,2,FALSE),(VLOOKUP($S2540,References!$B$3:$C$8,2,FALSE))),"")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6"/>
        <v>0</v>
      </c>
      <c r="T2541" s="98">
        <f t="shared" si="145"/>
        <v>0</v>
      </c>
      <c r="U2541" s="99" t="str">
        <f>IFERROR(IF(#REF!="S",VLOOKUP('Raw Data'!A2541,References!#REF!,2,FALSE),(VLOOKUP($S2541,References!$B$3:$C$8,2,FALSE))),"")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6"/>
        <v>0</v>
      </c>
      <c r="T2542" s="98">
        <f t="shared" si="145"/>
        <v>0</v>
      </c>
      <c r="U2542" s="99" t="str">
        <f>IFERROR(IF(#REF!="S",VLOOKUP('Raw Data'!A2542,References!#REF!,2,FALSE),(VLOOKUP($S2542,References!$B$3:$C$8,2,FALSE))),"")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6"/>
        <v>0</v>
      </c>
      <c r="T2543" s="98">
        <f t="shared" si="145"/>
        <v>0</v>
      </c>
      <c r="U2543" s="99" t="str">
        <f>IFERROR(IF(#REF!="S",VLOOKUP('Raw Data'!A2543,References!#REF!,2,FALSE),(VLOOKUP($S2543,References!$B$3:$C$8,2,FALSE))),"")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6"/>
        <v>0</v>
      </c>
      <c r="T2544" s="98">
        <f t="shared" si="145"/>
        <v>0</v>
      </c>
      <c r="U2544" s="99" t="str">
        <f>IFERROR(IF(#REF!="S",VLOOKUP('Raw Data'!A2544,References!#REF!,2,FALSE),(VLOOKUP($S2544,References!$B$3:$C$8,2,FALSE))),"")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6"/>
        <v>0</v>
      </c>
      <c r="T2545" s="98">
        <f t="shared" si="145"/>
        <v>0</v>
      </c>
      <c r="U2545" s="99" t="str">
        <f>IFERROR(IF(#REF!="S",VLOOKUP('Raw Data'!A2545,References!#REF!,2,FALSE),(VLOOKUP($S2545,References!$B$3:$C$8,2,FALSE))),"")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6"/>
        <v>0</v>
      </c>
      <c r="T2546" s="98">
        <f t="shared" si="145"/>
        <v>0</v>
      </c>
      <c r="U2546" s="99" t="str">
        <f>IFERROR(IF(#REF!="S",VLOOKUP('Raw Data'!A2546,References!#REF!,2,FALSE),(VLOOKUP($S2546,References!$B$3:$C$8,2,FALSE))),"")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6"/>
        <v>0</v>
      </c>
      <c r="T2547" s="98">
        <f t="shared" si="145"/>
        <v>0</v>
      </c>
      <c r="U2547" s="99" t="str">
        <f>IFERROR(IF(#REF!="S",VLOOKUP('Raw Data'!A2547,References!#REF!,2,FALSE),(VLOOKUP($S2547,References!$B$3:$C$8,2,FALSE))),"")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6"/>
        <v>0</v>
      </c>
      <c r="T2548" s="98">
        <f t="shared" si="145"/>
        <v>0</v>
      </c>
      <c r="U2548" s="99" t="str">
        <f>IFERROR(IF(#REF!="S",VLOOKUP('Raw Data'!A2548,References!#REF!,2,FALSE),(VLOOKUP($S2548,References!$B$3:$C$8,2,FALSE))),"")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6"/>
        <v>0</v>
      </c>
      <c r="T2549" s="98">
        <f t="shared" si="145"/>
        <v>0</v>
      </c>
      <c r="U2549" s="99" t="str">
        <f>IFERROR(IF(#REF!="S",VLOOKUP('Raw Data'!A2549,References!#REF!,2,FALSE),(VLOOKUP($S2549,References!$B$3:$C$8,2,FALSE))),"")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6"/>
        <v>0</v>
      </c>
      <c r="T2550" s="98">
        <f t="shared" si="145"/>
        <v>0</v>
      </c>
      <c r="U2550" s="99" t="str">
        <f>IFERROR(IF(#REF!="S",VLOOKUP('Raw Data'!A2550,References!#REF!,2,FALSE),(VLOOKUP($S2550,References!$B$3:$C$8,2,FALSE))),"")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6"/>
        <v>0</v>
      </c>
      <c r="T2551" s="98">
        <f t="shared" si="145"/>
        <v>0</v>
      </c>
      <c r="U2551" s="99" t="str">
        <f>IFERROR(IF(#REF!="S",VLOOKUP('Raw Data'!A2551,References!#REF!,2,FALSE),(VLOOKUP($S2551,References!$B$3:$C$8,2,FALSE))),"")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6"/>
        <v>0</v>
      </c>
      <c r="T2552" s="98">
        <f t="shared" si="145"/>
        <v>0</v>
      </c>
      <c r="U2552" s="99" t="str">
        <f>IFERROR(IF(#REF!="S",VLOOKUP('Raw Data'!A2552,References!#REF!,2,FALSE),(VLOOKUP($S2552,References!$B$3:$C$8,2,FALSE))),"")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6"/>
        <v>0</v>
      </c>
      <c r="T2553" s="98">
        <f t="shared" si="145"/>
        <v>0</v>
      </c>
      <c r="U2553" s="99" t="str">
        <f>IFERROR(IF(#REF!="S",VLOOKUP('Raw Data'!A2553,References!#REF!,2,FALSE),(VLOOKUP($S2553,References!$B$3:$C$8,2,FALSE))),"")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6"/>
        <v>0</v>
      </c>
      <c r="T2554" s="98">
        <f t="shared" si="145"/>
        <v>0</v>
      </c>
      <c r="U2554" s="99" t="str">
        <f>IFERROR(IF(#REF!="S",VLOOKUP('Raw Data'!A2554,References!#REF!,2,FALSE),(VLOOKUP($S2554,References!$B$3:$C$8,2,FALSE))),"")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6"/>
        <v>0</v>
      </c>
      <c r="T2555" s="98">
        <f t="shared" si="145"/>
        <v>0</v>
      </c>
      <c r="U2555" s="99" t="str">
        <f>IFERROR(IF(#REF!="S",VLOOKUP('Raw Data'!A2555,References!#REF!,2,FALSE),(VLOOKUP($S2555,References!$B$3:$C$8,2,FALSE))),"")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6"/>
        <v>0</v>
      </c>
      <c r="T2556" s="98">
        <f t="shared" si="145"/>
        <v>0</v>
      </c>
      <c r="U2556" s="99" t="str">
        <f>IFERROR(IF(#REF!="S",VLOOKUP('Raw Data'!A2556,References!#REF!,2,FALSE),(VLOOKUP($S2556,References!$B$3:$C$8,2,FALSE))),"")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6"/>
        <v>0</v>
      </c>
      <c r="T2557" s="98">
        <f t="shared" si="145"/>
        <v>0</v>
      </c>
      <c r="U2557" s="99" t="str">
        <f>IFERROR(IF(#REF!="S",VLOOKUP('Raw Data'!A2557,References!#REF!,2,FALSE),(VLOOKUP($S2557,References!$B$3:$C$8,2,FALSE))),"")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6"/>
        <v>0</v>
      </c>
      <c r="T2558" s="98">
        <f t="shared" si="145"/>
        <v>0</v>
      </c>
      <c r="U2558" s="99" t="str">
        <f>IFERROR(IF(#REF!="S",VLOOKUP('Raw Data'!A2558,References!#REF!,2,FALSE),(VLOOKUP($S2558,References!$B$3:$C$8,2,FALSE))),"")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6"/>
        <v>0</v>
      </c>
      <c r="T2559" s="98">
        <f t="shared" si="145"/>
        <v>0</v>
      </c>
      <c r="U2559" s="99" t="str">
        <f>IFERROR(IF(#REF!="S",VLOOKUP('Raw Data'!A2559,References!#REF!,2,FALSE),(VLOOKUP($S2559,References!$B$3:$C$8,2,FALSE))),"")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6"/>
        <v>0</v>
      </c>
      <c r="T2560" s="98">
        <f t="shared" si="145"/>
        <v>0</v>
      </c>
      <c r="U2560" s="99" t="str">
        <f>IFERROR(IF(#REF!="S",VLOOKUP('Raw Data'!A2560,References!#REF!,2,FALSE),(VLOOKUP($S2560,References!$B$3:$C$8,2,FALSE))),"")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6"/>
        <v>0</v>
      </c>
      <c r="T2561" s="98">
        <f t="shared" si="145"/>
        <v>0</v>
      </c>
      <c r="U2561" s="99" t="str">
        <f>IFERROR(IF(#REF!="S",VLOOKUP('Raw Data'!A2561,References!#REF!,2,FALSE),(VLOOKUP($S2561,References!$B$3:$C$8,2,FALSE))),"")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6"/>
        <v>0</v>
      </c>
      <c r="T2562" s="98">
        <f t="shared" si="145"/>
        <v>0</v>
      </c>
      <c r="U2562" s="99" t="str">
        <f>IFERROR(IF(#REF!="S",VLOOKUP('Raw Data'!A2562,References!#REF!,2,FALSE),(VLOOKUP($S2562,References!$B$3:$C$8,2,FALSE))),"")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6"/>
        <v>0</v>
      </c>
      <c r="T2563" s="98">
        <f t="shared" si="145"/>
        <v>0</v>
      </c>
      <c r="U2563" s="99" t="str">
        <f>IFERROR(IF(#REF!="S",VLOOKUP('Raw Data'!A2563,References!#REF!,2,FALSE),(VLOOKUP($S2563,References!$B$3:$C$8,2,FALSE))),"")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6"/>
        <v>0</v>
      </c>
      <c r="T2564" s="98">
        <f t="shared" si="145"/>
        <v>0</v>
      </c>
      <c r="U2564" s="99" t="str">
        <f>IFERROR(IF(#REF!="S",VLOOKUP('Raw Data'!A2564,References!#REF!,2,FALSE),(VLOOKUP($S2564,References!$B$3:$C$8,2,FALSE))),"")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6"/>
        <v>0</v>
      </c>
      <c r="T2565" s="98">
        <f t="shared" si="145"/>
        <v>0</v>
      </c>
      <c r="U2565" s="99" t="str">
        <f>IFERROR(IF(#REF!="S",VLOOKUP('Raw Data'!A2565,References!#REF!,2,FALSE),(VLOOKUP($S2565,References!$B$3:$C$8,2,FALSE))),"")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6"/>
        <v>0</v>
      </c>
      <c r="T2566" s="98">
        <f t="shared" si="145"/>
        <v>0</v>
      </c>
      <c r="U2566" s="99" t="str">
        <f>IFERROR(IF(#REF!="S",VLOOKUP('Raw Data'!A2566,References!#REF!,2,FALSE),(VLOOKUP($S2566,References!$B$3:$C$8,2,FALSE))),"")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6"/>
        <v>0</v>
      </c>
      <c r="T2567" s="98">
        <f t="shared" si="145"/>
        <v>0</v>
      </c>
      <c r="U2567" s="99" t="str">
        <f>IFERROR(IF(#REF!="S",VLOOKUP('Raw Data'!A2567,References!#REF!,2,FALSE),(VLOOKUP($S2567,References!$B$3:$C$8,2,FALSE))),"")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6"/>
        <v>0</v>
      </c>
      <c r="T2568" s="98">
        <f t="shared" si="145"/>
        <v>0</v>
      </c>
      <c r="U2568" s="99" t="str">
        <f>IFERROR(IF(#REF!="S",VLOOKUP('Raw Data'!A2568,References!#REF!,2,FALSE),(VLOOKUP($S2568,References!$B$3:$C$8,2,FALSE))),"")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6"/>
        <v>0</v>
      </c>
      <c r="T2569" s="98">
        <f t="shared" si="145"/>
        <v>0</v>
      </c>
      <c r="U2569" s="99" t="str">
        <f>IFERROR(IF(#REF!="S",VLOOKUP('Raw Data'!A2569,References!#REF!,2,FALSE),(VLOOKUP($S2569,References!$B$3:$C$8,2,FALSE))),"")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6"/>
        <v>0</v>
      </c>
      <c r="T2570" s="98">
        <f t="shared" si="145"/>
        <v>0</v>
      </c>
      <c r="U2570" s="99" t="str">
        <f>IFERROR(IF(#REF!="S",VLOOKUP('Raw Data'!A2570,References!#REF!,2,FALSE),(VLOOKUP($S2570,References!$B$3:$C$8,2,FALSE))),"")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6"/>
        <v>0</v>
      </c>
      <c r="T2571" s="98">
        <f t="shared" si="145"/>
        <v>0</v>
      </c>
      <c r="U2571" s="99" t="str">
        <f>IFERROR(IF(#REF!="S",VLOOKUP('Raw Data'!A2571,References!#REF!,2,FALSE),(VLOOKUP($S2571,References!$B$3:$C$8,2,FALSE))),"")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6"/>
        <v>0</v>
      </c>
      <c r="T2572" s="98">
        <f t="shared" si="145"/>
        <v>0</v>
      </c>
      <c r="U2572" s="99" t="str">
        <f>IFERROR(IF(#REF!="S",VLOOKUP('Raw Data'!A2572,References!#REF!,2,FALSE),(VLOOKUP($S2572,References!$B$3:$C$8,2,FALSE))),"")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6"/>
        <v>0</v>
      </c>
      <c r="T2573" s="98">
        <f t="shared" si="145"/>
        <v>0</v>
      </c>
      <c r="U2573" s="99" t="str">
        <f>IFERROR(IF(#REF!="S",VLOOKUP('Raw Data'!A2573,References!#REF!,2,FALSE),(VLOOKUP($S2573,References!$B$3:$C$8,2,FALSE))),"")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6"/>
        <v>0</v>
      </c>
      <c r="T2574" s="98">
        <f t="shared" si="145"/>
        <v>0</v>
      </c>
      <c r="U2574" s="99" t="str">
        <f>IFERROR(IF(#REF!="S",VLOOKUP('Raw Data'!A2574,References!#REF!,2,FALSE),(VLOOKUP($S2574,References!$B$3:$C$8,2,FALSE))),"")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6"/>
        <v>0</v>
      </c>
      <c r="T2575" s="98">
        <f t="shared" si="145"/>
        <v>0</v>
      </c>
      <c r="U2575" s="99" t="str">
        <f>IFERROR(IF(#REF!="S",VLOOKUP('Raw Data'!A2575,References!#REF!,2,FALSE),(VLOOKUP($S2575,References!$B$3:$C$8,2,FALSE))),"")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6"/>
        <v>0</v>
      </c>
      <c r="T2576" s="98">
        <f t="shared" ref="T2576:T2639" si="147">IF(S2576="50 - Cleaning Fee",1,HOUR($R2576)+MINUTE(R2576)/60)</f>
        <v>0</v>
      </c>
      <c r="U2576" s="99" t="str">
        <f>IFERROR(IF(#REF!="S",VLOOKUP('Raw Data'!A2576,References!#REF!,2,FALSE),(VLOOKUP($S2576,References!$B$3:$C$8,2,FALSE))),"")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6"/>
        <v>0</v>
      </c>
      <c r="T2577" s="98">
        <f t="shared" si="147"/>
        <v>0</v>
      </c>
      <c r="U2577" s="99" t="str">
        <f>IFERROR(IF(#REF!="S",VLOOKUP('Raw Data'!A2577,References!#REF!,2,FALSE),(VLOOKUP($S2577,References!$B$3:$C$8,2,FALSE))),"")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6"/>
        <v>0</v>
      </c>
      <c r="T2578" s="98">
        <f t="shared" si="147"/>
        <v>0</v>
      </c>
      <c r="U2578" s="99" t="str">
        <f>IFERROR(IF(#REF!="S",VLOOKUP('Raw Data'!A2578,References!#REF!,2,FALSE),(VLOOKUP($S2578,References!$B$3:$C$8,2,FALSE))),"")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6"/>
        <v>0</v>
      </c>
      <c r="T2579" s="98">
        <f t="shared" si="147"/>
        <v>0</v>
      </c>
      <c r="U2579" s="99" t="str">
        <f>IFERROR(IF(#REF!="S",VLOOKUP('Raw Data'!A2579,References!#REF!,2,FALSE),(VLOOKUP($S2579,References!$B$3:$C$8,2,FALSE))),"")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6"/>
        <v>0</v>
      </c>
      <c r="T2580" s="98">
        <f t="shared" si="147"/>
        <v>0</v>
      </c>
      <c r="U2580" s="99" t="str">
        <f>IFERROR(IF(#REF!="S",VLOOKUP('Raw Data'!A2580,References!#REF!,2,FALSE),(VLOOKUP($S2580,References!$B$3:$C$8,2,FALSE))),"")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6"/>
        <v>0</v>
      </c>
      <c r="T2581" s="98">
        <f t="shared" si="147"/>
        <v>0</v>
      </c>
      <c r="U2581" s="99" t="str">
        <f>IFERROR(IF(#REF!="S",VLOOKUP('Raw Data'!A2581,References!#REF!,2,FALSE),(VLOOKUP($S2581,References!$B$3:$C$8,2,FALSE))),"")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6"/>
        <v>0</v>
      </c>
      <c r="T2582" s="98">
        <f t="shared" si="147"/>
        <v>0</v>
      </c>
      <c r="U2582" s="99" t="str">
        <f>IFERROR(IF(#REF!="S",VLOOKUP('Raw Data'!A2582,References!#REF!,2,FALSE),(VLOOKUP($S2582,References!$B$3:$C$8,2,FALSE))),"")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6"/>
        <v>0</v>
      </c>
      <c r="T2583" s="98">
        <f t="shared" si="147"/>
        <v>0</v>
      </c>
      <c r="U2583" s="99" t="str">
        <f>IFERROR(IF(#REF!="S",VLOOKUP('Raw Data'!A2583,References!#REF!,2,FALSE),(VLOOKUP($S2583,References!$B$3:$C$8,2,FALSE))),"")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6"/>
        <v>0</v>
      </c>
      <c r="T2584" s="98">
        <f t="shared" si="147"/>
        <v>0</v>
      </c>
      <c r="U2584" s="99" t="str">
        <f>IFERROR(IF(#REF!="S",VLOOKUP('Raw Data'!A2584,References!#REF!,2,FALSE),(VLOOKUP($S2584,References!$B$3:$C$8,2,FALSE))),"")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6"/>
        <v>0</v>
      </c>
      <c r="T2585" s="98">
        <f t="shared" si="147"/>
        <v>0</v>
      </c>
      <c r="U2585" s="99" t="str">
        <f>IFERROR(IF(#REF!="S",VLOOKUP('Raw Data'!A2585,References!#REF!,2,FALSE),(VLOOKUP($S2585,References!$B$3:$C$8,2,FALSE))),"")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6"/>
        <v>0</v>
      </c>
      <c r="T2586" s="98">
        <f t="shared" si="147"/>
        <v>0</v>
      </c>
      <c r="U2586" s="99" t="str">
        <f>IFERROR(IF(#REF!="S",VLOOKUP('Raw Data'!A2586,References!#REF!,2,FALSE),(VLOOKUP($S2586,References!$B$3:$C$8,2,FALSE))),"")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6"/>
        <v>0</v>
      </c>
      <c r="T2587" s="98">
        <f t="shared" si="147"/>
        <v>0</v>
      </c>
      <c r="U2587" s="99" t="str">
        <f>IFERROR(IF(#REF!="S",VLOOKUP('Raw Data'!A2587,References!#REF!,2,FALSE),(VLOOKUP($S2587,References!$B$3:$C$8,2,FALSE))),"")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6"/>
        <v>0</v>
      </c>
      <c r="T2588" s="98">
        <f t="shared" si="147"/>
        <v>0</v>
      </c>
      <c r="U2588" s="99" t="str">
        <f>IFERROR(IF(#REF!="S",VLOOKUP('Raw Data'!A2588,References!#REF!,2,FALSE),(VLOOKUP($S2588,References!$B$3:$C$8,2,FALSE))),"")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6"/>
        <v>0</v>
      </c>
      <c r="T2589" s="98">
        <f t="shared" si="147"/>
        <v>0</v>
      </c>
      <c r="U2589" s="99" t="str">
        <f>IFERROR(IF(#REF!="S",VLOOKUP('Raw Data'!A2589,References!#REF!,2,FALSE),(VLOOKUP($S2589,References!$B$3:$C$8,2,FALSE))),"")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6"/>
        <v>0</v>
      </c>
      <c r="T2590" s="98">
        <f t="shared" si="147"/>
        <v>0</v>
      </c>
      <c r="U2590" s="99" t="str">
        <f>IFERROR(IF(#REF!="S",VLOOKUP('Raw Data'!A2590,References!#REF!,2,FALSE),(VLOOKUP($S2590,References!$B$3:$C$8,2,FALSE))),"")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6"/>
        <v>0</v>
      </c>
      <c r="T2591" s="98">
        <f t="shared" si="147"/>
        <v>0</v>
      </c>
      <c r="U2591" s="99" t="str">
        <f>IFERROR(IF(#REF!="S",VLOOKUP('Raw Data'!A2591,References!#REF!,2,FALSE),(VLOOKUP($S2591,References!$B$3:$C$8,2,FALSE))),"")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6"/>
        <v>0</v>
      </c>
      <c r="T2592" s="98">
        <f t="shared" si="147"/>
        <v>0</v>
      </c>
      <c r="U2592" s="99" t="str">
        <f>IFERROR(IF(#REF!="S",VLOOKUP('Raw Data'!A2592,References!#REF!,2,FALSE),(VLOOKUP($S2592,References!$B$3:$C$8,2,FALSE))),"")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6"/>
        <v>0</v>
      </c>
      <c r="T2593" s="98">
        <f t="shared" si="147"/>
        <v>0</v>
      </c>
      <c r="U2593" s="99" t="str">
        <f>IFERROR(IF(#REF!="S",VLOOKUP('Raw Data'!A2593,References!#REF!,2,FALSE),(VLOOKUP($S2593,References!$B$3:$C$8,2,FALSE))),"")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6"/>
        <v>0</v>
      </c>
      <c r="T2594" s="98">
        <f t="shared" si="147"/>
        <v>0</v>
      </c>
      <c r="U2594" s="99" t="str">
        <f>IFERROR(IF(#REF!="S",VLOOKUP('Raw Data'!A2594,References!#REF!,2,FALSE),(VLOOKUP($S2594,References!$B$3:$C$8,2,FALSE))),"")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6"/>
        <v>0</v>
      </c>
      <c r="T2595" s="98">
        <f t="shared" si="147"/>
        <v>0</v>
      </c>
      <c r="U2595" s="99" t="str">
        <f>IFERROR(IF(#REF!="S",VLOOKUP('Raw Data'!A2595,References!#REF!,2,FALSE),(VLOOKUP($S2595,References!$B$3:$C$8,2,FALSE))),"")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6"/>
        <v>0</v>
      </c>
      <c r="T2596" s="98">
        <f t="shared" si="147"/>
        <v>0</v>
      </c>
      <c r="U2596" s="99" t="str">
        <f>IFERROR(IF(#REF!="S",VLOOKUP('Raw Data'!A2596,References!#REF!,2,FALSE),(VLOOKUP($S2596,References!$B$3:$C$8,2,FALSE))),"")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6"/>
        <v>0</v>
      </c>
      <c r="T2597" s="98">
        <f t="shared" si="147"/>
        <v>0</v>
      </c>
      <c r="U2597" s="99" t="str">
        <f>IFERROR(IF(#REF!="S",VLOOKUP('Raw Data'!A2597,References!#REF!,2,FALSE),(VLOOKUP($S2597,References!$B$3:$C$8,2,FALSE))),"")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6"/>
        <v>0</v>
      </c>
      <c r="T2598" s="98">
        <f t="shared" si="147"/>
        <v>0</v>
      </c>
      <c r="U2598" s="99" t="str">
        <f>IFERROR(IF(#REF!="S",VLOOKUP('Raw Data'!A2598,References!#REF!,2,FALSE),(VLOOKUP($S2598,References!$B$3:$C$8,2,FALSE))),"")</f>
        <v/>
      </c>
      <c r="W2598" s="66" t="str">
        <f>IFERROR(VLOOKUP($O2598,'Customer List'!$A$1:$J$488,10,FALSE),"")</f>
        <v/>
      </c>
    </row>
    <row r="2599" spans="18:23">
      <c r="R2599" s="97">
        <f t="shared" si="146"/>
        <v>0</v>
      </c>
      <c r="T2599" s="98">
        <f t="shared" si="147"/>
        <v>0</v>
      </c>
      <c r="U2599" s="99" t="str">
        <f>IFERROR(IF(#REF!="S",VLOOKUP('Raw Data'!A2599,References!#REF!,2,FALSE),(VLOOKUP($S2599,References!$B$3:$C$8,2,FALSE))),"")</f>
        <v/>
      </c>
      <c r="W2599" s="66" t="str">
        <f>IFERROR(VLOOKUP($O2599,'Customer List'!$A$1:$J$488,10,FALSE),"")</f>
        <v/>
      </c>
    </row>
    <row r="2600" spans="18:23">
      <c r="R2600" s="97">
        <f t="shared" ref="R2600:R2663" si="148">L2600-K2600</f>
        <v>0</v>
      </c>
      <c r="T2600" s="98">
        <f t="shared" si="147"/>
        <v>0</v>
      </c>
      <c r="U2600" s="99" t="str">
        <f>IFERROR(IF(#REF!="S",VLOOKUP('Raw Data'!A2600,References!#REF!,2,FALSE),(VLOOKUP($S2600,References!$B$3:$C$8,2,FALSE))),"")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48"/>
        <v>0</v>
      </c>
      <c r="T2601" s="98">
        <f t="shared" si="147"/>
        <v>0</v>
      </c>
      <c r="U2601" s="99" t="str">
        <f>IFERROR(IF(#REF!="S",VLOOKUP('Raw Data'!A2601,References!#REF!,2,FALSE),(VLOOKUP($S2601,References!$B$3:$C$8,2,FALSE))),"")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48"/>
        <v>0</v>
      </c>
      <c r="T2602" s="98">
        <f t="shared" si="147"/>
        <v>0</v>
      </c>
      <c r="U2602" s="99" t="str">
        <f>IFERROR(IF(#REF!="S",VLOOKUP('Raw Data'!A2602,References!#REF!,2,FALSE),(VLOOKUP($S2602,References!$B$3:$C$8,2,FALSE))),"")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48"/>
        <v>0</v>
      </c>
      <c r="T2603" s="98">
        <f t="shared" si="147"/>
        <v>0</v>
      </c>
      <c r="U2603" s="99" t="str">
        <f>IFERROR(IF(#REF!="S",VLOOKUP('Raw Data'!A2603,References!#REF!,2,FALSE),(VLOOKUP($S2603,References!$B$3:$C$8,2,FALSE))),"")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48"/>
        <v>0</v>
      </c>
      <c r="T2604" s="98">
        <f t="shared" si="147"/>
        <v>0</v>
      </c>
      <c r="U2604" s="99" t="str">
        <f>IFERROR(IF(#REF!="S",VLOOKUP('Raw Data'!A2604,References!#REF!,2,FALSE),(VLOOKUP($S2604,References!$B$3:$C$8,2,FALSE))),"")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48"/>
        <v>0</v>
      </c>
      <c r="T2605" s="98">
        <f t="shared" si="147"/>
        <v>0</v>
      </c>
      <c r="U2605" s="99" t="str">
        <f>IFERROR(IF(#REF!="S",VLOOKUP('Raw Data'!A2605,References!#REF!,2,FALSE),(VLOOKUP($S2605,References!$B$3:$C$8,2,FALSE))),"")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48"/>
        <v>0</v>
      </c>
      <c r="T2606" s="98">
        <f t="shared" si="147"/>
        <v>0</v>
      </c>
      <c r="U2606" s="99" t="str">
        <f>IFERROR(IF(#REF!="S",VLOOKUP('Raw Data'!A2606,References!#REF!,2,FALSE),(VLOOKUP($S2606,References!$B$3:$C$8,2,FALSE))),"")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48"/>
        <v>0</v>
      </c>
      <c r="T2607" s="98">
        <f t="shared" si="147"/>
        <v>0</v>
      </c>
      <c r="U2607" s="99" t="str">
        <f>IFERROR(IF(#REF!="S",VLOOKUP('Raw Data'!A2607,References!#REF!,2,FALSE),(VLOOKUP($S2607,References!$B$3:$C$8,2,FALSE))),"")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48"/>
        <v>0</v>
      </c>
      <c r="T2608" s="98">
        <f t="shared" si="147"/>
        <v>0</v>
      </c>
      <c r="U2608" s="99" t="str">
        <f>IFERROR(IF(#REF!="S",VLOOKUP('Raw Data'!A2608,References!#REF!,2,FALSE),(VLOOKUP($S2608,References!$B$3:$C$8,2,FALSE))),"")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48"/>
        <v>0</v>
      </c>
      <c r="T2609" s="98">
        <f t="shared" si="147"/>
        <v>0</v>
      </c>
      <c r="U2609" s="99" t="str">
        <f>IFERROR(IF(#REF!="S",VLOOKUP('Raw Data'!A2609,References!#REF!,2,FALSE),(VLOOKUP($S2609,References!$B$3:$C$8,2,FALSE))),"")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48"/>
        <v>0</v>
      </c>
      <c r="T2610" s="98">
        <f t="shared" si="147"/>
        <v>0</v>
      </c>
      <c r="U2610" s="99" t="str">
        <f>IFERROR(IF(#REF!="S",VLOOKUP('Raw Data'!A2610,References!#REF!,2,FALSE),(VLOOKUP($S2610,References!$B$3:$C$8,2,FALSE))),"")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48"/>
        <v>0</v>
      </c>
      <c r="T2611" s="98">
        <f t="shared" si="147"/>
        <v>0</v>
      </c>
      <c r="U2611" s="99" t="str">
        <f>IFERROR(IF(#REF!="S",VLOOKUP('Raw Data'!A2611,References!#REF!,2,FALSE),(VLOOKUP($S2611,References!$B$3:$C$8,2,FALSE))),"")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48"/>
        <v>0</v>
      </c>
      <c r="T2612" s="98">
        <f t="shared" si="147"/>
        <v>0</v>
      </c>
      <c r="U2612" s="99" t="str">
        <f>IFERROR(IF(#REF!="S",VLOOKUP('Raw Data'!A2612,References!#REF!,2,FALSE),(VLOOKUP($S2612,References!$B$3:$C$8,2,FALSE))),"")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48"/>
        <v>0</v>
      </c>
      <c r="T2613" s="98">
        <f t="shared" si="147"/>
        <v>0</v>
      </c>
      <c r="U2613" s="99" t="str">
        <f>IFERROR(IF(#REF!="S",VLOOKUP('Raw Data'!A2613,References!#REF!,2,FALSE),(VLOOKUP($S2613,References!$B$3:$C$8,2,FALSE))),"")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48"/>
        <v>0</v>
      </c>
      <c r="T2614" s="98">
        <f t="shared" si="147"/>
        <v>0</v>
      </c>
      <c r="U2614" s="99" t="str">
        <f>IFERROR(IF(#REF!="S",VLOOKUP('Raw Data'!A2614,References!#REF!,2,FALSE),(VLOOKUP($S2614,References!$B$3:$C$8,2,FALSE))),"")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48"/>
        <v>0</v>
      </c>
      <c r="T2615" s="98">
        <f t="shared" si="147"/>
        <v>0</v>
      </c>
      <c r="U2615" s="99" t="str">
        <f>IFERROR(IF(#REF!="S",VLOOKUP('Raw Data'!A2615,References!#REF!,2,FALSE),(VLOOKUP($S2615,References!$B$3:$C$8,2,FALSE))),"")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48"/>
        <v>0</v>
      </c>
      <c r="T2616" s="98">
        <f t="shared" si="147"/>
        <v>0</v>
      </c>
      <c r="U2616" s="99" t="str">
        <f>IFERROR(IF(#REF!="S",VLOOKUP('Raw Data'!A2616,References!#REF!,2,FALSE),(VLOOKUP($S2616,References!$B$3:$C$8,2,FALSE))),"")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48"/>
        <v>0</v>
      </c>
      <c r="T2617" s="98">
        <f t="shared" si="147"/>
        <v>0</v>
      </c>
      <c r="U2617" s="99" t="str">
        <f>IFERROR(IF(#REF!="S",VLOOKUP('Raw Data'!A2617,References!#REF!,2,FALSE),(VLOOKUP($S2617,References!$B$3:$C$8,2,FALSE))),"")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48"/>
        <v>0</v>
      </c>
      <c r="T2618" s="98">
        <f t="shared" si="147"/>
        <v>0</v>
      </c>
      <c r="U2618" s="99" t="str">
        <f>IFERROR(IF(#REF!="S",VLOOKUP('Raw Data'!A2618,References!#REF!,2,FALSE),(VLOOKUP($S2618,References!$B$3:$C$8,2,FALSE))),"")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48"/>
        <v>0</v>
      </c>
      <c r="T2619" s="98">
        <f t="shared" si="147"/>
        <v>0</v>
      </c>
      <c r="U2619" s="99" t="str">
        <f>IFERROR(IF(#REF!="S",VLOOKUP('Raw Data'!A2619,References!#REF!,2,FALSE),(VLOOKUP($S2619,References!$B$3:$C$8,2,FALSE))),"")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48"/>
        <v>0</v>
      </c>
      <c r="T2620" s="98">
        <f t="shared" si="147"/>
        <v>0</v>
      </c>
      <c r="U2620" s="99" t="str">
        <f>IFERROR(IF(#REF!="S",VLOOKUP('Raw Data'!A2620,References!#REF!,2,FALSE),(VLOOKUP($S2620,References!$B$3:$C$8,2,FALSE))),"")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48"/>
        <v>0</v>
      </c>
      <c r="T2621" s="98">
        <f t="shared" si="147"/>
        <v>0</v>
      </c>
      <c r="U2621" s="99" t="str">
        <f>IFERROR(IF(#REF!="S",VLOOKUP('Raw Data'!A2621,References!#REF!,2,FALSE),(VLOOKUP($S2621,References!$B$3:$C$8,2,FALSE))),"")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48"/>
        <v>0</v>
      </c>
      <c r="T2622" s="98">
        <f t="shared" si="147"/>
        <v>0</v>
      </c>
      <c r="U2622" s="99" t="str">
        <f>IFERROR(IF(#REF!="S",VLOOKUP('Raw Data'!A2622,References!#REF!,2,FALSE),(VLOOKUP($S2622,References!$B$3:$C$8,2,FALSE))),"")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48"/>
        <v>0</v>
      </c>
      <c r="T2623" s="98">
        <f t="shared" si="147"/>
        <v>0</v>
      </c>
      <c r="U2623" s="99" t="str">
        <f>IFERROR(IF(#REF!="S",VLOOKUP('Raw Data'!A2623,References!#REF!,2,FALSE),(VLOOKUP($S2623,References!$B$3:$C$8,2,FALSE))),"")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48"/>
        <v>0</v>
      </c>
      <c r="T2624" s="98">
        <f t="shared" si="147"/>
        <v>0</v>
      </c>
      <c r="U2624" s="99" t="str">
        <f>IFERROR(IF(#REF!="S",VLOOKUP('Raw Data'!A2624,References!#REF!,2,FALSE),(VLOOKUP($S2624,References!$B$3:$C$8,2,FALSE))),"")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48"/>
        <v>0</v>
      </c>
      <c r="T2625" s="98">
        <f t="shared" si="147"/>
        <v>0</v>
      </c>
      <c r="U2625" s="99" t="str">
        <f>IFERROR(IF(#REF!="S",VLOOKUP('Raw Data'!A2625,References!#REF!,2,FALSE),(VLOOKUP($S2625,References!$B$3:$C$8,2,FALSE))),"")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48"/>
        <v>0</v>
      </c>
      <c r="T2626" s="98">
        <f t="shared" si="147"/>
        <v>0</v>
      </c>
      <c r="U2626" s="99" t="str">
        <f>IFERROR(IF(#REF!="S",VLOOKUP('Raw Data'!A2626,References!#REF!,2,FALSE),(VLOOKUP($S2626,References!$B$3:$C$8,2,FALSE))),"")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48"/>
        <v>0</v>
      </c>
      <c r="T2627" s="98">
        <f t="shared" si="147"/>
        <v>0</v>
      </c>
      <c r="U2627" s="99" t="str">
        <f>IFERROR(IF(#REF!="S",VLOOKUP('Raw Data'!A2627,References!#REF!,2,FALSE),(VLOOKUP($S2627,References!$B$3:$C$8,2,FALSE))),"")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48"/>
        <v>0</v>
      </c>
      <c r="T2628" s="98">
        <f t="shared" si="147"/>
        <v>0</v>
      </c>
      <c r="U2628" s="99" t="str">
        <f>IFERROR(IF(#REF!="S",VLOOKUP('Raw Data'!A2628,References!#REF!,2,FALSE),(VLOOKUP($S2628,References!$B$3:$C$8,2,FALSE))),"")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48"/>
        <v>0</v>
      </c>
      <c r="T2629" s="98">
        <f t="shared" si="147"/>
        <v>0</v>
      </c>
      <c r="U2629" s="99" t="str">
        <f>IFERROR(IF(#REF!="S",VLOOKUP('Raw Data'!A2629,References!#REF!,2,FALSE),(VLOOKUP($S2629,References!$B$3:$C$8,2,FALSE))),"")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48"/>
        <v>0</v>
      </c>
      <c r="T2630" s="98">
        <f t="shared" si="147"/>
        <v>0</v>
      </c>
      <c r="U2630" s="99" t="str">
        <f>IFERROR(IF(#REF!="S",VLOOKUP('Raw Data'!A2630,References!#REF!,2,FALSE),(VLOOKUP($S2630,References!$B$3:$C$8,2,FALSE))),"")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48"/>
        <v>0</v>
      </c>
      <c r="T2631" s="98">
        <f t="shared" si="147"/>
        <v>0</v>
      </c>
      <c r="U2631" s="99" t="str">
        <f>IFERROR(IF(#REF!="S",VLOOKUP('Raw Data'!A2631,References!#REF!,2,FALSE),(VLOOKUP($S2631,References!$B$3:$C$8,2,FALSE))),"")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48"/>
        <v>0</v>
      </c>
      <c r="T2632" s="98">
        <f t="shared" si="147"/>
        <v>0</v>
      </c>
      <c r="U2632" s="99" t="str">
        <f>IFERROR(IF(#REF!="S",VLOOKUP('Raw Data'!A2632,References!#REF!,2,FALSE),(VLOOKUP($S2632,References!$B$3:$C$8,2,FALSE))),"")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48"/>
        <v>0</v>
      </c>
      <c r="T2633" s="98">
        <f t="shared" si="147"/>
        <v>0</v>
      </c>
      <c r="U2633" s="99" t="str">
        <f>IFERROR(IF(#REF!="S",VLOOKUP('Raw Data'!A2633,References!#REF!,2,FALSE),(VLOOKUP($S2633,References!$B$3:$C$8,2,FALSE))),"")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48"/>
        <v>0</v>
      </c>
      <c r="T2634" s="98">
        <f t="shared" si="147"/>
        <v>0</v>
      </c>
      <c r="U2634" s="99" t="str">
        <f>IFERROR(IF(#REF!="S",VLOOKUP('Raw Data'!A2634,References!#REF!,2,FALSE),(VLOOKUP($S2634,References!$B$3:$C$8,2,FALSE))),"")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48"/>
        <v>0</v>
      </c>
      <c r="T2635" s="98">
        <f t="shared" si="147"/>
        <v>0</v>
      </c>
      <c r="U2635" s="99" t="str">
        <f>IFERROR(IF(#REF!="S",VLOOKUP('Raw Data'!A2635,References!#REF!,2,FALSE),(VLOOKUP($S2635,References!$B$3:$C$8,2,FALSE))),"")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48"/>
        <v>0</v>
      </c>
      <c r="T2636" s="98">
        <f t="shared" si="147"/>
        <v>0</v>
      </c>
      <c r="U2636" s="99" t="str">
        <f>IFERROR(IF(#REF!="S",VLOOKUP('Raw Data'!A2636,References!#REF!,2,FALSE),(VLOOKUP($S2636,References!$B$3:$C$8,2,FALSE))),"")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48"/>
        <v>0</v>
      </c>
      <c r="T2637" s="98">
        <f t="shared" si="147"/>
        <v>0</v>
      </c>
      <c r="U2637" s="99" t="str">
        <f>IFERROR(IF(#REF!="S",VLOOKUP('Raw Data'!A2637,References!#REF!,2,FALSE),(VLOOKUP($S2637,References!$B$3:$C$8,2,FALSE))),"")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48"/>
        <v>0</v>
      </c>
      <c r="T2638" s="98">
        <f t="shared" si="147"/>
        <v>0</v>
      </c>
      <c r="U2638" s="99" t="str">
        <f>IFERROR(IF(#REF!="S",VLOOKUP('Raw Data'!A2638,References!#REF!,2,FALSE),(VLOOKUP($S2638,References!$B$3:$C$8,2,FALSE))),"")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48"/>
        <v>0</v>
      </c>
      <c r="T2639" s="98">
        <f t="shared" si="147"/>
        <v>0</v>
      </c>
      <c r="U2639" s="99" t="str">
        <f>IFERROR(IF(#REF!="S",VLOOKUP('Raw Data'!A2639,References!#REF!,2,FALSE),(VLOOKUP($S2639,References!$B$3:$C$8,2,FALSE))),"")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48"/>
        <v>0</v>
      </c>
      <c r="T2640" s="98">
        <f t="shared" ref="T2640:T2703" si="149">IF(S2640="50 - Cleaning Fee",1,HOUR($R2640)+MINUTE(R2640)/60)</f>
        <v>0</v>
      </c>
      <c r="U2640" s="99" t="str">
        <f>IFERROR(IF(#REF!="S",VLOOKUP('Raw Data'!A2640,References!#REF!,2,FALSE),(VLOOKUP($S2640,References!$B$3:$C$8,2,FALSE))),"")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48"/>
        <v>0</v>
      </c>
      <c r="T2641" s="98">
        <f t="shared" si="149"/>
        <v>0</v>
      </c>
      <c r="U2641" s="99" t="str">
        <f>IFERROR(IF(#REF!="S",VLOOKUP('Raw Data'!A2641,References!#REF!,2,FALSE),(VLOOKUP($S2641,References!$B$3:$C$8,2,FALSE))),"")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48"/>
        <v>0</v>
      </c>
      <c r="T2642" s="98">
        <f t="shared" si="149"/>
        <v>0</v>
      </c>
      <c r="U2642" s="99" t="str">
        <f>IFERROR(IF(#REF!="S",VLOOKUP('Raw Data'!A2642,References!#REF!,2,FALSE),(VLOOKUP($S2642,References!$B$3:$C$8,2,FALSE))),"")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48"/>
        <v>0</v>
      </c>
      <c r="T2643" s="98">
        <f t="shared" si="149"/>
        <v>0</v>
      </c>
      <c r="U2643" s="99" t="str">
        <f>IFERROR(IF(#REF!="S",VLOOKUP('Raw Data'!A2643,References!#REF!,2,FALSE),(VLOOKUP($S2643,References!$B$3:$C$8,2,FALSE))),"")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48"/>
        <v>0</v>
      </c>
      <c r="T2644" s="98">
        <f t="shared" si="149"/>
        <v>0</v>
      </c>
      <c r="U2644" s="99" t="str">
        <f>IFERROR(IF(#REF!="S",VLOOKUP('Raw Data'!A2644,References!#REF!,2,FALSE),(VLOOKUP($S2644,References!$B$3:$C$8,2,FALSE))),"")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48"/>
        <v>0</v>
      </c>
      <c r="T2645" s="98">
        <f t="shared" si="149"/>
        <v>0</v>
      </c>
      <c r="U2645" s="99" t="str">
        <f>IFERROR(IF(#REF!="S",VLOOKUP('Raw Data'!A2645,References!#REF!,2,FALSE),(VLOOKUP($S2645,References!$B$3:$C$8,2,FALSE))),"")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48"/>
        <v>0</v>
      </c>
      <c r="T2646" s="98">
        <f t="shared" si="149"/>
        <v>0</v>
      </c>
      <c r="U2646" s="99" t="str">
        <f>IFERROR(IF(#REF!="S",VLOOKUP('Raw Data'!A2646,References!#REF!,2,FALSE),(VLOOKUP($S2646,References!$B$3:$C$8,2,FALSE))),"")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48"/>
        <v>0</v>
      </c>
      <c r="T2647" s="98">
        <f t="shared" si="149"/>
        <v>0</v>
      </c>
      <c r="U2647" s="99" t="str">
        <f>IFERROR(IF(#REF!="S",VLOOKUP('Raw Data'!A2647,References!#REF!,2,FALSE),(VLOOKUP($S2647,References!$B$3:$C$8,2,FALSE))),"")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48"/>
        <v>0</v>
      </c>
      <c r="T2648" s="98">
        <f t="shared" si="149"/>
        <v>0</v>
      </c>
      <c r="U2648" s="99" t="str">
        <f>IFERROR(IF(#REF!="S",VLOOKUP('Raw Data'!A2648,References!#REF!,2,FALSE),(VLOOKUP($S2648,References!$B$3:$C$8,2,FALSE))),"")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48"/>
        <v>0</v>
      </c>
      <c r="T2649" s="98">
        <f t="shared" si="149"/>
        <v>0</v>
      </c>
      <c r="U2649" s="99" t="str">
        <f>IFERROR(IF(#REF!="S",VLOOKUP('Raw Data'!A2649,References!#REF!,2,FALSE),(VLOOKUP($S2649,References!$B$3:$C$8,2,FALSE))),"")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48"/>
        <v>0</v>
      </c>
      <c r="T2650" s="98">
        <f t="shared" si="149"/>
        <v>0</v>
      </c>
      <c r="U2650" s="99" t="str">
        <f>IFERROR(IF(#REF!="S",VLOOKUP('Raw Data'!A2650,References!#REF!,2,FALSE),(VLOOKUP($S2650,References!$B$3:$C$8,2,FALSE))),"")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48"/>
        <v>0</v>
      </c>
      <c r="T2651" s="98">
        <f t="shared" si="149"/>
        <v>0</v>
      </c>
      <c r="U2651" s="99" t="str">
        <f>IFERROR(IF(#REF!="S",VLOOKUP('Raw Data'!A2651,References!#REF!,2,FALSE),(VLOOKUP($S2651,References!$B$3:$C$8,2,FALSE))),"")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48"/>
        <v>0</v>
      </c>
      <c r="T2652" s="98">
        <f t="shared" si="149"/>
        <v>0</v>
      </c>
      <c r="U2652" s="99" t="str">
        <f>IFERROR(IF(#REF!="S",VLOOKUP('Raw Data'!A2652,References!#REF!,2,FALSE),(VLOOKUP($S2652,References!$B$3:$C$8,2,FALSE))),"")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48"/>
        <v>0</v>
      </c>
      <c r="T2653" s="98">
        <f t="shared" si="149"/>
        <v>0</v>
      </c>
      <c r="U2653" s="99" t="str">
        <f>IFERROR(IF(#REF!="S",VLOOKUP('Raw Data'!A2653,References!#REF!,2,FALSE),(VLOOKUP($S2653,References!$B$3:$C$8,2,FALSE))),"")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48"/>
        <v>0</v>
      </c>
      <c r="T2654" s="98">
        <f t="shared" si="149"/>
        <v>0</v>
      </c>
      <c r="U2654" s="99" t="str">
        <f>IFERROR(IF(#REF!="S",VLOOKUP('Raw Data'!A2654,References!#REF!,2,FALSE),(VLOOKUP($S2654,References!$B$3:$C$8,2,FALSE))),"")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48"/>
        <v>0</v>
      </c>
      <c r="T2655" s="98">
        <f t="shared" si="149"/>
        <v>0</v>
      </c>
      <c r="U2655" s="99" t="str">
        <f>IFERROR(IF(#REF!="S",VLOOKUP('Raw Data'!A2655,References!#REF!,2,FALSE),(VLOOKUP($S2655,References!$B$3:$C$8,2,FALSE))),"")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48"/>
        <v>0</v>
      </c>
      <c r="T2656" s="98">
        <f t="shared" si="149"/>
        <v>0</v>
      </c>
      <c r="U2656" s="99" t="str">
        <f>IFERROR(IF(#REF!="S",VLOOKUP('Raw Data'!A2656,References!#REF!,2,FALSE),(VLOOKUP($S2656,References!$B$3:$C$8,2,FALSE))),"")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48"/>
        <v>0</v>
      </c>
      <c r="T2657" s="98">
        <f t="shared" si="149"/>
        <v>0</v>
      </c>
      <c r="U2657" s="99" t="str">
        <f>IFERROR(IF(#REF!="S",VLOOKUP('Raw Data'!A2657,References!#REF!,2,FALSE),(VLOOKUP($S2657,References!$B$3:$C$8,2,FALSE))),"")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48"/>
        <v>0</v>
      </c>
      <c r="T2658" s="98">
        <f t="shared" si="149"/>
        <v>0</v>
      </c>
      <c r="U2658" s="99" t="str">
        <f>IFERROR(IF(#REF!="S",VLOOKUP('Raw Data'!A2658,References!#REF!,2,FALSE),(VLOOKUP($S2658,References!$B$3:$C$8,2,FALSE))),"")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48"/>
        <v>0</v>
      </c>
      <c r="T2659" s="98">
        <f t="shared" si="149"/>
        <v>0</v>
      </c>
      <c r="U2659" s="99" t="str">
        <f>IFERROR(IF(#REF!="S",VLOOKUP('Raw Data'!A2659,References!#REF!,2,FALSE),(VLOOKUP($S2659,References!$B$3:$C$8,2,FALSE))),"")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48"/>
        <v>0</v>
      </c>
      <c r="T2660" s="98">
        <f t="shared" si="149"/>
        <v>0</v>
      </c>
      <c r="U2660" s="99" t="str">
        <f>IFERROR(IF(#REF!="S",VLOOKUP('Raw Data'!A2660,References!#REF!,2,FALSE),(VLOOKUP($S2660,References!$B$3:$C$8,2,FALSE))),"")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48"/>
        <v>0</v>
      </c>
      <c r="T2661" s="98">
        <f t="shared" si="149"/>
        <v>0</v>
      </c>
      <c r="U2661" s="99" t="str">
        <f>IFERROR(IF(#REF!="S",VLOOKUP('Raw Data'!A2661,References!#REF!,2,FALSE),(VLOOKUP($S2661,References!$B$3:$C$8,2,FALSE))),"")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48"/>
        <v>0</v>
      </c>
      <c r="T2662" s="98">
        <f t="shared" si="149"/>
        <v>0</v>
      </c>
      <c r="U2662" s="99" t="str">
        <f>IFERROR(IF(#REF!="S",VLOOKUP('Raw Data'!A2662,References!#REF!,2,FALSE),(VLOOKUP($S2662,References!$B$3:$C$8,2,FALSE))),"")</f>
        <v/>
      </c>
      <c r="W2662" s="66" t="str">
        <f>IFERROR(VLOOKUP($O2662,'Customer List'!$A$1:$J$488,10,FALSE),"")</f>
        <v/>
      </c>
    </row>
    <row r="2663" spans="18:23">
      <c r="R2663" s="97">
        <f t="shared" si="148"/>
        <v>0</v>
      </c>
      <c r="T2663" s="98">
        <f t="shared" si="149"/>
        <v>0</v>
      </c>
      <c r="U2663" s="99" t="str">
        <f>IFERROR(IF(#REF!="S",VLOOKUP('Raw Data'!A2663,References!#REF!,2,FALSE),(VLOOKUP($S2663,References!$B$3:$C$8,2,FALSE))),"")</f>
        <v/>
      </c>
      <c r="W2663" s="66" t="str">
        <f>IFERROR(VLOOKUP($O2663,'Customer List'!$A$1:$J$488,10,FALSE),"")</f>
        <v/>
      </c>
    </row>
    <row r="2664" spans="18:23">
      <c r="R2664" s="97">
        <f t="shared" ref="R2664:R2727" si="150">L2664-K2664</f>
        <v>0</v>
      </c>
      <c r="T2664" s="98">
        <f t="shared" si="149"/>
        <v>0</v>
      </c>
      <c r="U2664" s="99" t="str">
        <f>IFERROR(IF(#REF!="S",VLOOKUP('Raw Data'!A2664,References!#REF!,2,FALSE),(VLOOKUP($S2664,References!$B$3:$C$8,2,FALSE))),"")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0"/>
        <v>0</v>
      </c>
      <c r="T2665" s="98">
        <f t="shared" si="149"/>
        <v>0</v>
      </c>
      <c r="U2665" s="99" t="str">
        <f>IFERROR(IF(#REF!="S",VLOOKUP('Raw Data'!A2665,References!#REF!,2,FALSE),(VLOOKUP($S2665,References!$B$3:$C$8,2,FALSE))),"")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0"/>
        <v>0</v>
      </c>
      <c r="T2666" s="98">
        <f t="shared" si="149"/>
        <v>0</v>
      </c>
      <c r="U2666" s="99" t="str">
        <f>IFERROR(IF(#REF!="S",VLOOKUP('Raw Data'!A2666,References!#REF!,2,FALSE),(VLOOKUP($S2666,References!$B$3:$C$8,2,FALSE))),"")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0"/>
        <v>0</v>
      </c>
      <c r="T2667" s="98">
        <f t="shared" si="149"/>
        <v>0</v>
      </c>
      <c r="U2667" s="99" t="str">
        <f>IFERROR(IF(#REF!="S",VLOOKUP('Raw Data'!A2667,References!#REF!,2,FALSE),(VLOOKUP($S2667,References!$B$3:$C$8,2,FALSE))),"")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0"/>
        <v>0</v>
      </c>
      <c r="T2668" s="98">
        <f t="shared" si="149"/>
        <v>0</v>
      </c>
      <c r="U2668" s="99" t="str">
        <f>IFERROR(IF(#REF!="S",VLOOKUP('Raw Data'!A2668,References!#REF!,2,FALSE),(VLOOKUP($S2668,References!$B$3:$C$8,2,FALSE))),"")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0"/>
        <v>0</v>
      </c>
      <c r="T2669" s="98">
        <f t="shared" si="149"/>
        <v>0</v>
      </c>
      <c r="U2669" s="99" t="str">
        <f>IFERROR(IF(#REF!="S",VLOOKUP('Raw Data'!A2669,References!#REF!,2,FALSE),(VLOOKUP($S2669,References!$B$3:$C$8,2,FALSE))),"")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0"/>
        <v>0</v>
      </c>
      <c r="T2670" s="98">
        <f t="shared" si="149"/>
        <v>0</v>
      </c>
      <c r="U2670" s="99" t="str">
        <f>IFERROR(IF(#REF!="S",VLOOKUP('Raw Data'!A2670,References!#REF!,2,FALSE),(VLOOKUP($S2670,References!$B$3:$C$8,2,FALSE))),"")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0"/>
        <v>0</v>
      </c>
      <c r="T2671" s="98">
        <f t="shared" si="149"/>
        <v>0</v>
      </c>
      <c r="U2671" s="99" t="str">
        <f>IFERROR(IF(#REF!="S",VLOOKUP('Raw Data'!A2671,References!#REF!,2,FALSE),(VLOOKUP($S2671,References!$B$3:$C$8,2,FALSE))),"")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0"/>
        <v>0</v>
      </c>
      <c r="T2672" s="98">
        <f t="shared" si="149"/>
        <v>0</v>
      </c>
      <c r="U2672" s="99" t="str">
        <f>IFERROR(IF(#REF!="S",VLOOKUP('Raw Data'!A2672,References!#REF!,2,FALSE),(VLOOKUP($S2672,References!$B$3:$C$8,2,FALSE))),"")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0"/>
        <v>0</v>
      </c>
      <c r="T2673" s="98">
        <f t="shared" si="149"/>
        <v>0</v>
      </c>
      <c r="U2673" s="99" t="str">
        <f>IFERROR(IF(#REF!="S",VLOOKUP('Raw Data'!A2673,References!#REF!,2,FALSE),(VLOOKUP($S2673,References!$B$3:$C$8,2,FALSE))),"")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0"/>
        <v>0</v>
      </c>
      <c r="T2674" s="98">
        <f t="shared" si="149"/>
        <v>0</v>
      </c>
      <c r="U2674" s="99" t="str">
        <f>IFERROR(IF(#REF!="S",VLOOKUP('Raw Data'!A2674,References!#REF!,2,FALSE),(VLOOKUP($S2674,References!$B$3:$C$8,2,FALSE))),"")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0"/>
        <v>0</v>
      </c>
      <c r="T2675" s="98">
        <f t="shared" si="149"/>
        <v>0</v>
      </c>
      <c r="U2675" s="99" t="str">
        <f>IFERROR(IF(#REF!="S",VLOOKUP('Raw Data'!A2675,References!#REF!,2,FALSE),(VLOOKUP($S2675,References!$B$3:$C$8,2,FALSE))),"")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0"/>
        <v>0</v>
      </c>
      <c r="T2676" s="98">
        <f t="shared" si="149"/>
        <v>0</v>
      </c>
      <c r="U2676" s="99" t="str">
        <f>IFERROR(IF(#REF!="S",VLOOKUP('Raw Data'!A2676,References!#REF!,2,FALSE),(VLOOKUP($S2676,References!$B$3:$C$8,2,FALSE))),"")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0"/>
        <v>0</v>
      </c>
      <c r="T2677" s="98">
        <f t="shared" si="149"/>
        <v>0</v>
      </c>
      <c r="U2677" s="99" t="str">
        <f>IFERROR(IF(#REF!="S",VLOOKUP('Raw Data'!A2677,References!#REF!,2,FALSE),(VLOOKUP($S2677,References!$B$3:$C$8,2,FALSE))),"")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0"/>
        <v>0</v>
      </c>
      <c r="T2678" s="98">
        <f t="shared" si="149"/>
        <v>0</v>
      </c>
      <c r="U2678" s="99" t="str">
        <f>IFERROR(IF(#REF!="S",VLOOKUP('Raw Data'!A2678,References!#REF!,2,FALSE),(VLOOKUP($S2678,References!$B$3:$C$8,2,FALSE))),"")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0"/>
        <v>0</v>
      </c>
      <c r="T2679" s="98">
        <f t="shared" si="149"/>
        <v>0</v>
      </c>
      <c r="U2679" s="99" t="str">
        <f>IFERROR(IF(#REF!="S",VLOOKUP('Raw Data'!A2679,References!#REF!,2,FALSE),(VLOOKUP($S2679,References!$B$3:$C$8,2,FALSE))),"")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0"/>
        <v>0</v>
      </c>
      <c r="T2680" s="98">
        <f t="shared" si="149"/>
        <v>0</v>
      </c>
      <c r="U2680" s="99" t="str">
        <f>IFERROR(IF(#REF!="S",VLOOKUP('Raw Data'!A2680,References!#REF!,2,FALSE),(VLOOKUP($S2680,References!$B$3:$C$8,2,FALSE))),"")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0"/>
        <v>0</v>
      </c>
      <c r="T2681" s="98">
        <f t="shared" si="149"/>
        <v>0</v>
      </c>
      <c r="U2681" s="99" t="str">
        <f>IFERROR(IF(#REF!="S",VLOOKUP('Raw Data'!A2681,References!#REF!,2,FALSE),(VLOOKUP($S2681,References!$B$3:$C$8,2,FALSE))),"")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0"/>
        <v>0</v>
      </c>
      <c r="T2682" s="98">
        <f t="shared" si="149"/>
        <v>0</v>
      </c>
      <c r="U2682" s="99" t="str">
        <f>IFERROR(IF(#REF!="S",VLOOKUP('Raw Data'!A2682,References!#REF!,2,FALSE),(VLOOKUP($S2682,References!$B$3:$C$8,2,FALSE))),"")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0"/>
        <v>0</v>
      </c>
      <c r="T2683" s="98">
        <f t="shared" si="149"/>
        <v>0</v>
      </c>
      <c r="U2683" s="99" t="str">
        <f>IFERROR(IF(#REF!="S",VLOOKUP('Raw Data'!A2683,References!#REF!,2,FALSE),(VLOOKUP($S2683,References!$B$3:$C$8,2,FALSE))),"")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0"/>
        <v>0</v>
      </c>
      <c r="T2684" s="98">
        <f t="shared" si="149"/>
        <v>0</v>
      </c>
      <c r="U2684" s="99" t="str">
        <f>IFERROR(IF(#REF!="S",VLOOKUP('Raw Data'!A2684,References!#REF!,2,FALSE),(VLOOKUP($S2684,References!$B$3:$C$8,2,FALSE))),"")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0"/>
        <v>0</v>
      </c>
      <c r="T2685" s="98">
        <f t="shared" si="149"/>
        <v>0</v>
      </c>
      <c r="U2685" s="99" t="str">
        <f>IFERROR(IF(#REF!="S",VLOOKUP('Raw Data'!A2685,References!#REF!,2,FALSE),(VLOOKUP($S2685,References!$B$3:$C$8,2,FALSE))),"")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0"/>
        <v>0</v>
      </c>
      <c r="T2686" s="98">
        <f t="shared" si="149"/>
        <v>0</v>
      </c>
      <c r="U2686" s="99" t="str">
        <f>IFERROR(IF(#REF!="S",VLOOKUP('Raw Data'!A2686,References!#REF!,2,FALSE),(VLOOKUP($S2686,References!$B$3:$C$8,2,FALSE))),"")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0"/>
        <v>0</v>
      </c>
      <c r="T2687" s="98">
        <f t="shared" si="149"/>
        <v>0</v>
      </c>
      <c r="U2687" s="99" t="str">
        <f>IFERROR(IF(#REF!="S",VLOOKUP('Raw Data'!A2687,References!#REF!,2,FALSE),(VLOOKUP($S2687,References!$B$3:$C$8,2,FALSE))),"")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0"/>
        <v>0</v>
      </c>
      <c r="T2688" s="98">
        <f t="shared" si="149"/>
        <v>0</v>
      </c>
      <c r="U2688" s="99" t="str">
        <f>IFERROR(IF(#REF!="S",VLOOKUP('Raw Data'!A2688,References!#REF!,2,FALSE),(VLOOKUP($S2688,References!$B$3:$C$8,2,FALSE))),"")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0"/>
        <v>0</v>
      </c>
      <c r="T2689" s="98">
        <f t="shared" si="149"/>
        <v>0</v>
      </c>
      <c r="U2689" s="99" t="str">
        <f>IFERROR(IF(#REF!="S",VLOOKUP('Raw Data'!A2689,References!#REF!,2,FALSE),(VLOOKUP($S2689,References!$B$3:$C$8,2,FALSE))),"")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0"/>
        <v>0</v>
      </c>
      <c r="T2690" s="98">
        <f t="shared" si="149"/>
        <v>0</v>
      </c>
      <c r="U2690" s="99" t="str">
        <f>IFERROR(IF(#REF!="S",VLOOKUP('Raw Data'!A2690,References!#REF!,2,FALSE),(VLOOKUP($S2690,References!$B$3:$C$8,2,FALSE))),"")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0"/>
        <v>0</v>
      </c>
      <c r="T2691" s="98">
        <f t="shared" si="149"/>
        <v>0</v>
      </c>
      <c r="U2691" s="99" t="str">
        <f>IFERROR(IF(#REF!="S",VLOOKUP('Raw Data'!A2691,References!#REF!,2,FALSE),(VLOOKUP($S2691,References!$B$3:$C$8,2,FALSE))),"")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0"/>
        <v>0</v>
      </c>
      <c r="T2692" s="98">
        <f t="shared" si="149"/>
        <v>0</v>
      </c>
      <c r="U2692" s="99" t="str">
        <f>IFERROR(IF(#REF!="S",VLOOKUP('Raw Data'!A2692,References!#REF!,2,FALSE),(VLOOKUP($S2692,References!$B$3:$C$8,2,FALSE))),"")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0"/>
        <v>0</v>
      </c>
      <c r="T2693" s="98">
        <f t="shared" si="149"/>
        <v>0</v>
      </c>
      <c r="U2693" s="99" t="str">
        <f>IFERROR(IF(#REF!="S",VLOOKUP('Raw Data'!A2693,References!#REF!,2,FALSE),(VLOOKUP($S2693,References!$B$3:$C$8,2,FALSE))),"")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0"/>
        <v>0</v>
      </c>
      <c r="T2694" s="98">
        <f t="shared" si="149"/>
        <v>0</v>
      </c>
      <c r="U2694" s="99" t="str">
        <f>IFERROR(IF(#REF!="S",VLOOKUP('Raw Data'!A2694,References!#REF!,2,FALSE),(VLOOKUP($S2694,References!$B$3:$C$8,2,FALSE))),"")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0"/>
        <v>0</v>
      </c>
      <c r="T2695" s="98">
        <f t="shared" si="149"/>
        <v>0</v>
      </c>
      <c r="U2695" s="99" t="str">
        <f>IFERROR(IF(#REF!="S",VLOOKUP('Raw Data'!A2695,References!#REF!,2,FALSE),(VLOOKUP($S2695,References!$B$3:$C$8,2,FALSE))),"")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0"/>
        <v>0</v>
      </c>
      <c r="T2696" s="98">
        <f t="shared" si="149"/>
        <v>0</v>
      </c>
      <c r="U2696" s="99" t="str">
        <f>IFERROR(IF(#REF!="S",VLOOKUP('Raw Data'!A2696,References!#REF!,2,FALSE),(VLOOKUP($S2696,References!$B$3:$C$8,2,FALSE))),"")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0"/>
        <v>0</v>
      </c>
      <c r="T2697" s="98">
        <f t="shared" si="149"/>
        <v>0</v>
      </c>
      <c r="U2697" s="99" t="str">
        <f>IFERROR(IF(#REF!="S",VLOOKUP('Raw Data'!A2697,References!#REF!,2,FALSE),(VLOOKUP($S2697,References!$B$3:$C$8,2,FALSE))),"")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0"/>
        <v>0</v>
      </c>
      <c r="T2698" s="98">
        <f t="shared" si="149"/>
        <v>0</v>
      </c>
      <c r="U2698" s="99" t="str">
        <f>IFERROR(IF(#REF!="S",VLOOKUP('Raw Data'!A2698,References!#REF!,2,FALSE),(VLOOKUP($S2698,References!$B$3:$C$8,2,FALSE))),"")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0"/>
        <v>0</v>
      </c>
      <c r="T2699" s="98">
        <f t="shared" si="149"/>
        <v>0</v>
      </c>
      <c r="U2699" s="99" t="str">
        <f>IFERROR(IF(#REF!="S",VLOOKUP('Raw Data'!A2699,References!#REF!,2,FALSE),(VLOOKUP($S2699,References!$B$3:$C$8,2,FALSE))),"")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0"/>
        <v>0</v>
      </c>
      <c r="T2700" s="98">
        <f t="shared" si="149"/>
        <v>0</v>
      </c>
      <c r="U2700" s="99" t="str">
        <f>IFERROR(IF(#REF!="S",VLOOKUP('Raw Data'!A2700,References!#REF!,2,FALSE),(VLOOKUP($S2700,References!$B$3:$C$8,2,FALSE))),"")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0"/>
        <v>0</v>
      </c>
      <c r="T2701" s="98">
        <f t="shared" si="149"/>
        <v>0</v>
      </c>
      <c r="U2701" s="99" t="str">
        <f>IFERROR(IF(#REF!="S",VLOOKUP('Raw Data'!A2701,References!#REF!,2,FALSE),(VLOOKUP($S2701,References!$B$3:$C$8,2,FALSE))),"")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0"/>
        <v>0</v>
      </c>
      <c r="T2702" s="98">
        <f t="shared" si="149"/>
        <v>0</v>
      </c>
      <c r="U2702" s="99" t="str">
        <f>IFERROR(IF(#REF!="S",VLOOKUP('Raw Data'!A2702,References!#REF!,2,FALSE),(VLOOKUP($S2702,References!$B$3:$C$8,2,FALSE))),"")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0"/>
        <v>0</v>
      </c>
      <c r="T2703" s="98">
        <f t="shared" si="149"/>
        <v>0</v>
      </c>
      <c r="U2703" s="99" t="str">
        <f>IFERROR(IF(#REF!="S",VLOOKUP('Raw Data'!A2703,References!#REF!,2,FALSE),(VLOOKUP($S2703,References!$B$3:$C$8,2,FALSE))),"")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0"/>
        <v>0</v>
      </c>
      <c r="T2704" s="98">
        <f t="shared" ref="T2704:T2767" si="151">IF(S2704="50 - Cleaning Fee",1,HOUR($R2704)+MINUTE(R2704)/60)</f>
        <v>0</v>
      </c>
      <c r="U2704" s="99" t="str">
        <f>IFERROR(IF(#REF!="S",VLOOKUP('Raw Data'!A2704,References!#REF!,2,FALSE),(VLOOKUP($S2704,References!$B$3:$C$8,2,FALSE))),"")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0"/>
        <v>0</v>
      </c>
      <c r="T2705" s="98">
        <f t="shared" si="151"/>
        <v>0</v>
      </c>
      <c r="U2705" s="99" t="str">
        <f>IFERROR(IF(#REF!="S",VLOOKUP('Raw Data'!A2705,References!#REF!,2,FALSE),(VLOOKUP($S2705,References!$B$3:$C$8,2,FALSE))),"")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0"/>
        <v>0</v>
      </c>
      <c r="T2706" s="98">
        <f t="shared" si="151"/>
        <v>0</v>
      </c>
      <c r="U2706" s="99" t="str">
        <f>IFERROR(IF(#REF!="S",VLOOKUP('Raw Data'!A2706,References!#REF!,2,FALSE),(VLOOKUP($S2706,References!$B$3:$C$8,2,FALSE))),"")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0"/>
        <v>0</v>
      </c>
      <c r="T2707" s="98">
        <f t="shared" si="151"/>
        <v>0</v>
      </c>
      <c r="U2707" s="99" t="str">
        <f>IFERROR(IF(#REF!="S",VLOOKUP('Raw Data'!A2707,References!#REF!,2,FALSE),(VLOOKUP($S2707,References!$B$3:$C$8,2,FALSE))),"")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0"/>
        <v>0</v>
      </c>
      <c r="T2708" s="98">
        <f t="shared" si="151"/>
        <v>0</v>
      </c>
      <c r="U2708" s="99" t="str">
        <f>IFERROR(IF(#REF!="S",VLOOKUP('Raw Data'!A2708,References!#REF!,2,FALSE),(VLOOKUP($S2708,References!$B$3:$C$8,2,FALSE))),"")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0"/>
        <v>0</v>
      </c>
      <c r="T2709" s="98">
        <f t="shared" si="151"/>
        <v>0</v>
      </c>
      <c r="U2709" s="99" t="str">
        <f>IFERROR(IF(#REF!="S",VLOOKUP('Raw Data'!A2709,References!#REF!,2,FALSE),(VLOOKUP($S2709,References!$B$3:$C$8,2,FALSE))),"")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0"/>
        <v>0</v>
      </c>
      <c r="T2710" s="98">
        <f t="shared" si="151"/>
        <v>0</v>
      </c>
      <c r="U2710" s="99" t="str">
        <f>IFERROR(IF(#REF!="S",VLOOKUP('Raw Data'!A2710,References!#REF!,2,FALSE),(VLOOKUP($S2710,References!$B$3:$C$8,2,FALSE))),"")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0"/>
        <v>0</v>
      </c>
      <c r="T2711" s="98">
        <f t="shared" si="151"/>
        <v>0</v>
      </c>
      <c r="U2711" s="99" t="str">
        <f>IFERROR(IF(#REF!="S",VLOOKUP('Raw Data'!A2711,References!#REF!,2,FALSE),(VLOOKUP($S2711,References!$B$3:$C$8,2,FALSE))),"")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0"/>
        <v>0</v>
      </c>
      <c r="T2712" s="98">
        <f t="shared" si="151"/>
        <v>0</v>
      </c>
      <c r="U2712" s="99" t="str">
        <f>IFERROR(IF(#REF!="S",VLOOKUP('Raw Data'!A2712,References!#REF!,2,FALSE),(VLOOKUP($S2712,References!$B$3:$C$8,2,FALSE))),"")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0"/>
        <v>0</v>
      </c>
      <c r="T2713" s="98">
        <f t="shared" si="151"/>
        <v>0</v>
      </c>
      <c r="U2713" s="99" t="str">
        <f>IFERROR(IF(#REF!="S",VLOOKUP('Raw Data'!A2713,References!#REF!,2,FALSE),(VLOOKUP($S2713,References!$B$3:$C$8,2,FALSE))),"")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0"/>
        <v>0</v>
      </c>
      <c r="T2714" s="98">
        <f t="shared" si="151"/>
        <v>0</v>
      </c>
      <c r="U2714" s="99" t="str">
        <f>IFERROR(IF(#REF!="S",VLOOKUP('Raw Data'!A2714,References!#REF!,2,FALSE),(VLOOKUP($S2714,References!$B$3:$C$8,2,FALSE))),"")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0"/>
        <v>0</v>
      </c>
      <c r="T2715" s="98">
        <f t="shared" si="151"/>
        <v>0</v>
      </c>
      <c r="U2715" s="99" t="str">
        <f>IFERROR(IF(#REF!="S",VLOOKUP('Raw Data'!A2715,References!#REF!,2,FALSE),(VLOOKUP($S2715,References!$B$3:$C$8,2,FALSE))),"")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0"/>
        <v>0</v>
      </c>
      <c r="T2716" s="98">
        <f t="shared" si="151"/>
        <v>0</v>
      </c>
      <c r="U2716" s="99" t="str">
        <f>IFERROR(IF(#REF!="S",VLOOKUP('Raw Data'!A2716,References!#REF!,2,FALSE),(VLOOKUP($S2716,References!$B$3:$C$8,2,FALSE))),"")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0"/>
        <v>0</v>
      </c>
      <c r="T2717" s="98">
        <f t="shared" si="151"/>
        <v>0</v>
      </c>
      <c r="U2717" s="99" t="str">
        <f>IFERROR(IF(#REF!="S",VLOOKUP('Raw Data'!A2717,References!#REF!,2,FALSE),(VLOOKUP($S2717,References!$B$3:$C$8,2,FALSE))),"")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0"/>
        <v>0</v>
      </c>
      <c r="T2718" s="98">
        <f t="shared" si="151"/>
        <v>0</v>
      </c>
      <c r="U2718" s="99" t="str">
        <f>IFERROR(IF(#REF!="S",VLOOKUP('Raw Data'!A2718,References!#REF!,2,FALSE),(VLOOKUP($S2718,References!$B$3:$C$8,2,FALSE))),"")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0"/>
        <v>0</v>
      </c>
      <c r="T2719" s="98">
        <f t="shared" si="151"/>
        <v>0</v>
      </c>
      <c r="U2719" s="99" t="str">
        <f>IFERROR(IF(#REF!="S",VLOOKUP('Raw Data'!A2719,References!#REF!,2,FALSE),(VLOOKUP($S2719,References!$B$3:$C$8,2,FALSE))),"")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0"/>
        <v>0</v>
      </c>
      <c r="T2720" s="98">
        <f t="shared" si="151"/>
        <v>0</v>
      </c>
      <c r="U2720" s="99" t="str">
        <f>IFERROR(IF(#REF!="S",VLOOKUP('Raw Data'!A2720,References!#REF!,2,FALSE),(VLOOKUP($S2720,References!$B$3:$C$8,2,FALSE))),"")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0"/>
        <v>0</v>
      </c>
      <c r="T2721" s="98">
        <f t="shared" si="151"/>
        <v>0</v>
      </c>
      <c r="U2721" s="99" t="str">
        <f>IFERROR(IF(#REF!="S",VLOOKUP('Raw Data'!A2721,References!#REF!,2,FALSE),(VLOOKUP($S2721,References!$B$3:$C$8,2,FALSE))),"")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0"/>
        <v>0</v>
      </c>
      <c r="T2722" s="98">
        <f t="shared" si="151"/>
        <v>0</v>
      </c>
      <c r="U2722" s="99" t="str">
        <f>IFERROR(IF(#REF!="S",VLOOKUP('Raw Data'!A2722,References!#REF!,2,FALSE),(VLOOKUP($S2722,References!$B$3:$C$8,2,FALSE))),"")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0"/>
        <v>0</v>
      </c>
      <c r="T2723" s="98">
        <f t="shared" si="151"/>
        <v>0</v>
      </c>
      <c r="U2723" s="99" t="str">
        <f>IFERROR(IF(#REF!="S",VLOOKUP('Raw Data'!A2723,References!#REF!,2,FALSE),(VLOOKUP($S2723,References!$B$3:$C$8,2,FALSE))),"")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0"/>
        <v>0</v>
      </c>
      <c r="T2724" s="98">
        <f t="shared" si="151"/>
        <v>0</v>
      </c>
      <c r="U2724" s="99" t="str">
        <f>IFERROR(IF(#REF!="S",VLOOKUP('Raw Data'!A2724,References!#REF!,2,FALSE),(VLOOKUP($S2724,References!$B$3:$C$8,2,FALSE))),"")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0"/>
        <v>0</v>
      </c>
      <c r="T2725" s="98">
        <f t="shared" si="151"/>
        <v>0</v>
      </c>
      <c r="U2725" s="99" t="str">
        <f>IFERROR(IF(#REF!="S",VLOOKUP('Raw Data'!A2725,References!#REF!,2,FALSE),(VLOOKUP($S2725,References!$B$3:$C$8,2,FALSE))),"")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0"/>
        <v>0</v>
      </c>
      <c r="T2726" s="98">
        <f t="shared" si="151"/>
        <v>0</v>
      </c>
      <c r="U2726" s="99" t="str">
        <f>IFERROR(IF(#REF!="S",VLOOKUP('Raw Data'!A2726,References!#REF!,2,FALSE),(VLOOKUP($S2726,References!$B$3:$C$8,2,FALSE))),"")</f>
        <v/>
      </c>
      <c r="W2726" s="66" t="str">
        <f>IFERROR(VLOOKUP($O2726,'Customer List'!$A$1:$J$488,10,FALSE),"")</f>
        <v/>
      </c>
    </row>
    <row r="2727" spans="18:23">
      <c r="R2727" s="97">
        <f t="shared" si="150"/>
        <v>0</v>
      </c>
      <c r="T2727" s="98">
        <f t="shared" si="151"/>
        <v>0</v>
      </c>
      <c r="U2727" s="99" t="str">
        <f>IFERROR(IF(#REF!="S",VLOOKUP('Raw Data'!A2727,References!#REF!,2,FALSE),(VLOOKUP($S2727,References!$B$3:$C$8,2,FALSE))),"")</f>
        <v/>
      </c>
      <c r="W2727" s="66" t="str">
        <f>IFERROR(VLOOKUP($O2727,'Customer List'!$A$1:$J$488,10,FALSE),"")</f>
        <v/>
      </c>
    </row>
    <row r="2728" spans="18:23">
      <c r="R2728" s="97">
        <f t="shared" ref="R2728:R2791" si="152">L2728-K2728</f>
        <v>0</v>
      </c>
      <c r="T2728" s="98">
        <f t="shared" si="151"/>
        <v>0</v>
      </c>
      <c r="U2728" s="99" t="str">
        <f>IFERROR(IF(#REF!="S",VLOOKUP('Raw Data'!A2728,References!#REF!,2,FALSE),(VLOOKUP($S2728,References!$B$3:$C$8,2,FALSE))),"")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2"/>
        <v>0</v>
      </c>
      <c r="T2729" s="98">
        <f t="shared" si="151"/>
        <v>0</v>
      </c>
      <c r="U2729" s="99" t="str">
        <f>IFERROR(IF(#REF!="S",VLOOKUP('Raw Data'!A2729,References!#REF!,2,FALSE),(VLOOKUP($S2729,References!$B$3:$C$8,2,FALSE))),"")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2"/>
        <v>0</v>
      </c>
      <c r="T2730" s="98">
        <f t="shared" si="151"/>
        <v>0</v>
      </c>
      <c r="U2730" s="99" t="str">
        <f>IFERROR(IF(#REF!="S",VLOOKUP('Raw Data'!A2730,References!#REF!,2,FALSE),(VLOOKUP($S2730,References!$B$3:$C$8,2,FALSE))),"")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2"/>
        <v>0</v>
      </c>
      <c r="T2731" s="98">
        <f t="shared" si="151"/>
        <v>0</v>
      </c>
      <c r="U2731" s="99" t="str">
        <f>IFERROR(IF(#REF!="S",VLOOKUP('Raw Data'!A2731,References!#REF!,2,FALSE),(VLOOKUP($S2731,References!$B$3:$C$8,2,FALSE))),"")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2"/>
        <v>0</v>
      </c>
      <c r="T2732" s="98">
        <f t="shared" si="151"/>
        <v>0</v>
      </c>
      <c r="U2732" s="99" t="str">
        <f>IFERROR(IF(#REF!="S",VLOOKUP('Raw Data'!A2732,References!#REF!,2,FALSE),(VLOOKUP($S2732,References!$B$3:$C$8,2,FALSE))),"")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2"/>
        <v>0</v>
      </c>
      <c r="T2733" s="98">
        <f t="shared" si="151"/>
        <v>0</v>
      </c>
      <c r="U2733" s="99" t="str">
        <f>IFERROR(IF(#REF!="S",VLOOKUP('Raw Data'!A2733,References!#REF!,2,FALSE),(VLOOKUP($S2733,References!$B$3:$C$8,2,FALSE))),"")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2"/>
        <v>0</v>
      </c>
      <c r="T2734" s="98">
        <f t="shared" si="151"/>
        <v>0</v>
      </c>
      <c r="U2734" s="99" t="str">
        <f>IFERROR(IF(#REF!="S",VLOOKUP('Raw Data'!A2734,References!#REF!,2,FALSE),(VLOOKUP($S2734,References!$B$3:$C$8,2,FALSE))),"")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2"/>
        <v>0</v>
      </c>
      <c r="T2735" s="98">
        <f t="shared" si="151"/>
        <v>0</v>
      </c>
      <c r="U2735" s="99" t="str">
        <f>IFERROR(IF(#REF!="S",VLOOKUP('Raw Data'!A2735,References!#REF!,2,FALSE),(VLOOKUP($S2735,References!$B$3:$C$8,2,FALSE))),"")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2"/>
        <v>0</v>
      </c>
      <c r="T2736" s="98">
        <f t="shared" si="151"/>
        <v>0</v>
      </c>
      <c r="U2736" s="99" t="str">
        <f>IFERROR(IF(#REF!="S",VLOOKUP('Raw Data'!A2736,References!#REF!,2,FALSE),(VLOOKUP($S2736,References!$B$3:$C$8,2,FALSE))),"")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2"/>
        <v>0</v>
      </c>
      <c r="T2737" s="98">
        <f t="shared" si="151"/>
        <v>0</v>
      </c>
      <c r="U2737" s="99" t="str">
        <f>IFERROR(IF(#REF!="S",VLOOKUP('Raw Data'!A2737,References!#REF!,2,FALSE),(VLOOKUP($S2737,References!$B$3:$C$8,2,FALSE))),"")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2"/>
        <v>0</v>
      </c>
      <c r="T2738" s="98">
        <f t="shared" si="151"/>
        <v>0</v>
      </c>
      <c r="U2738" s="99" t="str">
        <f>IFERROR(IF(#REF!="S",VLOOKUP('Raw Data'!A2738,References!#REF!,2,FALSE),(VLOOKUP($S2738,References!$B$3:$C$8,2,FALSE))),"")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2"/>
        <v>0</v>
      </c>
      <c r="T2739" s="98">
        <f t="shared" si="151"/>
        <v>0</v>
      </c>
      <c r="U2739" s="99" t="str">
        <f>IFERROR(IF(#REF!="S",VLOOKUP('Raw Data'!A2739,References!#REF!,2,FALSE),(VLOOKUP($S2739,References!$B$3:$C$8,2,FALSE))),"")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2"/>
        <v>0</v>
      </c>
      <c r="T2740" s="98">
        <f t="shared" si="151"/>
        <v>0</v>
      </c>
      <c r="U2740" s="99" t="str">
        <f>IFERROR(IF(#REF!="S",VLOOKUP('Raw Data'!A2740,References!#REF!,2,FALSE),(VLOOKUP($S2740,References!$B$3:$C$8,2,FALSE))),"")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2"/>
        <v>0</v>
      </c>
      <c r="T2741" s="98">
        <f t="shared" si="151"/>
        <v>0</v>
      </c>
      <c r="U2741" s="99" t="str">
        <f>IFERROR(IF(#REF!="S",VLOOKUP('Raw Data'!A2741,References!#REF!,2,FALSE),(VLOOKUP($S2741,References!$B$3:$C$8,2,FALSE))),"")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2"/>
        <v>0</v>
      </c>
      <c r="T2742" s="98">
        <f t="shared" si="151"/>
        <v>0</v>
      </c>
      <c r="U2742" s="99" t="str">
        <f>IFERROR(IF(#REF!="S",VLOOKUP('Raw Data'!A2742,References!#REF!,2,FALSE),(VLOOKUP($S2742,References!$B$3:$C$8,2,FALSE))),"")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2"/>
        <v>0</v>
      </c>
      <c r="T2743" s="98">
        <f t="shared" si="151"/>
        <v>0</v>
      </c>
      <c r="U2743" s="99" t="str">
        <f>IFERROR(IF(#REF!="S",VLOOKUP('Raw Data'!A2743,References!#REF!,2,FALSE),(VLOOKUP($S2743,References!$B$3:$C$8,2,FALSE))),"")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2"/>
        <v>0</v>
      </c>
      <c r="T2744" s="98">
        <f t="shared" si="151"/>
        <v>0</v>
      </c>
      <c r="U2744" s="99" t="str">
        <f>IFERROR(IF(#REF!="S",VLOOKUP('Raw Data'!A2744,References!#REF!,2,FALSE),(VLOOKUP($S2744,References!$B$3:$C$8,2,FALSE))),"")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2"/>
        <v>0</v>
      </c>
      <c r="T2745" s="98">
        <f t="shared" si="151"/>
        <v>0</v>
      </c>
      <c r="U2745" s="99" t="str">
        <f>IFERROR(IF(#REF!="S",VLOOKUP('Raw Data'!A2745,References!#REF!,2,FALSE),(VLOOKUP($S2745,References!$B$3:$C$8,2,FALSE))),"")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2"/>
        <v>0</v>
      </c>
      <c r="T2746" s="98">
        <f t="shared" si="151"/>
        <v>0</v>
      </c>
      <c r="U2746" s="99" t="str">
        <f>IFERROR(IF(#REF!="S",VLOOKUP('Raw Data'!A2746,References!#REF!,2,FALSE),(VLOOKUP($S2746,References!$B$3:$C$8,2,FALSE))),"")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2"/>
        <v>0</v>
      </c>
      <c r="T2747" s="98">
        <f t="shared" si="151"/>
        <v>0</v>
      </c>
      <c r="U2747" s="99" t="str">
        <f>IFERROR(IF(#REF!="S",VLOOKUP('Raw Data'!A2747,References!#REF!,2,FALSE),(VLOOKUP($S2747,References!$B$3:$C$8,2,FALSE))),"")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2"/>
        <v>0</v>
      </c>
      <c r="T2748" s="98">
        <f t="shared" si="151"/>
        <v>0</v>
      </c>
      <c r="U2748" s="99" t="str">
        <f>IFERROR(IF(#REF!="S",VLOOKUP('Raw Data'!A2748,References!#REF!,2,FALSE),(VLOOKUP($S2748,References!$B$3:$C$8,2,FALSE))),"")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2"/>
        <v>0</v>
      </c>
      <c r="T2749" s="98">
        <f t="shared" si="151"/>
        <v>0</v>
      </c>
      <c r="U2749" s="99" t="str">
        <f>IFERROR(IF(#REF!="S",VLOOKUP('Raw Data'!A2749,References!#REF!,2,FALSE),(VLOOKUP($S2749,References!$B$3:$C$8,2,FALSE))),"")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2"/>
        <v>0</v>
      </c>
      <c r="T2750" s="98">
        <f t="shared" si="151"/>
        <v>0</v>
      </c>
      <c r="U2750" s="99" t="str">
        <f>IFERROR(IF(#REF!="S",VLOOKUP('Raw Data'!A2750,References!#REF!,2,FALSE),(VLOOKUP($S2750,References!$B$3:$C$8,2,FALSE))),"")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2"/>
        <v>0</v>
      </c>
      <c r="T2751" s="98">
        <f t="shared" si="151"/>
        <v>0</v>
      </c>
      <c r="U2751" s="99" t="str">
        <f>IFERROR(IF(#REF!="S",VLOOKUP('Raw Data'!A2751,References!#REF!,2,FALSE),(VLOOKUP($S2751,References!$B$3:$C$8,2,FALSE))),"")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2"/>
        <v>0</v>
      </c>
      <c r="T2752" s="98">
        <f t="shared" si="151"/>
        <v>0</v>
      </c>
      <c r="U2752" s="99" t="str">
        <f>IFERROR(IF(#REF!="S",VLOOKUP('Raw Data'!A2752,References!#REF!,2,FALSE),(VLOOKUP($S2752,References!$B$3:$C$8,2,FALSE))),"")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2"/>
        <v>0</v>
      </c>
      <c r="T2753" s="98">
        <f t="shared" si="151"/>
        <v>0</v>
      </c>
      <c r="U2753" s="99" t="str">
        <f>IFERROR(IF(#REF!="S",VLOOKUP('Raw Data'!A2753,References!#REF!,2,FALSE),(VLOOKUP($S2753,References!$B$3:$C$8,2,FALSE))),"")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2"/>
        <v>0</v>
      </c>
      <c r="T2754" s="98">
        <f t="shared" si="151"/>
        <v>0</v>
      </c>
      <c r="U2754" s="99" t="str">
        <f>IFERROR(IF(#REF!="S",VLOOKUP('Raw Data'!A2754,References!#REF!,2,FALSE),(VLOOKUP($S2754,References!$B$3:$C$8,2,FALSE))),"")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2"/>
        <v>0</v>
      </c>
      <c r="T2755" s="98">
        <f t="shared" si="151"/>
        <v>0</v>
      </c>
      <c r="U2755" s="99" t="str">
        <f>IFERROR(IF(#REF!="S",VLOOKUP('Raw Data'!A2755,References!#REF!,2,FALSE),(VLOOKUP($S2755,References!$B$3:$C$8,2,FALSE))),"")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2"/>
        <v>0</v>
      </c>
      <c r="T2756" s="98">
        <f t="shared" si="151"/>
        <v>0</v>
      </c>
      <c r="U2756" s="99" t="str">
        <f>IFERROR(IF(#REF!="S",VLOOKUP('Raw Data'!A2756,References!#REF!,2,FALSE),(VLOOKUP($S2756,References!$B$3:$C$8,2,FALSE))),"")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2"/>
        <v>0</v>
      </c>
      <c r="T2757" s="98">
        <f t="shared" si="151"/>
        <v>0</v>
      </c>
      <c r="U2757" s="99" t="str">
        <f>IFERROR(IF(#REF!="S",VLOOKUP('Raw Data'!A2757,References!#REF!,2,FALSE),(VLOOKUP($S2757,References!$B$3:$C$8,2,FALSE))),"")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2"/>
        <v>0</v>
      </c>
      <c r="T2758" s="98">
        <f t="shared" si="151"/>
        <v>0</v>
      </c>
      <c r="U2758" s="99" t="str">
        <f>IFERROR(IF(#REF!="S",VLOOKUP('Raw Data'!A2758,References!#REF!,2,FALSE),(VLOOKUP($S2758,References!$B$3:$C$8,2,FALSE))),"")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2"/>
        <v>0</v>
      </c>
      <c r="T2759" s="98">
        <f t="shared" si="151"/>
        <v>0</v>
      </c>
      <c r="U2759" s="99" t="str">
        <f>IFERROR(IF(#REF!="S",VLOOKUP('Raw Data'!A2759,References!#REF!,2,FALSE),(VLOOKUP($S2759,References!$B$3:$C$8,2,FALSE))),"")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2"/>
        <v>0</v>
      </c>
      <c r="T2760" s="98">
        <f t="shared" si="151"/>
        <v>0</v>
      </c>
      <c r="U2760" s="99" t="str">
        <f>IFERROR(IF(#REF!="S",VLOOKUP('Raw Data'!A2760,References!#REF!,2,FALSE),(VLOOKUP($S2760,References!$B$3:$C$8,2,FALSE))),"")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2"/>
        <v>0</v>
      </c>
      <c r="T2761" s="98">
        <f t="shared" si="151"/>
        <v>0</v>
      </c>
      <c r="U2761" s="99" t="str">
        <f>IFERROR(IF(#REF!="S",VLOOKUP('Raw Data'!A2761,References!#REF!,2,FALSE),(VLOOKUP($S2761,References!$B$3:$C$8,2,FALSE))),"")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2"/>
        <v>0</v>
      </c>
      <c r="T2762" s="98">
        <f t="shared" si="151"/>
        <v>0</v>
      </c>
      <c r="U2762" s="99" t="str">
        <f>IFERROR(IF(#REF!="S",VLOOKUP('Raw Data'!A2762,References!#REF!,2,FALSE),(VLOOKUP($S2762,References!$B$3:$C$8,2,FALSE))),"")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2"/>
        <v>0</v>
      </c>
      <c r="T2763" s="98">
        <f t="shared" si="151"/>
        <v>0</v>
      </c>
      <c r="U2763" s="99" t="str">
        <f>IFERROR(IF(#REF!="S",VLOOKUP('Raw Data'!A2763,References!#REF!,2,FALSE),(VLOOKUP($S2763,References!$B$3:$C$8,2,FALSE))),"")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2"/>
        <v>0</v>
      </c>
      <c r="T2764" s="98">
        <f t="shared" si="151"/>
        <v>0</v>
      </c>
      <c r="U2764" s="99" t="str">
        <f>IFERROR(IF(#REF!="S",VLOOKUP('Raw Data'!A2764,References!#REF!,2,FALSE),(VLOOKUP($S2764,References!$B$3:$C$8,2,FALSE))),"")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2"/>
        <v>0</v>
      </c>
      <c r="T2765" s="98">
        <f t="shared" si="151"/>
        <v>0</v>
      </c>
      <c r="U2765" s="99" t="str">
        <f>IFERROR(IF(#REF!="S",VLOOKUP('Raw Data'!A2765,References!#REF!,2,FALSE),(VLOOKUP($S2765,References!$B$3:$C$8,2,FALSE))),"")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2"/>
        <v>0</v>
      </c>
      <c r="T2766" s="98">
        <f t="shared" si="151"/>
        <v>0</v>
      </c>
      <c r="U2766" s="99" t="str">
        <f>IFERROR(IF(#REF!="S",VLOOKUP('Raw Data'!A2766,References!#REF!,2,FALSE),(VLOOKUP($S2766,References!$B$3:$C$8,2,FALSE))),"")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2"/>
        <v>0</v>
      </c>
      <c r="T2767" s="98">
        <f t="shared" si="151"/>
        <v>0</v>
      </c>
      <c r="U2767" s="99" t="str">
        <f>IFERROR(IF(#REF!="S",VLOOKUP('Raw Data'!A2767,References!#REF!,2,FALSE),(VLOOKUP($S2767,References!$B$3:$C$8,2,FALSE))),"")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2"/>
        <v>0</v>
      </c>
      <c r="T2768" s="98">
        <f t="shared" ref="T2768:T2831" si="153">IF(S2768="50 - Cleaning Fee",1,HOUR($R2768)+MINUTE(R2768)/60)</f>
        <v>0</v>
      </c>
      <c r="U2768" s="99" t="str">
        <f>IFERROR(IF(#REF!="S",VLOOKUP('Raw Data'!A2768,References!#REF!,2,FALSE),(VLOOKUP($S2768,References!$B$3:$C$8,2,FALSE))),"")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2"/>
        <v>0</v>
      </c>
      <c r="T2769" s="98">
        <f t="shared" si="153"/>
        <v>0</v>
      </c>
      <c r="U2769" s="99" t="str">
        <f>IFERROR(IF(#REF!="S",VLOOKUP('Raw Data'!A2769,References!#REF!,2,FALSE),(VLOOKUP($S2769,References!$B$3:$C$8,2,FALSE))),"")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2"/>
        <v>0</v>
      </c>
      <c r="T2770" s="98">
        <f t="shared" si="153"/>
        <v>0</v>
      </c>
      <c r="U2770" s="99" t="str">
        <f>IFERROR(IF(#REF!="S",VLOOKUP('Raw Data'!A2770,References!#REF!,2,FALSE),(VLOOKUP($S2770,References!$B$3:$C$8,2,FALSE))),"")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2"/>
        <v>0</v>
      </c>
      <c r="T2771" s="98">
        <f t="shared" si="153"/>
        <v>0</v>
      </c>
      <c r="U2771" s="99" t="str">
        <f>IFERROR(IF(#REF!="S",VLOOKUP('Raw Data'!A2771,References!#REF!,2,FALSE),(VLOOKUP($S2771,References!$B$3:$C$8,2,FALSE))),"")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2"/>
        <v>0</v>
      </c>
      <c r="T2772" s="98">
        <f t="shared" si="153"/>
        <v>0</v>
      </c>
      <c r="U2772" s="99" t="str">
        <f>IFERROR(IF(#REF!="S",VLOOKUP('Raw Data'!A2772,References!#REF!,2,FALSE),(VLOOKUP($S2772,References!$B$3:$C$8,2,FALSE))),"")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2"/>
        <v>0</v>
      </c>
      <c r="T2773" s="98">
        <f t="shared" si="153"/>
        <v>0</v>
      </c>
      <c r="U2773" s="99" t="str">
        <f>IFERROR(IF(#REF!="S",VLOOKUP('Raw Data'!A2773,References!#REF!,2,FALSE),(VLOOKUP($S2773,References!$B$3:$C$8,2,FALSE))),"")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2"/>
        <v>0</v>
      </c>
      <c r="T2774" s="98">
        <f t="shared" si="153"/>
        <v>0</v>
      </c>
      <c r="U2774" s="99" t="str">
        <f>IFERROR(IF(#REF!="S",VLOOKUP('Raw Data'!A2774,References!#REF!,2,FALSE),(VLOOKUP($S2774,References!$B$3:$C$8,2,FALSE))),"")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2"/>
        <v>0</v>
      </c>
      <c r="T2775" s="98">
        <f t="shared" si="153"/>
        <v>0</v>
      </c>
      <c r="U2775" s="99" t="str">
        <f>IFERROR(IF(#REF!="S",VLOOKUP('Raw Data'!A2775,References!#REF!,2,FALSE),(VLOOKUP($S2775,References!$B$3:$C$8,2,FALSE))),"")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2"/>
        <v>0</v>
      </c>
      <c r="T2776" s="98">
        <f t="shared" si="153"/>
        <v>0</v>
      </c>
      <c r="U2776" s="99" t="str">
        <f>IFERROR(IF(#REF!="S",VLOOKUP('Raw Data'!A2776,References!#REF!,2,FALSE),(VLOOKUP($S2776,References!$B$3:$C$8,2,FALSE))),"")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2"/>
        <v>0</v>
      </c>
      <c r="T2777" s="98">
        <f t="shared" si="153"/>
        <v>0</v>
      </c>
      <c r="U2777" s="99" t="str">
        <f>IFERROR(IF(#REF!="S",VLOOKUP('Raw Data'!A2777,References!#REF!,2,FALSE),(VLOOKUP($S2777,References!$B$3:$C$8,2,FALSE))),"")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2"/>
        <v>0</v>
      </c>
      <c r="T2778" s="98">
        <f t="shared" si="153"/>
        <v>0</v>
      </c>
      <c r="U2778" s="99" t="str">
        <f>IFERROR(IF(#REF!="S",VLOOKUP('Raw Data'!A2778,References!#REF!,2,FALSE),(VLOOKUP($S2778,References!$B$3:$C$8,2,FALSE))),"")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2"/>
        <v>0</v>
      </c>
      <c r="T2779" s="98">
        <f t="shared" si="153"/>
        <v>0</v>
      </c>
      <c r="U2779" s="99" t="str">
        <f>IFERROR(IF(#REF!="S",VLOOKUP('Raw Data'!A2779,References!#REF!,2,FALSE),(VLOOKUP($S2779,References!$B$3:$C$8,2,FALSE))),"")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2"/>
        <v>0</v>
      </c>
      <c r="T2780" s="98">
        <f t="shared" si="153"/>
        <v>0</v>
      </c>
      <c r="U2780" s="99" t="str">
        <f>IFERROR(IF(#REF!="S",VLOOKUP('Raw Data'!A2780,References!#REF!,2,FALSE),(VLOOKUP($S2780,References!$B$3:$C$8,2,FALSE))),"")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2"/>
        <v>0</v>
      </c>
      <c r="T2781" s="98">
        <f t="shared" si="153"/>
        <v>0</v>
      </c>
      <c r="U2781" s="99" t="str">
        <f>IFERROR(IF(#REF!="S",VLOOKUP('Raw Data'!A2781,References!#REF!,2,FALSE),(VLOOKUP($S2781,References!$B$3:$C$8,2,FALSE))),"")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2"/>
        <v>0</v>
      </c>
      <c r="T2782" s="98">
        <f t="shared" si="153"/>
        <v>0</v>
      </c>
      <c r="U2782" s="99" t="str">
        <f>IFERROR(IF(#REF!="S",VLOOKUP('Raw Data'!A2782,References!#REF!,2,FALSE),(VLOOKUP($S2782,References!$B$3:$C$8,2,FALSE))),"")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2"/>
        <v>0</v>
      </c>
      <c r="T2783" s="98">
        <f t="shared" si="153"/>
        <v>0</v>
      </c>
      <c r="U2783" s="99" t="str">
        <f>IFERROR(IF(#REF!="S",VLOOKUP('Raw Data'!A2783,References!#REF!,2,FALSE),(VLOOKUP($S2783,References!$B$3:$C$8,2,FALSE))),"")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2"/>
        <v>0</v>
      </c>
      <c r="T2784" s="98">
        <f t="shared" si="153"/>
        <v>0</v>
      </c>
      <c r="U2784" s="99" t="str">
        <f>IFERROR(IF(#REF!="S",VLOOKUP('Raw Data'!A2784,References!#REF!,2,FALSE),(VLOOKUP($S2784,References!$B$3:$C$8,2,FALSE))),"")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2"/>
        <v>0</v>
      </c>
      <c r="T2785" s="98">
        <f t="shared" si="153"/>
        <v>0</v>
      </c>
      <c r="U2785" s="99" t="str">
        <f>IFERROR(IF(#REF!="S",VLOOKUP('Raw Data'!A2785,References!#REF!,2,FALSE),(VLOOKUP($S2785,References!$B$3:$C$8,2,FALSE))),"")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2"/>
        <v>0</v>
      </c>
      <c r="T2786" s="98">
        <f t="shared" si="153"/>
        <v>0</v>
      </c>
      <c r="U2786" s="99" t="str">
        <f>IFERROR(IF(#REF!="S",VLOOKUP('Raw Data'!A2786,References!#REF!,2,FALSE),(VLOOKUP($S2786,References!$B$3:$C$8,2,FALSE))),"")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2"/>
        <v>0</v>
      </c>
      <c r="T2787" s="98">
        <f t="shared" si="153"/>
        <v>0</v>
      </c>
      <c r="U2787" s="99" t="str">
        <f>IFERROR(IF(#REF!="S",VLOOKUP('Raw Data'!A2787,References!#REF!,2,FALSE),(VLOOKUP($S2787,References!$B$3:$C$8,2,FALSE))),"")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2"/>
        <v>0</v>
      </c>
      <c r="T2788" s="98">
        <f t="shared" si="153"/>
        <v>0</v>
      </c>
      <c r="U2788" s="99" t="str">
        <f>IFERROR(IF(#REF!="S",VLOOKUP('Raw Data'!A2788,References!#REF!,2,FALSE),(VLOOKUP($S2788,References!$B$3:$C$8,2,FALSE))),"")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2"/>
        <v>0</v>
      </c>
      <c r="T2789" s="98">
        <f t="shared" si="153"/>
        <v>0</v>
      </c>
      <c r="U2789" s="99" t="str">
        <f>IFERROR(IF(#REF!="S",VLOOKUP('Raw Data'!A2789,References!#REF!,2,FALSE),(VLOOKUP($S2789,References!$B$3:$C$8,2,FALSE))),"")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2"/>
        <v>0</v>
      </c>
      <c r="T2790" s="98">
        <f t="shared" si="153"/>
        <v>0</v>
      </c>
      <c r="U2790" s="99" t="str">
        <f>IFERROR(IF(#REF!="S",VLOOKUP('Raw Data'!A2790,References!#REF!,2,FALSE),(VLOOKUP($S2790,References!$B$3:$C$8,2,FALSE))),"")</f>
        <v/>
      </c>
      <c r="W2790" s="66" t="str">
        <f>IFERROR(VLOOKUP($O2790,'Customer List'!$A$1:$J$488,10,FALSE),"")</f>
        <v/>
      </c>
    </row>
    <row r="2791" spans="18:23">
      <c r="R2791" s="97">
        <f t="shared" si="152"/>
        <v>0</v>
      </c>
      <c r="T2791" s="98">
        <f t="shared" si="153"/>
        <v>0</v>
      </c>
      <c r="U2791" s="99" t="str">
        <f>IFERROR(IF(#REF!="S",VLOOKUP('Raw Data'!A2791,References!#REF!,2,FALSE),(VLOOKUP($S2791,References!$B$3:$C$8,2,FALSE))),"")</f>
        <v/>
      </c>
      <c r="W2791" s="66" t="str">
        <f>IFERROR(VLOOKUP($O2791,'Customer List'!$A$1:$J$488,10,FALSE),"")</f>
        <v/>
      </c>
    </row>
    <row r="2792" spans="18:23">
      <c r="R2792" s="97">
        <f t="shared" ref="R2792:R2855" si="154">L2792-K2792</f>
        <v>0</v>
      </c>
      <c r="T2792" s="98">
        <f t="shared" si="153"/>
        <v>0</v>
      </c>
      <c r="U2792" s="99" t="str">
        <f>IFERROR(IF(#REF!="S",VLOOKUP('Raw Data'!A2792,References!#REF!,2,FALSE),(VLOOKUP($S2792,References!$B$3:$C$8,2,FALSE))),"")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4"/>
        <v>0</v>
      </c>
      <c r="T2793" s="98">
        <f t="shared" si="153"/>
        <v>0</v>
      </c>
      <c r="U2793" s="99" t="str">
        <f>IFERROR(IF(#REF!="S",VLOOKUP('Raw Data'!A2793,References!#REF!,2,FALSE),(VLOOKUP($S2793,References!$B$3:$C$8,2,FALSE))),"")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4"/>
        <v>0</v>
      </c>
      <c r="T2794" s="98">
        <f t="shared" si="153"/>
        <v>0</v>
      </c>
      <c r="U2794" s="99" t="str">
        <f>IFERROR(IF(#REF!="S",VLOOKUP('Raw Data'!A2794,References!#REF!,2,FALSE),(VLOOKUP($S2794,References!$B$3:$C$8,2,FALSE))),"")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4"/>
        <v>0</v>
      </c>
      <c r="T2795" s="98">
        <f t="shared" si="153"/>
        <v>0</v>
      </c>
      <c r="U2795" s="99" t="str">
        <f>IFERROR(IF(#REF!="S",VLOOKUP('Raw Data'!A2795,References!#REF!,2,FALSE),(VLOOKUP($S2795,References!$B$3:$C$8,2,FALSE))),"")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4"/>
        <v>0</v>
      </c>
      <c r="T2796" s="98">
        <f t="shared" si="153"/>
        <v>0</v>
      </c>
      <c r="U2796" s="99" t="str">
        <f>IFERROR(IF(#REF!="S",VLOOKUP('Raw Data'!A2796,References!#REF!,2,FALSE),(VLOOKUP($S2796,References!$B$3:$C$8,2,FALSE))),"")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4"/>
        <v>0</v>
      </c>
      <c r="T2797" s="98">
        <f t="shared" si="153"/>
        <v>0</v>
      </c>
      <c r="U2797" s="99" t="str">
        <f>IFERROR(IF(#REF!="S",VLOOKUP('Raw Data'!A2797,References!#REF!,2,FALSE),(VLOOKUP($S2797,References!$B$3:$C$8,2,FALSE))),"")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4"/>
        <v>0</v>
      </c>
      <c r="T2798" s="98">
        <f t="shared" si="153"/>
        <v>0</v>
      </c>
      <c r="U2798" s="99" t="str">
        <f>IFERROR(IF(#REF!="S",VLOOKUP('Raw Data'!A2798,References!#REF!,2,FALSE),(VLOOKUP($S2798,References!$B$3:$C$8,2,FALSE))),"")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4"/>
        <v>0</v>
      </c>
      <c r="T2799" s="98">
        <f t="shared" si="153"/>
        <v>0</v>
      </c>
      <c r="U2799" s="99" t="str">
        <f>IFERROR(IF(#REF!="S",VLOOKUP('Raw Data'!A2799,References!#REF!,2,FALSE),(VLOOKUP($S2799,References!$B$3:$C$8,2,FALSE))),"")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4"/>
        <v>0</v>
      </c>
      <c r="T2800" s="98">
        <f t="shared" si="153"/>
        <v>0</v>
      </c>
      <c r="U2800" s="99" t="str">
        <f>IFERROR(IF(#REF!="S",VLOOKUP('Raw Data'!A2800,References!#REF!,2,FALSE),(VLOOKUP($S2800,References!$B$3:$C$8,2,FALSE))),"")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4"/>
        <v>0</v>
      </c>
      <c r="T2801" s="98">
        <f t="shared" si="153"/>
        <v>0</v>
      </c>
      <c r="U2801" s="99" t="str">
        <f>IFERROR(IF(#REF!="S",VLOOKUP('Raw Data'!A2801,References!#REF!,2,FALSE),(VLOOKUP($S2801,References!$B$3:$C$8,2,FALSE))),"")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4"/>
        <v>0</v>
      </c>
      <c r="T2802" s="98">
        <f t="shared" si="153"/>
        <v>0</v>
      </c>
      <c r="U2802" s="99" t="str">
        <f>IFERROR(IF(#REF!="S",VLOOKUP('Raw Data'!A2802,References!#REF!,2,FALSE),(VLOOKUP($S2802,References!$B$3:$C$8,2,FALSE))),"")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4"/>
        <v>0</v>
      </c>
      <c r="T2803" s="98">
        <f t="shared" si="153"/>
        <v>0</v>
      </c>
      <c r="U2803" s="99" t="str">
        <f>IFERROR(IF(#REF!="S",VLOOKUP('Raw Data'!A2803,References!#REF!,2,FALSE),(VLOOKUP($S2803,References!$B$3:$C$8,2,FALSE))),"")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4"/>
        <v>0</v>
      </c>
      <c r="T2804" s="98">
        <f t="shared" si="153"/>
        <v>0</v>
      </c>
      <c r="U2804" s="99" t="str">
        <f>IFERROR(IF(#REF!="S",VLOOKUP('Raw Data'!A2804,References!#REF!,2,FALSE),(VLOOKUP($S2804,References!$B$3:$C$8,2,FALSE))),"")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4"/>
        <v>0</v>
      </c>
      <c r="T2805" s="98">
        <f t="shared" si="153"/>
        <v>0</v>
      </c>
      <c r="U2805" s="99" t="str">
        <f>IFERROR(IF(#REF!="S",VLOOKUP('Raw Data'!A2805,References!#REF!,2,FALSE),(VLOOKUP($S2805,References!$B$3:$C$8,2,FALSE))),"")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4"/>
        <v>0</v>
      </c>
      <c r="T2806" s="98">
        <f t="shared" si="153"/>
        <v>0</v>
      </c>
      <c r="U2806" s="99" t="str">
        <f>IFERROR(IF(#REF!="S",VLOOKUP('Raw Data'!A2806,References!#REF!,2,FALSE),(VLOOKUP($S2806,References!$B$3:$C$8,2,FALSE))),"")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4"/>
        <v>0</v>
      </c>
      <c r="T2807" s="98">
        <f t="shared" si="153"/>
        <v>0</v>
      </c>
      <c r="U2807" s="99" t="str">
        <f>IFERROR(IF(#REF!="S",VLOOKUP('Raw Data'!A2807,References!#REF!,2,FALSE),(VLOOKUP($S2807,References!$B$3:$C$8,2,FALSE))),"")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4"/>
        <v>0</v>
      </c>
      <c r="T2808" s="98">
        <f t="shared" si="153"/>
        <v>0</v>
      </c>
      <c r="U2808" s="99" t="str">
        <f>IFERROR(IF(#REF!="S",VLOOKUP('Raw Data'!A2808,References!#REF!,2,FALSE),(VLOOKUP($S2808,References!$B$3:$C$8,2,FALSE))),"")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4"/>
        <v>0</v>
      </c>
      <c r="T2809" s="98">
        <f t="shared" si="153"/>
        <v>0</v>
      </c>
      <c r="U2809" s="99" t="str">
        <f>IFERROR(IF(#REF!="S",VLOOKUP('Raw Data'!A2809,References!#REF!,2,FALSE),(VLOOKUP($S2809,References!$B$3:$C$8,2,FALSE))),"")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4"/>
        <v>0</v>
      </c>
      <c r="T2810" s="98">
        <f t="shared" si="153"/>
        <v>0</v>
      </c>
      <c r="U2810" s="99" t="str">
        <f>IFERROR(IF(#REF!="S",VLOOKUP('Raw Data'!A2810,References!#REF!,2,FALSE),(VLOOKUP($S2810,References!$B$3:$C$8,2,FALSE))),"")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4"/>
        <v>0</v>
      </c>
      <c r="T2811" s="98">
        <f t="shared" si="153"/>
        <v>0</v>
      </c>
      <c r="U2811" s="99" t="str">
        <f>IFERROR(IF(#REF!="S",VLOOKUP('Raw Data'!A2811,References!#REF!,2,FALSE),(VLOOKUP($S2811,References!$B$3:$C$8,2,FALSE))),"")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4"/>
        <v>0</v>
      </c>
      <c r="T2812" s="98">
        <f t="shared" si="153"/>
        <v>0</v>
      </c>
      <c r="U2812" s="99" t="str">
        <f>IFERROR(IF(#REF!="S",VLOOKUP('Raw Data'!A2812,References!#REF!,2,FALSE),(VLOOKUP($S2812,References!$B$3:$C$8,2,FALSE))),"")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4"/>
        <v>0</v>
      </c>
      <c r="T2813" s="98">
        <f t="shared" si="153"/>
        <v>0</v>
      </c>
      <c r="U2813" s="99" t="str">
        <f>IFERROR(IF(#REF!="S",VLOOKUP('Raw Data'!A2813,References!#REF!,2,FALSE),(VLOOKUP($S2813,References!$B$3:$C$8,2,FALSE))),"")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4"/>
        <v>0</v>
      </c>
      <c r="T2814" s="98">
        <f t="shared" si="153"/>
        <v>0</v>
      </c>
      <c r="U2814" s="99" t="str">
        <f>IFERROR(IF(#REF!="S",VLOOKUP('Raw Data'!A2814,References!#REF!,2,FALSE),(VLOOKUP($S2814,References!$B$3:$C$8,2,FALSE))),"")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4"/>
        <v>0</v>
      </c>
      <c r="T2815" s="98">
        <f t="shared" si="153"/>
        <v>0</v>
      </c>
      <c r="U2815" s="99" t="str">
        <f>IFERROR(IF(#REF!="S",VLOOKUP('Raw Data'!A2815,References!#REF!,2,FALSE),(VLOOKUP($S2815,References!$B$3:$C$8,2,FALSE))),"")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4"/>
        <v>0</v>
      </c>
      <c r="T2816" s="98">
        <f t="shared" si="153"/>
        <v>0</v>
      </c>
      <c r="U2816" s="99" t="str">
        <f>IFERROR(IF(#REF!="S",VLOOKUP('Raw Data'!A2816,References!#REF!,2,FALSE),(VLOOKUP($S2816,References!$B$3:$C$8,2,FALSE))),"")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4"/>
        <v>0</v>
      </c>
      <c r="T2817" s="98">
        <f t="shared" si="153"/>
        <v>0</v>
      </c>
      <c r="U2817" s="99" t="str">
        <f>IFERROR(IF(#REF!="S",VLOOKUP('Raw Data'!A2817,References!#REF!,2,FALSE),(VLOOKUP($S2817,References!$B$3:$C$8,2,FALSE))),"")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4"/>
        <v>0</v>
      </c>
      <c r="T2818" s="98">
        <f t="shared" si="153"/>
        <v>0</v>
      </c>
      <c r="U2818" s="99" t="str">
        <f>IFERROR(IF(#REF!="S",VLOOKUP('Raw Data'!A2818,References!#REF!,2,FALSE),(VLOOKUP($S2818,References!$B$3:$C$8,2,FALSE))),"")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4"/>
        <v>0</v>
      </c>
      <c r="T2819" s="98">
        <f t="shared" si="153"/>
        <v>0</v>
      </c>
      <c r="U2819" s="99" t="str">
        <f>IFERROR(IF(#REF!="S",VLOOKUP('Raw Data'!A2819,References!#REF!,2,FALSE),(VLOOKUP($S2819,References!$B$3:$C$8,2,FALSE))),"")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4"/>
        <v>0</v>
      </c>
      <c r="T2820" s="98">
        <f t="shared" si="153"/>
        <v>0</v>
      </c>
      <c r="U2820" s="99" t="str">
        <f>IFERROR(IF(#REF!="S",VLOOKUP('Raw Data'!A2820,References!#REF!,2,FALSE),(VLOOKUP($S2820,References!$B$3:$C$8,2,FALSE))),"")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4"/>
        <v>0</v>
      </c>
      <c r="T2821" s="98">
        <f t="shared" si="153"/>
        <v>0</v>
      </c>
      <c r="U2821" s="99" t="str">
        <f>IFERROR(IF(#REF!="S",VLOOKUP('Raw Data'!A2821,References!#REF!,2,FALSE),(VLOOKUP($S2821,References!$B$3:$C$8,2,FALSE))),"")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4"/>
        <v>0</v>
      </c>
      <c r="T2822" s="98">
        <f t="shared" si="153"/>
        <v>0</v>
      </c>
      <c r="U2822" s="99" t="str">
        <f>IFERROR(IF(#REF!="S",VLOOKUP('Raw Data'!A2822,References!#REF!,2,FALSE),(VLOOKUP($S2822,References!$B$3:$C$8,2,FALSE))),"")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4"/>
        <v>0</v>
      </c>
      <c r="T2823" s="98">
        <f t="shared" si="153"/>
        <v>0</v>
      </c>
      <c r="U2823" s="99" t="str">
        <f>IFERROR(IF(#REF!="S",VLOOKUP('Raw Data'!A2823,References!#REF!,2,FALSE),(VLOOKUP($S2823,References!$B$3:$C$8,2,FALSE))),"")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4"/>
        <v>0</v>
      </c>
      <c r="T2824" s="98">
        <f t="shared" si="153"/>
        <v>0</v>
      </c>
      <c r="U2824" s="99" t="str">
        <f>IFERROR(IF(#REF!="S",VLOOKUP('Raw Data'!A2824,References!#REF!,2,FALSE),(VLOOKUP($S2824,References!$B$3:$C$8,2,FALSE))),"")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4"/>
        <v>0</v>
      </c>
      <c r="T2825" s="98">
        <f t="shared" si="153"/>
        <v>0</v>
      </c>
      <c r="U2825" s="99" t="str">
        <f>IFERROR(IF(#REF!="S",VLOOKUP('Raw Data'!A2825,References!#REF!,2,FALSE),(VLOOKUP($S2825,References!$B$3:$C$8,2,FALSE))),"")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4"/>
        <v>0</v>
      </c>
      <c r="T2826" s="98">
        <f t="shared" si="153"/>
        <v>0</v>
      </c>
      <c r="U2826" s="99" t="str">
        <f>IFERROR(IF(#REF!="S",VLOOKUP('Raw Data'!A2826,References!#REF!,2,FALSE),(VLOOKUP($S2826,References!$B$3:$C$8,2,FALSE))),"")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4"/>
        <v>0</v>
      </c>
      <c r="T2827" s="98">
        <f t="shared" si="153"/>
        <v>0</v>
      </c>
      <c r="U2827" s="99" t="str">
        <f>IFERROR(IF(#REF!="S",VLOOKUP('Raw Data'!A2827,References!#REF!,2,FALSE),(VLOOKUP($S2827,References!$B$3:$C$8,2,FALSE))),"")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4"/>
        <v>0</v>
      </c>
      <c r="T2828" s="98">
        <f t="shared" si="153"/>
        <v>0</v>
      </c>
      <c r="U2828" s="99" t="str">
        <f>IFERROR(IF(#REF!="S",VLOOKUP('Raw Data'!A2828,References!#REF!,2,FALSE),(VLOOKUP($S2828,References!$B$3:$C$8,2,FALSE))),"")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4"/>
        <v>0</v>
      </c>
      <c r="T2829" s="98">
        <f t="shared" si="153"/>
        <v>0</v>
      </c>
      <c r="U2829" s="99" t="str">
        <f>IFERROR(IF(#REF!="S",VLOOKUP('Raw Data'!A2829,References!#REF!,2,FALSE),(VLOOKUP($S2829,References!$B$3:$C$8,2,FALSE))),"")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4"/>
        <v>0</v>
      </c>
      <c r="T2830" s="98">
        <f t="shared" si="153"/>
        <v>0</v>
      </c>
      <c r="U2830" s="99" t="str">
        <f>IFERROR(IF(#REF!="S",VLOOKUP('Raw Data'!A2830,References!#REF!,2,FALSE),(VLOOKUP($S2830,References!$B$3:$C$8,2,FALSE))),"")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4"/>
        <v>0</v>
      </c>
      <c r="T2831" s="98">
        <f t="shared" si="153"/>
        <v>0</v>
      </c>
      <c r="U2831" s="99" t="str">
        <f>IFERROR(IF(#REF!="S",VLOOKUP('Raw Data'!A2831,References!#REF!,2,FALSE),(VLOOKUP($S2831,References!$B$3:$C$8,2,FALSE))),"")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4"/>
        <v>0</v>
      </c>
      <c r="T2832" s="98">
        <f t="shared" ref="T2832:T2895" si="155">IF(S2832="50 - Cleaning Fee",1,HOUR($R2832)+MINUTE(R2832)/60)</f>
        <v>0</v>
      </c>
      <c r="U2832" s="99" t="str">
        <f>IFERROR(IF(#REF!="S",VLOOKUP('Raw Data'!A2832,References!#REF!,2,FALSE),(VLOOKUP($S2832,References!$B$3:$C$8,2,FALSE))),"")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4"/>
        <v>0</v>
      </c>
      <c r="T2833" s="98">
        <f t="shared" si="155"/>
        <v>0</v>
      </c>
      <c r="U2833" s="99" t="str">
        <f>IFERROR(IF(#REF!="S",VLOOKUP('Raw Data'!A2833,References!#REF!,2,FALSE),(VLOOKUP($S2833,References!$B$3:$C$8,2,FALSE))),"")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4"/>
        <v>0</v>
      </c>
      <c r="T2834" s="98">
        <f t="shared" si="155"/>
        <v>0</v>
      </c>
      <c r="U2834" s="99" t="str">
        <f>IFERROR(IF(#REF!="S",VLOOKUP('Raw Data'!A2834,References!#REF!,2,FALSE),(VLOOKUP($S2834,References!$B$3:$C$8,2,FALSE))),"")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4"/>
        <v>0</v>
      </c>
      <c r="T2835" s="98">
        <f t="shared" si="155"/>
        <v>0</v>
      </c>
      <c r="U2835" s="99" t="str">
        <f>IFERROR(IF(#REF!="S",VLOOKUP('Raw Data'!A2835,References!#REF!,2,FALSE),(VLOOKUP($S2835,References!$B$3:$C$8,2,FALSE))),"")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4"/>
        <v>0</v>
      </c>
      <c r="T2836" s="98">
        <f t="shared" si="155"/>
        <v>0</v>
      </c>
      <c r="U2836" s="99" t="str">
        <f>IFERROR(IF(#REF!="S",VLOOKUP('Raw Data'!A2836,References!#REF!,2,FALSE),(VLOOKUP($S2836,References!$B$3:$C$8,2,FALSE))),"")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4"/>
        <v>0</v>
      </c>
      <c r="T2837" s="98">
        <f t="shared" si="155"/>
        <v>0</v>
      </c>
      <c r="U2837" s="99" t="str">
        <f>IFERROR(IF(#REF!="S",VLOOKUP('Raw Data'!A2837,References!#REF!,2,FALSE),(VLOOKUP($S2837,References!$B$3:$C$8,2,FALSE))),"")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4"/>
        <v>0</v>
      </c>
      <c r="T2838" s="98">
        <f t="shared" si="155"/>
        <v>0</v>
      </c>
      <c r="U2838" s="99" t="str">
        <f>IFERROR(IF(#REF!="S",VLOOKUP('Raw Data'!A2838,References!#REF!,2,FALSE),(VLOOKUP($S2838,References!$B$3:$C$8,2,FALSE))),"")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4"/>
        <v>0</v>
      </c>
      <c r="T2839" s="98">
        <f t="shared" si="155"/>
        <v>0</v>
      </c>
      <c r="U2839" s="99" t="str">
        <f>IFERROR(IF(#REF!="S",VLOOKUP('Raw Data'!A2839,References!#REF!,2,FALSE),(VLOOKUP($S2839,References!$B$3:$C$8,2,FALSE))),"")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4"/>
        <v>0</v>
      </c>
      <c r="T2840" s="98">
        <f t="shared" si="155"/>
        <v>0</v>
      </c>
      <c r="U2840" s="99" t="str">
        <f>IFERROR(IF(#REF!="S",VLOOKUP('Raw Data'!A2840,References!#REF!,2,FALSE),(VLOOKUP($S2840,References!$B$3:$C$8,2,FALSE))),"")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4"/>
        <v>0</v>
      </c>
      <c r="T2841" s="98">
        <f t="shared" si="155"/>
        <v>0</v>
      </c>
      <c r="U2841" s="99" t="str">
        <f>IFERROR(IF(#REF!="S",VLOOKUP('Raw Data'!A2841,References!#REF!,2,FALSE),(VLOOKUP($S2841,References!$B$3:$C$8,2,FALSE))),"")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4"/>
        <v>0</v>
      </c>
      <c r="T2842" s="98">
        <f t="shared" si="155"/>
        <v>0</v>
      </c>
      <c r="U2842" s="99" t="str">
        <f>IFERROR(IF(#REF!="S",VLOOKUP('Raw Data'!A2842,References!#REF!,2,FALSE),(VLOOKUP($S2842,References!$B$3:$C$8,2,FALSE))),"")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4"/>
        <v>0</v>
      </c>
      <c r="T2843" s="98">
        <f t="shared" si="155"/>
        <v>0</v>
      </c>
      <c r="U2843" s="99" t="str">
        <f>IFERROR(IF(#REF!="S",VLOOKUP('Raw Data'!A2843,References!#REF!,2,FALSE),(VLOOKUP($S2843,References!$B$3:$C$8,2,FALSE))),"")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4"/>
        <v>0</v>
      </c>
      <c r="T2844" s="98">
        <f t="shared" si="155"/>
        <v>0</v>
      </c>
      <c r="U2844" s="99" t="str">
        <f>IFERROR(IF(#REF!="S",VLOOKUP('Raw Data'!A2844,References!#REF!,2,FALSE),(VLOOKUP($S2844,References!$B$3:$C$8,2,FALSE))),"")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4"/>
        <v>0</v>
      </c>
      <c r="T2845" s="98">
        <f t="shared" si="155"/>
        <v>0</v>
      </c>
      <c r="U2845" s="99" t="str">
        <f>IFERROR(IF(#REF!="S",VLOOKUP('Raw Data'!A2845,References!#REF!,2,FALSE),(VLOOKUP($S2845,References!$B$3:$C$8,2,FALSE))),"")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4"/>
        <v>0</v>
      </c>
      <c r="T2846" s="98">
        <f t="shared" si="155"/>
        <v>0</v>
      </c>
      <c r="U2846" s="99" t="str">
        <f>IFERROR(IF(#REF!="S",VLOOKUP('Raw Data'!A2846,References!#REF!,2,FALSE),(VLOOKUP($S2846,References!$B$3:$C$8,2,FALSE))),"")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4"/>
        <v>0</v>
      </c>
      <c r="T2847" s="98">
        <f t="shared" si="155"/>
        <v>0</v>
      </c>
      <c r="U2847" s="99" t="str">
        <f>IFERROR(IF(#REF!="S",VLOOKUP('Raw Data'!A2847,References!#REF!,2,FALSE),(VLOOKUP($S2847,References!$B$3:$C$8,2,FALSE))),"")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4"/>
        <v>0</v>
      </c>
      <c r="T2848" s="98">
        <f t="shared" si="155"/>
        <v>0</v>
      </c>
      <c r="U2848" s="99" t="str">
        <f>IFERROR(IF(#REF!="S",VLOOKUP('Raw Data'!A2848,References!#REF!,2,FALSE),(VLOOKUP($S2848,References!$B$3:$C$8,2,FALSE))),"")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4"/>
        <v>0</v>
      </c>
      <c r="T2849" s="98">
        <f t="shared" si="155"/>
        <v>0</v>
      </c>
      <c r="U2849" s="99" t="str">
        <f>IFERROR(IF(#REF!="S",VLOOKUP('Raw Data'!A2849,References!#REF!,2,FALSE),(VLOOKUP($S2849,References!$B$3:$C$8,2,FALSE))),"")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4"/>
        <v>0</v>
      </c>
      <c r="T2850" s="98">
        <f t="shared" si="155"/>
        <v>0</v>
      </c>
      <c r="U2850" s="99" t="str">
        <f>IFERROR(IF(#REF!="S",VLOOKUP('Raw Data'!A2850,References!#REF!,2,FALSE),(VLOOKUP($S2850,References!$B$3:$C$8,2,FALSE))),"")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4"/>
        <v>0</v>
      </c>
      <c r="T2851" s="98">
        <f t="shared" si="155"/>
        <v>0</v>
      </c>
      <c r="U2851" s="99" t="str">
        <f>IFERROR(IF(#REF!="S",VLOOKUP('Raw Data'!A2851,References!#REF!,2,FALSE),(VLOOKUP($S2851,References!$B$3:$C$8,2,FALSE))),"")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4"/>
        <v>0</v>
      </c>
      <c r="T2852" s="98">
        <f t="shared" si="155"/>
        <v>0</v>
      </c>
      <c r="U2852" s="99" t="str">
        <f>IFERROR(IF(#REF!="S",VLOOKUP('Raw Data'!A2852,References!#REF!,2,FALSE),(VLOOKUP($S2852,References!$B$3:$C$8,2,FALSE))),"")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4"/>
        <v>0</v>
      </c>
      <c r="T2853" s="98">
        <f t="shared" si="155"/>
        <v>0</v>
      </c>
      <c r="U2853" s="99" t="str">
        <f>IFERROR(IF(#REF!="S",VLOOKUP('Raw Data'!A2853,References!#REF!,2,FALSE),(VLOOKUP($S2853,References!$B$3:$C$8,2,FALSE))),"")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4"/>
        <v>0</v>
      </c>
      <c r="T2854" s="98">
        <f t="shared" si="155"/>
        <v>0</v>
      </c>
      <c r="U2854" s="99" t="str">
        <f>IFERROR(IF(#REF!="S",VLOOKUP('Raw Data'!A2854,References!#REF!,2,FALSE),(VLOOKUP($S2854,References!$B$3:$C$8,2,FALSE))),"")</f>
        <v/>
      </c>
      <c r="W2854" s="66" t="str">
        <f>IFERROR(VLOOKUP($O2854,'Customer List'!$A$1:$J$488,10,FALSE),"")</f>
        <v/>
      </c>
    </row>
    <row r="2855" spans="18:23">
      <c r="R2855" s="97">
        <f t="shared" si="154"/>
        <v>0</v>
      </c>
      <c r="T2855" s="98">
        <f t="shared" si="155"/>
        <v>0</v>
      </c>
      <c r="U2855" s="99" t="str">
        <f>IFERROR(IF(#REF!="S",VLOOKUP('Raw Data'!A2855,References!#REF!,2,FALSE),(VLOOKUP($S2855,References!$B$3:$C$8,2,FALSE))),"")</f>
        <v/>
      </c>
      <c r="W2855" s="66" t="str">
        <f>IFERROR(VLOOKUP($O2855,'Customer List'!$A$1:$J$488,10,FALSE),"")</f>
        <v/>
      </c>
    </row>
    <row r="2856" spans="18:23">
      <c r="R2856" s="97">
        <f t="shared" ref="R2856:R2919" si="156">L2856-K2856</f>
        <v>0</v>
      </c>
      <c r="T2856" s="98">
        <f t="shared" si="155"/>
        <v>0</v>
      </c>
      <c r="U2856" s="99" t="str">
        <f>IFERROR(IF(#REF!="S",VLOOKUP('Raw Data'!A2856,References!#REF!,2,FALSE),(VLOOKUP($S2856,References!$B$3:$C$8,2,FALSE))),"")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6"/>
        <v>0</v>
      </c>
      <c r="T2857" s="98">
        <f t="shared" si="155"/>
        <v>0</v>
      </c>
      <c r="U2857" s="99" t="str">
        <f>IFERROR(IF(#REF!="S",VLOOKUP('Raw Data'!A2857,References!#REF!,2,FALSE),(VLOOKUP($S2857,References!$B$3:$C$8,2,FALSE))),"")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6"/>
        <v>0</v>
      </c>
      <c r="T2858" s="98">
        <f t="shared" si="155"/>
        <v>0</v>
      </c>
      <c r="U2858" s="99" t="str">
        <f>IFERROR(IF(#REF!="S",VLOOKUP('Raw Data'!A2858,References!#REF!,2,FALSE),(VLOOKUP($S2858,References!$B$3:$C$8,2,FALSE))),"")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6"/>
        <v>0</v>
      </c>
      <c r="T2859" s="98">
        <f t="shared" si="155"/>
        <v>0</v>
      </c>
      <c r="U2859" s="99" t="str">
        <f>IFERROR(IF(#REF!="S",VLOOKUP('Raw Data'!A2859,References!#REF!,2,FALSE),(VLOOKUP($S2859,References!$B$3:$C$8,2,FALSE))),"")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6"/>
        <v>0</v>
      </c>
      <c r="T2860" s="98">
        <f t="shared" si="155"/>
        <v>0</v>
      </c>
      <c r="U2860" s="99" t="str">
        <f>IFERROR(IF(#REF!="S",VLOOKUP('Raw Data'!A2860,References!#REF!,2,FALSE),(VLOOKUP($S2860,References!$B$3:$C$8,2,FALSE))),"")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6"/>
        <v>0</v>
      </c>
      <c r="T2861" s="98">
        <f t="shared" si="155"/>
        <v>0</v>
      </c>
      <c r="U2861" s="99" t="str">
        <f>IFERROR(IF(#REF!="S",VLOOKUP('Raw Data'!A2861,References!#REF!,2,FALSE),(VLOOKUP($S2861,References!$B$3:$C$8,2,FALSE))),"")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6"/>
        <v>0</v>
      </c>
      <c r="T2862" s="98">
        <f t="shared" si="155"/>
        <v>0</v>
      </c>
      <c r="U2862" s="99" t="str">
        <f>IFERROR(IF(#REF!="S",VLOOKUP('Raw Data'!A2862,References!#REF!,2,FALSE),(VLOOKUP($S2862,References!$B$3:$C$8,2,FALSE))),"")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6"/>
        <v>0</v>
      </c>
      <c r="T2863" s="98">
        <f t="shared" si="155"/>
        <v>0</v>
      </c>
      <c r="U2863" s="99" t="str">
        <f>IFERROR(IF(#REF!="S",VLOOKUP('Raw Data'!A2863,References!#REF!,2,FALSE),(VLOOKUP($S2863,References!$B$3:$C$8,2,FALSE))),"")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6"/>
        <v>0</v>
      </c>
      <c r="T2864" s="98">
        <f t="shared" si="155"/>
        <v>0</v>
      </c>
      <c r="U2864" s="99" t="str">
        <f>IFERROR(IF(#REF!="S",VLOOKUP('Raw Data'!A2864,References!#REF!,2,FALSE),(VLOOKUP($S2864,References!$B$3:$C$8,2,FALSE))),"")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6"/>
        <v>0</v>
      </c>
      <c r="T2865" s="98">
        <f t="shared" si="155"/>
        <v>0</v>
      </c>
      <c r="U2865" s="99" t="str">
        <f>IFERROR(IF(#REF!="S",VLOOKUP('Raw Data'!A2865,References!#REF!,2,FALSE),(VLOOKUP($S2865,References!$B$3:$C$8,2,FALSE))),"")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6"/>
        <v>0</v>
      </c>
      <c r="T2866" s="98">
        <f t="shared" si="155"/>
        <v>0</v>
      </c>
      <c r="U2866" s="99" t="str">
        <f>IFERROR(IF(#REF!="S",VLOOKUP('Raw Data'!A2866,References!#REF!,2,FALSE),(VLOOKUP($S2866,References!$B$3:$C$8,2,FALSE))),"")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6"/>
        <v>0</v>
      </c>
      <c r="T2867" s="98">
        <f t="shared" si="155"/>
        <v>0</v>
      </c>
      <c r="U2867" s="99" t="str">
        <f>IFERROR(IF(#REF!="S",VLOOKUP('Raw Data'!A2867,References!#REF!,2,FALSE),(VLOOKUP($S2867,References!$B$3:$C$8,2,FALSE))),"")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6"/>
        <v>0</v>
      </c>
      <c r="T2868" s="98">
        <f t="shared" si="155"/>
        <v>0</v>
      </c>
      <c r="U2868" s="99" t="str">
        <f>IFERROR(IF(#REF!="S",VLOOKUP('Raw Data'!A2868,References!#REF!,2,FALSE),(VLOOKUP($S2868,References!$B$3:$C$8,2,FALSE))),"")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6"/>
        <v>0</v>
      </c>
      <c r="T2869" s="98">
        <f t="shared" si="155"/>
        <v>0</v>
      </c>
      <c r="U2869" s="99" t="str">
        <f>IFERROR(IF(#REF!="S",VLOOKUP('Raw Data'!A2869,References!#REF!,2,FALSE),(VLOOKUP($S2869,References!$B$3:$C$8,2,FALSE))),"")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6"/>
        <v>0</v>
      </c>
      <c r="T2870" s="98">
        <f t="shared" si="155"/>
        <v>0</v>
      </c>
      <c r="U2870" s="99" t="str">
        <f>IFERROR(IF(#REF!="S",VLOOKUP('Raw Data'!A2870,References!#REF!,2,FALSE),(VLOOKUP($S2870,References!$B$3:$C$8,2,FALSE))),"")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6"/>
        <v>0</v>
      </c>
      <c r="T2871" s="98">
        <f t="shared" si="155"/>
        <v>0</v>
      </c>
      <c r="U2871" s="99" t="str">
        <f>IFERROR(IF(#REF!="S",VLOOKUP('Raw Data'!A2871,References!#REF!,2,FALSE),(VLOOKUP($S2871,References!$B$3:$C$8,2,FALSE))),"")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6"/>
        <v>0</v>
      </c>
      <c r="T2872" s="98">
        <f t="shared" si="155"/>
        <v>0</v>
      </c>
      <c r="U2872" s="99" t="str">
        <f>IFERROR(IF(#REF!="S",VLOOKUP('Raw Data'!A2872,References!#REF!,2,FALSE),(VLOOKUP($S2872,References!$B$3:$C$8,2,FALSE))),"")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6"/>
        <v>0</v>
      </c>
      <c r="T2873" s="98">
        <f t="shared" si="155"/>
        <v>0</v>
      </c>
      <c r="U2873" s="99" t="str">
        <f>IFERROR(IF(#REF!="S",VLOOKUP('Raw Data'!A2873,References!#REF!,2,FALSE),(VLOOKUP($S2873,References!$B$3:$C$8,2,FALSE))),"")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6"/>
        <v>0</v>
      </c>
      <c r="T2874" s="98">
        <f t="shared" si="155"/>
        <v>0</v>
      </c>
      <c r="U2874" s="99" t="str">
        <f>IFERROR(IF(#REF!="S",VLOOKUP('Raw Data'!A2874,References!#REF!,2,FALSE),(VLOOKUP($S2874,References!$B$3:$C$8,2,FALSE))),"")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6"/>
        <v>0</v>
      </c>
      <c r="T2875" s="98">
        <f t="shared" si="155"/>
        <v>0</v>
      </c>
      <c r="U2875" s="99" t="str">
        <f>IFERROR(IF(#REF!="S",VLOOKUP('Raw Data'!A2875,References!#REF!,2,FALSE),(VLOOKUP($S2875,References!$B$3:$C$8,2,FALSE))),"")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6"/>
        <v>0</v>
      </c>
      <c r="T2876" s="98">
        <f t="shared" si="155"/>
        <v>0</v>
      </c>
      <c r="U2876" s="99" t="str">
        <f>IFERROR(IF(#REF!="S",VLOOKUP('Raw Data'!A2876,References!#REF!,2,FALSE),(VLOOKUP($S2876,References!$B$3:$C$8,2,FALSE))),"")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6"/>
        <v>0</v>
      </c>
      <c r="T2877" s="98">
        <f t="shared" si="155"/>
        <v>0</v>
      </c>
      <c r="U2877" s="99" t="str">
        <f>IFERROR(IF(#REF!="S",VLOOKUP('Raw Data'!A2877,References!#REF!,2,FALSE),(VLOOKUP($S2877,References!$B$3:$C$8,2,FALSE))),"")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6"/>
        <v>0</v>
      </c>
      <c r="T2878" s="98">
        <f t="shared" si="155"/>
        <v>0</v>
      </c>
      <c r="U2878" s="99" t="str">
        <f>IFERROR(IF(#REF!="S",VLOOKUP('Raw Data'!A2878,References!#REF!,2,FALSE),(VLOOKUP($S2878,References!$B$3:$C$8,2,FALSE))),"")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6"/>
        <v>0</v>
      </c>
      <c r="T2879" s="98">
        <f t="shared" si="155"/>
        <v>0</v>
      </c>
      <c r="U2879" s="99" t="str">
        <f>IFERROR(IF(#REF!="S",VLOOKUP('Raw Data'!A2879,References!#REF!,2,FALSE),(VLOOKUP($S2879,References!$B$3:$C$8,2,FALSE))),"")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6"/>
        <v>0</v>
      </c>
      <c r="T2880" s="98">
        <f t="shared" si="155"/>
        <v>0</v>
      </c>
      <c r="U2880" s="99" t="str">
        <f>IFERROR(IF(#REF!="S",VLOOKUP('Raw Data'!A2880,References!#REF!,2,FALSE),(VLOOKUP($S2880,References!$B$3:$C$8,2,FALSE))),"")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6"/>
        <v>0</v>
      </c>
      <c r="T2881" s="98">
        <f t="shared" si="155"/>
        <v>0</v>
      </c>
      <c r="U2881" s="99" t="str">
        <f>IFERROR(IF(#REF!="S",VLOOKUP('Raw Data'!A2881,References!#REF!,2,FALSE),(VLOOKUP($S2881,References!$B$3:$C$8,2,FALSE))),"")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6"/>
        <v>0</v>
      </c>
      <c r="T2882" s="98">
        <f t="shared" si="155"/>
        <v>0</v>
      </c>
      <c r="U2882" s="99" t="str">
        <f>IFERROR(IF(#REF!="S",VLOOKUP('Raw Data'!A2882,References!#REF!,2,FALSE),(VLOOKUP($S2882,References!$B$3:$C$8,2,FALSE))),"")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6"/>
        <v>0</v>
      </c>
      <c r="T2883" s="98">
        <f t="shared" si="155"/>
        <v>0</v>
      </c>
      <c r="U2883" s="99" t="str">
        <f>IFERROR(IF(#REF!="S",VLOOKUP('Raw Data'!A2883,References!#REF!,2,FALSE),(VLOOKUP($S2883,References!$B$3:$C$8,2,FALSE))),"")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6"/>
        <v>0</v>
      </c>
      <c r="T2884" s="98">
        <f t="shared" si="155"/>
        <v>0</v>
      </c>
      <c r="U2884" s="99" t="str">
        <f>IFERROR(IF(#REF!="S",VLOOKUP('Raw Data'!A2884,References!#REF!,2,FALSE),(VLOOKUP($S2884,References!$B$3:$C$8,2,FALSE))),"")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6"/>
        <v>0</v>
      </c>
      <c r="T2885" s="98">
        <f t="shared" si="155"/>
        <v>0</v>
      </c>
      <c r="U2885" s="99" t="str">
        <f>IFERROR(IF(#REF!="S",VLOOKUP('Raw Data'!A2885,References!#REF!,2,FALSE),(VLOOKUP($S2885,References!$B$3:$C$8,2,FALSE))),"")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6"/>
        <v>0</v>
      </c>
      <c r="T2886" s="98">
        <f t="shared" si="155"/>
        <v>0</v>
      </c>
      <c r="U2886" s="99" t="str">
        <f>IFERROR(IF(#REF!="S",VLOOKUP('Raw Data'!A2886,References!#REF!,2,FALSE),(VLOOKUP($S2886,References!$B$3:$C$8,2,FALSE))),"")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6"/>
        <v>0</v>
      </c>
      <c r="T2887" s="98">
        <f t="shared" si="155"/>
        <v>0</v>
      </c>
      <c r="U2887" s="99" t="str">
        <f>IFERROR(IF(#REF!="S",VLOOKUP('Raw Data'!A2887,References!#REF!,2,FALSE),(VLOOKUP($S2887,References!$B$3:$C$8,2,FALSE))),"")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6"/>
        <v>0</v>
      </c>
      <c r="T2888" s="98">
        <f t="shared" si="155"/>
        <v>0</v>
      </c>
      <c r="U2888" s="99" t="str">
        <f>IFERROR(IF(#REF!="S",VLOOKUP('Raw Data'!A2888,References!#REF!,2,FALSE),(VLOOKUP($S2888,References!$B$3:$C$8,2,FALSE))),"")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6"/>
        <v>0</v>
      </c>
      <c r="T2889" s="98">
        <f t="shared" si="155"/>
        <v>0</v>
      </c>
      <c r="U2889" s="99" t="str">
        <f>IFERROR(IF(#REF!="S",VLOOKUP('Raw Data'!A2889,References!#REF!,2,FALSE),(VLOOKUP($S2889,References!$B$3:$C$8,2,FALSE))),"")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6"/>
        <v>0</v>
      </c>
      <c r="T2890" s="98">
        <f t="shared" si="155"/>
        <v>0</v>
      </c>
      <c r="U2890" s="99" t="str">
        <f>IFERROR(IF(#REF!="S",VLOOKUP('Raw Data'!A2890,References!#REF!,2,FALSE),(VLOOKUP($S2890,References!$B$3:$C$8,2,FALSE))),"")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6"/>
        <v>0</v>
      </c>
      <c r="T2891" s="98">
        <f t="shared" si="155"/>
        <v>0</v>
      </c>
      <c r="U2891" s="99" t="str">
        <f>IFERROR(IF(#REF!="S",VLOOKUP('Raw Data'!A2891,References!#REF!,2,FALSE),(VLOOKUP($S2891,References!$B$3:$C$8,2,FALSE))),"")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6"/>
        <v>0</v>
      </c>
      <c r="T2892" s="98">
        <f t="shared" si="155"/>
        <v>0</v>
      </c>
      <c r="U2892" s="99" t="str">
        <f>IFERROR(IF(#REF!="S",VLOOKUP('Raw Data'!A2892,References!#REF!,2,FALSE),(VLOOKUP($S2892,References!$B$3:$C$8,2,FALSE))),"")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6"/>
        <v>0</v>
      </c>
      <c r="T2893" s="98">
        <f t="shared" si="155"/>
        <v>0</v>
      </c>
      <c r="U2893" s="99" t="str">
        <f>IFERROR(IF(#REF!="S",VLOOKUP('Raw Data'!A2893,References!#REF!,2,FALSE),(VLOOKUP($S2893,References!$B$3:$C$8,2,FALSE))),"")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6"/>
        <v>0</v>
      </c>
      <c r="T2894" s="98">
        <f t="shared" si="155"/>
        <v>0</v>
      </c>
      <c r="U2894" s="99" t="str">
        <f>IFERROR(IF(#REF!="S",VLOOKUP('Raw Data'!A2894,References!#REF!,2,FALSE),(VLOOKUP($S2894,References!$B$3:$C$8,2,FALSE))),"")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6"/>
        <v>0</v>
      </c>
      <c r="T2895" s="98">
        <f t="shared" si="155"/>
        <v>0</v>
      </c>
      <c r="U2895" s="99" t="str">
        <f>IFERROR(IF(#REF!="S",VLOOKUP('Raw Data'!A2895,References!#REF!,2,FALSE),(VLOOKUP($S2895,References!$B$3:$C$8,2,FALSE))),"")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6"/>
        <v>0</v>
      </c>
      <c r="T2896" s="98">
        <f t="shared" ref="T2896:T2959" si="157">IF(S2896="50 - Cleaning Fee",1,HOUR($R2896)+MINUTE(R2896)/60)</f>
        <v>0</v>
      </c>
      <c r="U2896" s="99" t="str">
        <f>IFERROR(IF(#REF!="S",VLOOKUP('Raw Data'!A2896,References!#REF!,2,FALSE),(VLOOKUP($S2896,References!$B$3:$C$8,2,FALSE))),"")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6"/>
        <v>0</v>
      </c>
      <c r="T2897" s="98">
        <f t="shared" si="157"/>
        <v>0</v>
      </c>
      <c r="U2897" s="99" t="str">
        <f>IFERROR(IF(#REF!="S",VLOOKUP('Raw Data'!A2897,References!#REF!,2,FALSE),(VLOOKUP($S2897,References!$B$3:$C$8,2,FALSE))),"")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6"/>
        <v>0</v>
      </c>
      <c r="T2898" s="98">
        <f t="shared" si="157"/>
        <v>0</v>
      </c>
      <c r="U2898" s="99" t="str">
        <f>IFERROR(IF(#REF!="S",VLOOKUP('Raw Data'!A2898,References!#REF!,2,FALSE),(VLOOKUP($S2898,References!$B$3:$C$8,2,FALSE))),"")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6"/>
        <v>0</v>
      </c>
      <c r="T2899" s="98">
        <f t="shared" si="157"/>
        <v>0</v>
      </c>
      <c r="U2899" s="99" t="str">
        <f>IFERROR(IF(#REF!="S",VLOOKUP('Raw Data'!A2899,References!#REF!,2,FALSE),(VLOOKUP($S2899,References!$B$3:$C$8,2,FALSE))),"")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6"/>
        <v>0</v>
      </c>
      <c r="T2900" s="98">
        <f t="shared" si="157"/>
        <v>0</v>
      </c>
      <c r="U2900" s="99" t="str">
        <f>IFERROR(IF(#REF!="S",VLOOKUP('Raw Data'!A2900,References!#REF!,2,FALSE),(VLOOKUP($S2900,References!$B$3:$C$8,2,FALSE))),"")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6"/>
        <v>0</v>
      </c>
      <c r="T2901" s="98">
        <f t="shared" si="157"/>
        <v>0</v>
      </c>
      <c r="U2901" s="99" t="str">
        <f>IFERROR(IF(#REF!="S",VLOOKUP('Raw Data'!A2901,References!#REF!,2,FALSE),(VLOOKUP($S2901,References!$B$3:$C$8,2,FALSE))),"")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6"/>
        <v>0</v>
      </c>
      <c r="T2902" s="98">
        <f t="shared" si="157"/>
        <v>0</v>
      </c>
      <c r="U2902" s="99" t="str">
        <f>IFERROR(IF(#REF!="S",VLOOKUP('Raw Data'!A2902,References!#REF!,2,FALSE),(VLOOKUP($S2902,References!$B$3:$C$8,2,FALSE))),"")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6"/>
        <v>0</v>
      </c>
      <c r="T2903" s="98">
        <f t="shared" si="157"/>
        <v>0</v>
      </c>
      <c r="U2903" s="99" t="str">
        <f>IFERROR(IF(#REF!="S",VLOOKUP('Raw Data'!A2903,References!#REF!,2,FALSE),(VLOOKUP($S2903,References!$B$3:$C$8,2,FALSE))),"")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6"/>
        <v>0</v>
      </c>
      <c r="T2904" s="98">
        <f t="shared" si="157"/>
        <v>0</v>
      </c>
      <c r="U2904" s="99" t="str">
        <f>IFERROR(IF(#REF!="S",VLOOKUP('Raw Data'!A2904,References!#REF!,2,FALSE),(VLOOKUP($S2904,References!$B$3:$C$8,2,FALSE))),"")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6"/>
        <v>0</v>
      </c>
      <c r="T2905" s="98">
        <f t="shared" si="157"/>
        <v>0</v>
      </c>
      <c r="U2905" s="99" t="str">
        <f>IFERROR(IF(#REF!="S",VLOOKUP('Raw Data'!A2905,References!#REF!,2,FALSE),(VLOOKUP($S2905,References!$B$3:$C$8,2,FALSE))),"")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6"/>
        <v>0</v>
      </c>
      <c r="T2906" s="98">
        <f t="shared" si="157"/>
        <v>0</v>
      </c>
      <c r="U2906" s="99" t="str">
        <f>IFERROR(IF(#REF!="S",VLOOKUP('Raw Data'!A2906,References!#REF!,2,FALSE),(VLOOKUP($S2906,References!$B$3:$C$8,2,FALSE))),"")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6"/>
        <v>0</v>
      </c>
      <c r="T2907" s="98">
        <f t="shared" si="157"/>
        <v>0</v>
      </c>
      <c r="U2907" s="99" t="str">
        <f>IFERROR(IF(#REF!="S",VLOOKUP('Raw Data'!A2907,References!#REF!,2,FALSE),(VLOOKUP($S2907,References!$B$3:$C$8,2,FALSE))),"")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6"/>
        <v>0</v>
      </c>
      <c r="T2908" s="98">
        <f t="shared" si="157"/>
        <v>0</v>
      </c>
      <c r="U2908" s="99" t="str">
        <f>IFERROR(IF(#REF!="S",VLOOKUP('Raw Data'!A2908,References!#REF!,2,FALSE),(VLOOKUP($S2908,References!$B$3:$C$8,2,FALSE))),"")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6"/>
        <v>0</v>
      </c>
      <c r="T2909" s="98">
        <f t="shared" si="157"/>
        <v>0</v>
      </c>
      <c r="U2909" s="99" t="str">
        <f>IFERROR(IF(#REF!="S",VLOOKUP('Raw Data'!A2909,References!#REF!,2,FALSE),(VLOOKUP($S2909,References!$B$3:$C$8,2,FALSE))),"")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6"/>
        <v>0</v>
      </c>
      <c r="T2910" s="98">
        <f t="shared" si="157"/>
        <v>0</v>
      </c>
      <c r="U2910" s="99" t="str">
        <f>IFERROR(IF(#REF!="S",VLOOKUP('Raw Data'!A2910,References!#REF!,2,FALSE),(VLOOKUP($S2910,References!$B$3:$C$8,2,FALSE))),"")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6"/>
        <v>0</v>
      </c>
      <c r="T2911" s="98">
        <f t="shared" si="157"/>
        <v>0</v>
      </c>
      <c r="U2911" s="99" t="str">
        <f>IFERROR(IF(#REF!="S",VLOOKUP('Raw Data'!A2911,References!#REF!,2,FALSE),(VLOOKUP($S2911,References!$B$3:$C$8,2,FALSE))),"")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6"/>
        <v>0</v>
      </c>
      <c r="T2912" s="98">
        <f t="shared" si="157"/>
        <v>0</v>
      </c>
      <c r="U2912" s="99" t="str">
        <f>IFERROR(IF(#REF!="S",VLOOKUP('Raw Data'!A2912,References!#REF!,2,FALSE),(VLOOKUP($S2912,References!$B$3:$C$8,2,FALSE))),"")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6"/>
        <v>0</v>
      </c>
      <c r="T2913" s="98">
        <f t="shared" si="157"/>
        <v>0</v>
      </c>
      <c r="U2913" s="99" t="str">
        <f>IFERROR(IF(#REF!="S",VLOOKUP('Raw Data'!A2913,References!#REF!,2,FALSE),(VLOOKUP($S2913,References!$B$3:$C$8,2,FALSE))),"")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6"/>
        <v>0</v>
      </c>
      <c r="T2914" s="98">
        <f t="shared" si="157"/>
        <v>0</v>
      </c>
      <c r="U2914" s="99" t="str">
        <f>IFERROR(IF(#REF!="S",VLOOKUP('Raw Data'!A2914,References!#REF!,2,FALSE),(VLOOKUP($S2914,References!$B$3:$C$8,2,FALSE))),"")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6"/>
        <v>0</v>
      </c>
      <c r="T2915" s="98">
        <f t="shared" si="157"/>
        <v>0</v>
      </c>
      <c r="U2915" s="99" t="str">
        <f>IFERROR(IF(#REF!="S",VLOOKUP('Raw Data'!A2915,References!#REF!,2,FALSE),(VLOOKUP($S2915,References!$B$3:$C$8,2,FALSE))),"")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6"/>
        <v>0</v>
      </c>
      <c r="T2916" s="98">
        <f t="shared" si="157"/>
        <v>0</v>
      </c>
      <c r="U2916" s="99" t="str">
        <f>IFERROR(IF(#REF!="S",VLOOKUP('Raw Data'!A2916,References!#REF!,2,FALSE),(VLOOKUP($S2916,References!$B$3:$C$8,2,FALSE))),"")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6"/>
        <v>0</v>
      </c>
      <c r="T2917" s="98">
        <f t="shared" si="157"/>
        <v>0</v>
      </c>
      <c r="U2917" s="99" t="str">
        <f>IFERROR(IF(#REF!="S",VLOOKUP('Raw Data'!A2917,References!#REF!,2,FALSE),(VLOOKUP($S2917,References!$B$3:$C$8,2,FALSE))),"")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6"/>
        <v>0</v>
      </c>
      <c r="T2918" s="98">
        <f t="shared" si="157"/>
        <v>0</v>
      </c>
      <c r="U2918" s="99" t="str">
        <f>IFERROR(IF(#REF!="S",VLOOKUP('Raw Data'!A2918,References!#REF!,2,FALSE),(VLOOKUP($S2918,References!$B$3:$C$8,2,FALSE))),"")</f>
        <v/>
      </c>
      <c r="W2918" s="66" t="str">
        <f>IFERROR(VLOOKUP($O2918,'Customer List'!$A$1:$J$488,10,FALSE),"")</f>
        <v/>
      </c>
    </row>
    <row r="2919" spans="18:23">
      <c r="R2919" s="97">
        <f t="shared" si="156"/>
        <v>0</v>
      </c>
      <c r="T2919" s="98">
        <f t="shared" si="157"/>
        <v>0</v>
      </c>
      <c r="U2919" s="99" t="str">
        <f>IFERROR(IF(#REF!="S",VLOOKUP('Raw Data'!A2919,References!#REF!,2,FALSE),(VLOOKUP($S2919,References!$B$3:$C$8,2,FALSE))),"")</f>
        <v/>
      </c>
      <c r="W2919" s="66" t="str">
        <f>IFERROR(VLOOKUP($O2919,'Customer List'!$A$1:$J$488,10,FALSE),"")</f>
        <v/>
      </c>
    </row>
    <row r="2920" spans="18:23">
      <c r="R2920" s="97">
        <f t="shared" ref="R2920:R2983" si="158">L2920-K2920</f>
        <v>0</v>
      </c>
      <c r="T2920" s="98">
        <f t="shared" si="157"/>
        <v>0</v>
      </c>
      <c r="U2920" s="99" t="str">
        <f>IFERROR(IF(#REF!="S",VLOOKUP('Raw Data'!A2920,References!#REF!,2,FALSE),(VLOOKUP($S2920,References!$B$3:$C$8,2,FALSE))),"")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58"/>
        <v>0</v>
      </c>
      <c r="T2921" s="98">
        <f t="shared" si="157"/>
        <v>0</v>
      </c>
      <c r="U2921" s="99" t="str">
        <f>IFERROR(IF(#REF!="S",VLOOKUP('Raw Data'!A2921,References!#REF!,2,FALSE),(VLOOKUP($S2921,References!$B$3:$C$8,2,FALSE))),"")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58"/>
        <v>0</v>
      </c>
      <c r="T2922" s="98">
        <f t="shared" si="157"/>
        <v>0</v>
      </c>
      <c r="U2922" s="99" t="str">
        <f>IFERROR(IF(#REF!="S",VLOOKUP('Raw Data'!A2922,References!#REF!,2,FALSE),(VLOOKUP($S2922,References!$B$3:$C$8,2,FALSE))),"")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58"/>
        <v>0</v>
      </c>
      <c r="T2923" s="98">
        <f t="shared" si="157"/>
        <v>0</v>
      </c>
      <c r="U2923" s="99" t="str">
        <f>IFERROR(IF(#REF!="S",VLOOKUP('Raw Data'!A2923,References!#REF!,2,FALSE),(VLOOKUP($S2923,References!$B$3:$C$8,2,FALSE))),"")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58"/>
        <v>0</v>
      </c>
      <c r="T2924" s="98">
        <f t="shared" si="157"/>
        <v>0</v>
      </c>
      <c r="U2924" s="99" t="str">
        <f>IFERROR(IF(#REF!="S",VLOOKUP('Raw Data'!A2924,References!#REF!,2,FALSE),(VLOOKUP($S2924,References!$B$3:$C$8,2,FALSE))),"")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58"/>
        <v>0</v>
      </c>
      <c r="T2925" s="98">
        <f t="shared" si="157"/>
        <v>0</v>
      </c>
      <c r="U2925" s="99" t="str">
        <f>IFERROR(IF(#REF!="S",VLOOKUP('Raw Data'!A2925,References!#REF!,2,FALSE),(VLOOKUP($S2925,References!$B$3:$C$8,2,FALSE))),"")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58"/>
        <v>0</v>
      </c>
      <c r="T2926" s="98">
        <f t="shared" si="157"/>
        <v>0</v>
      </c>
      <c r="U2926" s="99" t="str">
        <f>IFERROR(IF(#REF!="S",VLOOKUP('Raw Data'!A2926,References!#REF!,2,FALSE),(VLOOKUP($S2926,References!$B$3:$C$8,2,FALSE))),"")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58"/>
        <v>0</v>
      </c>
      <c r="T2927" s="98">
        <f t="shared" si="157"/>
        <v>0</v>
      </c>
      <c r="U2927" s="99" t="str">
        <f>IFERROR(IF(#REF!="S",VLOOKUP('Raw Data'!A2927,References!#REF!,2,FALSE),(VLOOKUP($S2927,References!$B$3:$C$8,2,FALSE))),"")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58"/>
        <v>0</v>
      </c>
      <c r="T2928" s="98">
        <f t="shared" si="157"/>
        <v>0</v>
      </c>
      <c r="U2928" s="99" t="str">
        <f>IFERROR(IF(#REF!="S",VLOOKUP('Raw Data'!A2928,References!#REF!,2,FALSE),(VLOOKUP($S2928,References!$B$3:$C$8,2,FALSE))),"")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58"/>
        <v>0</v>
      </c>
      <c r="T2929" s="98">
        <f t="shared" si="157"/>
        <v>0</v>
      </c>
      <c r="U2929" s="99" t="str">
        <f>IFERROR(IF(#REF!="S",VLOOKUP('Raw Data'!A2929,References!#REF!,2,FALSE),(VLOOKUP($S2929,References!$B$3:$C$8,2,FALSE))),"")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58"/>
        <v>0</v>
      </c>
      <c r="T2930" s="98">
        <f t="shared" si="157"/>
        <v>0</v>
      </c>
      <c r="U2930" s="99" t="str">
        <f>IFERROR(IF(#REF!="S",VLOOKUP('Raw Data'!A2930,References!#REF!,2,FALSE),(VLOOKUP($S2930,References!$B$3:$C$8,2,FALSE))),"")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58"/>
        <v>0</v>
      </c>
      <c r="T2931" s="98">
        <f t="shared" si="157"/>
        <v>0</v>
      </c>
      <c r="U2931" s="99" t="str">
        <f>IFERROR(IF(#REF!="S",VLOOKUP('Raw Data'!A2931,References!#REF!,2,FALSE),(VLOOKUP($S2931,References!$B$3:$C$8,2,FALSE))),"")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58"/>
        <v>0</v>
      </c>
      <c r="T2932" s="98">
        <f t="shared" si="157"/>
        <v>0</v>
      </c>
      <c r="U2932" s="99" t="str">
        <f>IFERROR(IF(#REF!="S",VLOOKUP('Raw Data'!A2932,References!#REF!,2,FALSE),(VLOOKUP($S2932,References!$B$3:$C$8,2,FALSE))),"")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58"/>
        <v>0</v>
      </c>
      <c r="T2933" s="98">
        <f t="shared" si="157"/>
        <v>0</v>
      </c>
      <c r="U2933" s="99" t="str">
        <f>IFERROR(IF(#REF!="S",VLOOKUP('Raw Data'!A2933,References!#REF!,2,FALSE),(VLOOKUP($S2933,References!$B$3:$C$8,2,FALSE))),"")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58"/>
        <v>0</v>
      </c>
      <c r="T2934" s="98">
        <f t="shared" si="157"/>
        <v>0</v>
      </c>
      <c r="U2934" s="99" t="str">
        <f>IFERROR(IF(#REF!="S",VLOOKUP('Raw Data'!A2934,References!#REF!,2,FALSE),(VLOOKUP($S2934,References!$B$3:$C$8,2,FALSE))),"")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58"/>
        <v>0</v>
      </c>
      <c r="T2935" s="98">
        <f t="shared" si="157"/>
        <v>0</v>
      </c>
      <c r="U2935" s="99" t="str">
        <f>IFERROR(IF(#REF!="S",VLOOKUP('Raw Data'!A2935,References!#REF!,2,FALSE),(VLOOKUP($S2935,References!$B$3:$C$8,2,FALSE))),"")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58"/>
        <v>0</v>
      </c>
      <c r="T2936" s="98">
        <f t="shared" si="157"/>
        <v>0</v>
      </c>
      <c r="U2936" s="99" t="str">
        <f>IFERROR(IF(#REF!="S",VLOOKUP('Raw Data'!A2936,References!#REF!,2,FALSE),(VLOOKUP($S2936,References!$B$3:$C$8,2,FALSE))),"")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58"/>
        <v>0</v>
      </c>
      <c r="T2937" s="98">
        <f t="shared" si="157"/>
        <v>0</v>
      </c>
      <c r="U2937" s="99" t="str">
        <f>IFERROR(IF(#REF!="S",VLOOKUP('Raw Data'!A2937,References!#REF!,2,FALSE),(VLOOKUP($S2937,References!$B$3:$C$8,2,FALSE))),"")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58"/>
        <v>0</v>
      </c>
      <c r="T2938" s="98">
        <f t="shared" si="157"/>
        <v>0</v>
      </c>
      <c r="U2938" s="99" t="str">
        <f>IFERROR(IF(#REF!="S",VLOOKUP('Raw Data'!A2938,References!#REF!,2,FALSE),(VLOOKUP($S2938,References!$B$3:$C$8,2,FALSE))),"")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58"/>
        <v>0</v>
      </c>
      <c r="T2939" s="98">
        <f t="shared" si="157"/>
        <v>0</v>
      </c>
      <c r="U2939" s="99" t="str">
        <f>IFERROR(IF(#REF!="S",VLOOKUP('Raw Data'!A2939,References!#REF!,2,FALSE),(VLOOKUP($S2939,References!$B$3:$C$8,2,FALSE))),"")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58"/>
        <v>0</v>
      </c>
      <c r="T2940" s="98">
        <f t="shared" si="157"/>
        <v>0</v>
      </c>
      <c r="U2940" s="99" t="str">
        <f>IFERROR(IF(#REF!="S",VLOOKUP('Raw Data'!A2940,References!#REF!,2,FALSE),(VLOOKUP($S2940,References!$B$3:$C$8,2,FALSE))),"")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58"/>
        <v>0</v>
      </c>
      <c r="T2941" s="98">
        <f t="shared" si="157"/>
        <v>0</v>
      </c>
      <c r="U2941" s="99" t="str">
        <f>IFERROR(IF(#REF!="S",VLOOKUP('Raw Data'!A2941,References!#REF!,2,FALSE),(VLOOKUP($S2941,References!$B$3:$C$8,2,FALSE))),"")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58"/>
        <v>0</v>
      </c>
      <c r="T2942" s="98">
        <f t="shared" si="157"/>
        <v>0</v>
      </c>
      <c r="U2942" s="99" t="str">
        <f>IFERROR(IF(#REF!="S",VLOOKUP('Raw Data'!A2942,References!#REF!,2,FALSE),(VLOOKUP($S2942,References!$B$3:$C$8,2,FALSE))),"")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58"/>
        <v>0</v>
      </c>
      <c r="T2943" s="98">
        <f t="shared" si="157"/>
        <v>0</v>
      </c>
      <c r="U2943" s="99" t="str">
        <f>IFERROR(IF(#REF!="S",VLOOKUP('Raw Data'!A2943,References!#REF!,2,FALSE),(VLOOKUP($S2943,References!$B$3:$C$8,2,FALSE))),"")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58"/>
        <v>0</v>
      </c>
      <c r="T2944" s="98">
        <f t="shared" si="157"/>
        <v>0</v>
      </c>
      <c r="U2944" s="99" t="str">
        <f>IFERROR(IF(#REF!="S",VLOOKUP('Raw Data'!A2944,References!#REF!,2,FALSE),(VLOOKUP($S2944,References!$B$3:$C$8,2,FALSE))),"")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58"/>
        <v>0</v>
      </c>
      <c r="T2945" s="98">
        <f t="shared" si="157"/>
        <v>0</v>
      </c>
      <c r="U2945" s="99" t="str">
        <f>IFERROR(IF(#REF!="S",VLOOKUP('Raw Data'!A2945,References!#REF!,2,FALSE),(VLOOKUP($S2945,References!$B$3:$C$8,2,FALSE))),"")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58"/>
        <v>0</v>
      </c>
      <c r="T2946" s="98">
        <f t="shared" si="157"/>
        <v>0</v>
      </c>
      <c r="U2946" s="99" t="str">
        <f>IFERROR(IF(#REF!="S",VLOOKUP('Raw Data'!A2946,References!#REF!,2,FALSE),(VLOOKUP($S2946,References!$B$3:$C$8,2,FALSE))),"")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58"/>
        <v>0</v>
      </c>
      <c r="T2947" s="98">
        <f t="shared" si="157"/>
        <v>0</v>
      </c>
      <c r="U2947" s="99" t="str">
        <f>IFERROR(IF(#REF!="S",VLOOKUP('Raw Data'!A2947,References!#REF!,2,FALSE),(VLOOKUP($S2947,References!$B$3:$C$8,2,FALSE))),"")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58"/>
        <v>0</v>
      </c>
      <c r="T2948" s="98">
        <f t="shared" si="157"/>
        <v>0</v>
      </c>
      <c r="U2948" s="99" t="str">
        <f>IFERROR(IF(#REF!="S",VLOOKUP('Raw Data'!A2948,References!#REF!,2,FALSE),(VLOOKUP($S2948,References!$B$3:$C$8,2,FALSE))),"")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58"/>
        <v>0</v>
      </c>
      <c r="T2949" s="98">
        <f t="shared" si="157"/>
        <v>0</v>
      </c>
      <c r="U2949" s="99" t="str">
        <f>IFERROR(IF(#REF!="S",VLOOKUP('Raw Data'!A2949,References!#REF!,2,FALSE),(VLOOKUP($S2949,References!$B$3:$C$8,2,FALSE))),"")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58"/>
        <v>0</v>
      </c>
      <c r="T2950" s="98">
        <f t="shared" si="157"/>
        <v>0</v>
      </c>
      <c r="U2950" s="99" t="str">
        <f>IFERROR(IF(#REF!="S",VLOOKUP('Raw Data'!A2950,References!#REF!,2,FALSE),(VLOOKUP($S2950,References!$B$3:$C$8,2,FALSE))),"")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58"/>
        <v>0</v>
      </c>
      <c r="T2951" s="98">
        <f t="shared" si="157"/>
        <v>0</v>
      </c>
      <c r="U2951" s="99" t="str">
        <f>IFERROR(IF(#REF!="S",VLOOKUP('Raw Data'!A2951,References!#REF!,2,FALSE),(VLOOKUP($S2951,References!$B$3:$C$8,2,FALSE))),"")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58"/>
        <v>0</v>
      </c>
      <c r="T2952" s="98">
        <f t="shared" si="157"/>
        <v>0</v>
      </c>
      <c r="U2952" s="99" t="str">
        <f>IFERROR(IF(#REF!="S",VLOOKUP('Raw Data'!A2952,References!#REF!,2,FALSE),(VLOOKUP($S2952,References!$B$3:$C$8,2,FALSE))),"")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58"/>
        <v>0</v>
      </c>
      <c r="T2953" s="98">
        <f t="shared" si="157"/>
        <v>0</v>
      </c>
      <c r="U2953" s="99" t="str">
        <f>IFERROR(IF(#REF!="S",VLOOKUP('Raw Data'!A2953,References!#REF!,2,FALSE),(VLOOKUP($S2953,References!$B$3:$C$8,2,FALSE))),"")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58"/>
        <v>0</v>
      </c>
      <c r="T2954" s="98">
        <f t="shared" si="157"/>
        <v>0</v>
      </c>
      <c r="U2954" s="99" t="str">
        <f>IFERROR(IF(#REF!="S",VLOOKUP('Raw Data'!A2954,References!#REF!,2,FALSE),(VLOOKUP($S2954,References!$B$3:$C$8,2,FALSE))),"")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58"/>
        <v>0</v>
      </c>
      <c r="T2955" s="98">
        <f t="shared" si="157"/>
        <v>0</v>
      </c>
      <c r="U2955" s="99" t="str">
        <f>IFERROR(IF(#REF!="S",VLOOKUP('Raw Data'!A2955,References!#REF!,2,FALSE),(VLOOKUP($S2955,References!$B$3:$C$8,2,FALSE))),"")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58"/>
        <v>0</v>
      </c>
      <c r="T2956" s="98">
        <f t="shared" si="157"/>
        <v>0</v>
      </c>
      <c r="U2956" s="99" t="str">
        <f>IFERROR(IF(#REF!="S",VLOOKUP('Raw Data'!A2956,References!#REF!,2,FALSE),(VLOOKUP($S2956,References!$B$3:$C$8,2,FALSE))),"")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58"/>
        <v>0</v>
      </c>
      <c r="T2957" s="98">
        <f t="shared" si="157"/>
        <v>0</v>
      </c>
      <c r="U2957" s="99" t="str">
        <f>IFERROR(IF(#REF!="S",VLOOKUP('Raw Data'!A2957,References!#REF!,2,FALSE),(VLOOKUP($S2957,References!$B$3:$C$8,2,FALSE))),"")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58"/>
        <v>0</v>
      </c>
      <c r="T2958" s="98">
        <f t="shared" si="157"/>
        <v>0</v>
      </c>
      <c r="U2958" s="99" t="str">
        <f>IFERROR(IF(#REF!="S",VLOOKUP('Raw Data'!A2958,References!#REF!,2,FALSE),(VLOOKUP($S2958,References!$B$3:$C$8,2,FALSE))),"")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58"/>
        <v>0</v>
      </c>
      <c r="T2959" s="98">
        <f t="shared" si="157"/>
        <v>0</v>
      </c>
      <c r="U2959" s="99" t="str">
        <f>IFERROR(IF(#REF!="S",VLOOKUP('Raw Data'!A2959,References!#REF!,2,FALSE),(VLOOKUP($S2959,References!$B$3:$C$8,2,FALSE))),"")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58"/>
        <v>0</v>
      </c>
      <c r="T2960" s="98">
        <f t="shared" ref="T2960:T3023" si="159">IF(S2960="50 - Cleaning Fee",1,HOUR($R2960)+MINUTE(R2960)/60)</f>
        <v>0</v>
      </c>
      <c r="U2960" s="99" t="str">
        <f>IFERROR(IF(#REF!="S",VLOOKUP('Raw Data'!A2960,References!#REF!,2,FALSE),(VLOOKUP($S2960,References!$B$3:$C$8,2,FALSE))),"")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58"/>
        <v>0</v>
      </c>
      <c r="T2961" s="98">
        <f t="shared" si="159"/>
        <v>0</v>
      </c>
      <c r="U2961" s="99" t="str">
        <f>IFERROR(IF(#REF!="S",VLOOKUP('Raw Data'!A2961,References!#REF!,2,FALSE),(VLOOKUP($S2961,References!$B$3:$C$8,2,FALSE))),"")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58"/>
        <v>0</v>
      </c>
      <c r="T2962" s="98">
        <f t="shared" si="159"/>
        <v>0</v>
      </c>
      <c r="U2962" s="99" t="str">
        <f>IFERROR(IF(#REF!="S",VLOOKUP('Raw Data'!A2962,References!#REF!,2,FALSE),(VLOOKUP($S2962,References!$B$3:$C$8,2,FALSE))),"")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58"/>
        <v>0</v>
      </c>
      <c r="T2963" s="98">
        <f t="shared" si="159"/>
        <v>0</v>
      </c>
      <c r="U2963" s="99" t="str">
        <f>IFERROR(IF(#REF!="S",VLOOKUP('Raw Data'!A2963,References!#REF!,2,FALSE),(VLOOKUP($S2963,References!$B$3:$C$8,2,FALSE))),"")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58"/>
        <v>0</v>
      </c>
      <c r="T2964" s="98">
        <f t="shared" si="159"/>
        <v>0</v>
      </c>
      <c r="U2964" s="99" t="str">
        <f>IFERROR(IF(#REF!="S",VLOOKUP('Raw Data'!A2964,References!#REF!,2,FALSE),(VLOOKUP($S2964,References!$B$3:$C$8,2,FALSE))),"")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58"/>
        <v>0</v>
      </c>
      <c r="T2965" s="98">
        <f t="shared" si="159"/>
        <v>0</v>
      </c>
      <c r="U2965" s="99" t="str">
        <f>IFERROR(IF(#REF!="S",VLOOKUP('Raw Data'!A2965,References!#REF!,2,FALSE),(VLOOKUP($S2965,References!$B$3:$C$8,2,FALSE))),"")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58"/>
        <v>0</v>
      </c>
      <c r="T2966" s="98">
        <f t="shared" si="159"/>
        <v>0</v>
      </c>
      <c r="U2966" s="99" t="str">
        <f>IFERROR(IF(#REF!="S",VLOOKUP('Raw Data'!A2966,References!#REF!,2,FALSE),(VLOOKUP($S2966,References!$B$3:$C$8,2,FALSE))),"")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58"/>
        <v>0</v>
      </c>
      <c r="T2967" s="98">
        <f t="shared" si="159"/>
        <v>0</v>
      </c>
      <c r="U2967" s="99" t="str">
        <f>IFERROR(IF(#REF!="S",VLOOKUP('Raw Data'!A2967,References!#REF!,2,FALSE),(VLOOKUP($S2967,References!$B$3:$C$8,2,FALSE))),"")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58"/>
        <v>0</v>
      </c>
      <c r="T2968" s="98">
        <f t="shared" si="159"/>
        <v>0</v>
      </c>
      <c r="U2968" s="99" t="str">
        <f>IFERROR(IF(#REF!="S",VLOOKUP('Raw Data'!A2968,References!#REF!,2,FALSE),(VLOOKUP($S2968,References!$B$3:$C$8,2,FALSE))),"")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58"/>
        <v>0</v>
      </c>
      <c r="T2969" s="98">
        <f t="shared" si="159"/>
        <v>0</v>
      </c>
      <c r="U2969" s="99" t="str">
        <f>IFERROR(IF(#REF!="S",VLOOKUP('Raw Data'!A2969,References!#REF!,2,FALSE),(VLOOKUP($S2969,References!$B$3:$C$8,2,FALSE))),"")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58"/>
        <v>0</v>
      </c>
      <c r="T2970" s="98">
        <f t="shared" si="159"/>
        <v>0</v>
      </c>
      <c r="U2970" s="99" t="str">
        <f>IFERROR(IF(#REF!="S",VLOOKUP('Raw Data'!A2970,References!#REF!,2,FALSE),(VLOOKUP($S2970,References!$B$3:$C$8,2,FALSE))),"")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58"/>
        <v>0</v>
      </c>
      <c r="T2971" s="98">
        <f t="shared" si="159"/>
        <v>0</v>
      </c>
      <c r="U2971" s="99" t="str">
        <f>IFERROR(IF(#REF!="S",VLOOKUP('Raw Data'!A2971,References!#REF!,2,FALSE),(VLOOKUP($S2971,References!$B$3:$C$8,2,FALSE))),"")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58"/>
        <v>0</v>
      </c>
      <c r="T2972" s="98">
        <f t="shared" si="159"/>
        <v>0</v>
      </c>
      <c r="U2972" s="99" t="str">
        <f>IFERROR(IF(#REF!="S",VLOOKUP('Raw Data'!A2972,References!#REF!,2,FALSE),(VLOOKUP($S2972,References!$B$3:$C$8,2,FALSE))),"")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58"/>
        <v>0</v>
      </c>
      <c r="T2973" s="98">
        <f t="shared" si="159"/>
        <v>0</v>
      </c>
      <c r="U2973" s="99" t="str">
        <f>IFERROR(IF(#REF!="S",VLOOKUP('Raw Data'!A2973,References!#REF!,2,FALSE),(VLOOKUP($S2973,References!$B$3:$C$8,2,FALSE))),"")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58"/>
        <v>0</v>
      </c>
      <c r="T2974" s="98">
        <f t="shared" si="159"/>
        <v>0</v>
      </c>
      <c r="U2974" s="99" t="str">
        <f>IFERROR(IF(#REF!="S",VLOOKUP('Raw Data'!A2974,References!#REF!,2,FALSE),(VLOOKUP($S2974,References!$B$3:$C$8,2,FALSE))),"")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58"/>
        <v>0</v>
      </c>
      <c r="T2975" s="98">
        <f t="shared" si="159"/>
        <v>0</v>
      </c>
      <c r="U2975" s="99" t="str">
        <f>IFERROR(IF(#REF!="S",VLOOKUP('Raw Data'!A2975,References!#REF!,2,FALSE),(VLOOKUP($S2975,References!$B$3:$C$8,2,FALSE))),"")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58"/>
        <v>0</v>
      </c>
      <c r="T2976" s="98">
        <f t="shared" si="159"/>
        <v>0</v>
      </c>
      <c r="U2976" s="99" t="str">
        <f>IFERROR(IF(#REF!="S",VLOOKUP('Raw Data'!A2976,References!#REF!,2,FALSE),(VLOOKUP($S2976,References!$B$3:$C$8,2,FALSE))),"")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58"/>
        <v>0</v>
      </c>
      <c r="T2977" s="98">
        <f t="shared" si="159"/>
        <v>0</v>
      </c>
      <c r="U2977" s="99" t="str">
        <f>IFERROR(IF(#REF!="S",VLOOKUP('Raw Data'!A2977,References!#REF!,2,FALSE),(VLOOKUP($S2977,References!$B$3:$C$8,2,FALSE))),"")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58"/>
        <v>0</v>
      </c>
      <c r="T2978" s="98">
        <f t="shared" si="159"/>
        <v>0</v>
      </c>
      <c r="U2978" s="99" t="str">
        <f>IFERROR(IF(#REF!="S",VLOOKUP('Raw Data'!A2978,References!#REF!,2,FALSE),(VLOOKUP($S2978,References!$B$3:$C$8,2,FALSE))),"")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58"/>
        <v>0</v>
      </c>
      <c r="T2979" s="98">
        <f t="shared" si="159"/>
        <v>0</v>
      </c>
      <c r="U2979" s="99" t="str">
        <f>IFERROR(IF(#REF!="S",VLOOKUP('Raw Data'!A2979,References!#REF!,2,FALSE),(VLOOKUP($S2979,References!$B$3:$C$8,2,FALSE))),"")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58"/>
        <v>0</v>
      </c>
      <c r="T2980" s="98">
        <f t="shared" si="159"/>
        <v>0</v>
      </c>
      <c r="U2980" s="99" t="str">
        <f>IFERROR(IF(#REF!="S",VLOOKUP('Raw Data'!A2980,References!#REF!,2,FALSE),(VLOOKUP($S2980,References!$B$3:$C$8,2,FALSE))),"")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58"/>
        <v>0</v>
      </c>
      <c r="T2981" s="98">
        <f t="shared" si="159"/>
        <v>0</v>
      </c>
      <c r="U2981" s="99" t="str">
        <f>IFERROR(IF(#REF!="S",VLOOKUP('Raw Data'!A2981,References!#REF!,2,FALSE),(VLOOKUP($S2981,References!$B$3:$C$8,2,FALSE))),"")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58"/>
        <v>0</v>
      </c>
      <c r="T2982" s="98">
        <f t="shared" si="159"/>
        <v>0</v>
      </c>
      <c r="U2982" s="99" t="str">
        <f>IFERROR(IF(#REF!="S",VLOOKUP('Raw Data'!A2982,References!#REF!,2,FALSE),(VLOOKUP($S2982,References!$B$3:$C$8,2,FALSE))),"")</f>
        <v/>
      </c>
      <c r="W2982" s="66" t="str">
        <f>IFERROR(VLOOKUP($O2982,'Customer List'!$A$1:$J$488,10,FALSE),"")</f>
        <v/>
      </c>
    </row>
    <row r="2983" spans="18:23">
      <c r="R2983" s="97">
        <f t="shared" si="158"/>
        <v>0</v>
      </c>
      <c r="T2983" s="98">
        <f t="shared" si="159"/>
        <v>0</v>
      </c>
      <c r="U2983" s="99" t="str">
        <f>IFERROR(IF(#REF!="S",VLOOKUP('Raw Data'!A2983,References!#REF!,2,FALSE),(VLOOKUP($S2983,References!$B$3:$C$8,2,FALSE))),"")</f>
        <v/>
      </c>
      <c r="W2983" s="66" t="str">
        <f>IFERROR(VLOOKUP($O2983,'Customer List'!$A$1:$J$488,10,FALSE),"")</f>
        <v/>
      </c>
    </row>
    <row r="2984" spans="18:23">
      <c r="R2984" s="97">
        <f t="shared" ref="R2984:R3047" si="160">L2984-K2984</f>
        <v>0</v>
      </c>
      <c r="T2984" s="98">
        <f t="shared" si="159"/>
        <v>0</v>
      </c>
      <c r="U2984" s="99" t="str">
        <f>IFERROR(IF(#REF!="S",VLOOKUP('Raw Data'!A2984,References!#REF!,2,FALSE),(VLOOKUP($S2984,References!$B$3:$C$8,2,FALSE))),"")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0"/>
        <v>0</v>
      </c>
      <c r="T2985" s="98">
        <f t="shared" si="159"/>
        <v>0</v>
      </c>
      <c r="U2985" s="99" t="str">
        <f>IFERROR(IF(#REF!="S",VLOOKUP('Raw Data'!A2985,References!#REF!,2,FALSE),(VLOOKUP($S2985,References!$B$3:$C$8,2,FALSE))),"")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0"/>
        <v>0</v>
      </c>
      <c r="T2986" s="98">
        <f t="shared" si="159"/>
        <v>0</v>
      </c>
      <c r="U2986" s="99" t="str">
        <f>IFERROR(IF(#REF!="S",VLOOKUP('Raw Data'!A2986,References!#REF!,2,FALSE),(VLOOKUP($S2986,References!$B$3:$C$8,2,FALSE))),"")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0"/>
        <v>0</v>
      </c>
      <c r="T2987" s="98">
        <f t="shared" si="159"/>
        <v>0</v>
      </c>
      <c r="U2987" s="99" t="str">
        <f>IFERROR(IF(#REF!="S",VLOOKUP('Raw Data'!A2987,References!#REF!,2,FALSE),(VLOOKUP($S2987,References!$B$3:$C$8,2,FALSE))),"")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0"/>
        <v>0</v>
      </c>
      <c r="T2988" s="98">
        <f t="shared" si="159"/>
        <v>0</v>
      </c>
      <c r="U2988" s="99" t="str">
        <f>IFERROR(IF(#REF!="S",VLOOKUP('Raw Data'!A2988,References!#REF!,2,FALSE),(VLOOKUP($S2988,References!$B$3:$C$8,2,FALSE))),"")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0"/>
        <v>0</v>
      </c>
      <c r="T2989" s="98">
        <f t="shared" si="159"/>
        <v>0</v>
      </c>
      <c r="U2989" s="99" t="str">
        <f>IFERROR(IF(#REF!="S",VLOOKUP('Raw Data'!A2989,References!#REF!,2,FALSE),(VLOOKUP($S2989,References!$B$3:$C$8,2,FALSE))),"")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0"/>
        <v>0</v>
      </c>
      <c r="T2990" s="98">
        <f t="shared" si="159"/>
        <v>0</v>
      </c>
      <c r="U2990" s="99" t="str">
        <f>IFERROR(IF(#REF!="S",VLOOKUP('Raw Data'!A2990,References!#REF!,2,FALSE),(VLOOKUP($S2990,References!$B$3:$C$8,2,FALSE))),"")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0"/>
        <v>0</v>
      </c>
      <c r="T2991" s="98">
        <f t="shared" si="159"/>
        <v>0</v>
      </c>
      <c r="U2991" s="99" t="str">
        <f>IFERROR(IF(#REF!="S",VLOOKUP('Raw Data'!A2991,References!#REF!,2,FALSE),(VLOOKUP($S2991,References!$B$3:$C$8,2,FALSE))),"")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0"/>
        <v>0</v>
      </c>
      <c r="T2992" s="98">
        <f t="shared" si="159"/>
        <v>0</v>
      </c>
      <c r="U2992" s="99" t="str">
        <f>IFERROR(IF(#REF!="S",VLOOKUP('Raw Data'!A2992,References!#REF!,2,FALSE),(VLOOKUP($S2992,References!$B$3:$C$8,2,FALSE))),"")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0"/>
        <v>0</v>
      </c>
      <c r="T2993" s="98">
        <f t="shared" si="159"/>
        <v>0</v>
      </c>
      <c r="U2993" s="99" t="str">
        <f>IFERROR(IF(#REF!="S",VLOOKUP('Raw Data'!A2993,References!#REF!,2,FALSE),(VLOOKUP($S2993,References!$B$3:$C$8,2,FALSE))),"")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0"/>
        <v>0</v>
      </c>
      <c r="T2994" s="98">
        <f t="shared" si="159"/>
        <v>0</v>
      </c>
      <c r="U2994" s="99" t="str">
        <f>IFERROR(IF(#REF!="S",VLOOKUP('Raw Data'!A2994,References!#REF!,2,FALSE),(VLOOKUP($S2994,References!$B$3:$C$8,2,FALSE))),"")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0"/>
        <v>0</v>
      </c>
      <c r="T2995" s="98">
        <f t="shared" si="159"/>
        <v>0</v>
      </c>
      <c r="U2995" s="99" t="str">
        <f>IFERROR(IF(#REF!="S",VLOOKUP('Raw Data'!A2995,References!#REF!,2,FALSE),(VLOOKUP($S2995,References!$B$3:$C$8,2,FALSE))),"")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0"/>
        <v>0</v>
      </c>
      <c r="T2996" s="98">
        <f t="shared" si="159"/>
        <v>0</v>
      </c>
      <c r="U2996" s="99" t="str">
        <f>IFERROR(IF(#REF!="S",VLOOKUP('Raw Data'!A2996,References!#REF!,2,FALSE),(VLOOKUP($S2996,References!$B$3:$C$8,2,FALSE))),"")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0"/>
        <v>0</v>
      </c>
      <c r="T2997" s="98">
        <f t="shared" si="159"/>
        <v>0</v>
      </c>
      <c r="U2997" s="99" t="str">
        <f>IFERROR(IF(#REF!="S",VLOOKUP('Raw Data'!A2997,References!#REF!,2,FALSE),(VLOOKUP($S2997,References!$B$3:$C$8,2,FALSE))),"")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0"/>
        <v>0</v>
      </c>
      <c r="T2998" s="98">
        <f t="shared" si="159"/>
        <v>0</v>
      </c>
      <c r="U2998" s="99" t="str">
        <f>IFERROR(IF(#REF!="S",VLOOKUP('Raw Data'!A2998,References!#REF!,2,FALSE),(VLOOKUP($S2998,References!$B$3:$C$8,2,FALSE))),"")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0"/>
        <v>0</v>
      </c>
      <c r="T2999" s="98">
        <f t="shared" si="159"/>
        <v>0</v>
      </c>
      <c r="U2999" s="99" t="str">
        <f>IFERROR(IF(#REF!="S",VLOOKUP('Raw Data'!A2999,References!#REF!,2,FALSE),(VLOOKUP($S2999,References!$B$3:$C$8,2,FALSE))),"")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0"/>
        <v>0</v>
      </c>
      <c r="T3000" s="98">
        <f t="shared" si="159"/>
        <v>0</v>
      </c>
      <c r="U3000" s="99" t="str">
        <f>IFERROR(IF(#REF!="S",VLOOKUP('Raw Data'!A3000,References!#REF!,2,FALSE),(VLOOKUP($S3000,References!$B$3:$C$8,2,FALSE))),"")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0"/>
        <v>0</v>
      </c>
      <c r="T3001" s="98">
        <f t="shared" si="159"/>
        <v>0</v>
      </c>
      <c r="U3001" s="99" t="str">
        <f>IFERROR(IF(#REF!="S",VLOOKUP('Raw Data'!A3001,References!#REF!,2,FALSE),(VLOOKUP($S3001,References!$B$3:$C$8,2,FALSE))),"")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0"/>
        <v>0</v>
      </c>
      <c r="T3002" s="98">
        <f t="shared" si="159"/>
        <v>0</v>
      </c>
      <c r="U3002" s="99" t="str">
        <f>IFERROR(IF(#REF!="S",VLOOKUP('Raw Data'!A3002,References!#REF!,2,FALSE),(VLOOKUP($S3002,References!$B$3:$C$8,2,FALSE))),"")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0"/>
        <v>0</v>
      </c>
      <c r="T3003" s="98">
        <f t="shared" si="159"/>
        <v>0</v>
      </c>
      <c r="U3003" s="99" t="str">
        <f>IFERROR(IF(#REF!="S",VLOOKUP('Raw Data'!A3003,References!#REF!,2,FALSE),(VLOOKUP($S3003,References!$B$3:$C$8,2,FALSE))),"")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0"/>
        <v>0</v>
      </c>
      <c r="T3004" s="98">
        <f t="shared" si="159"/>
        <v>0</v>
      </c>
      <c r="U3004" s="99" t="str">
        <f>IFERROR(IF(#REF!="S",VLOOKUP('Raw Data'!A3004,References!#REF!,2,FALSE),(VLOOKUP($S3004,References!$B$3:$C$8,2,FALSE))),"")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0"/>
        <v>0</v>
      </c>
      <c r="T3005" s="98">
        <f t="shared" si="159"/>
        <v>0</v>
      </c>
      <c r="U3005" s="99" t="str">
        <f>IFERROR(IF(#REF!="S",VLOOKUP('Raw Data'!A3005,References!#REF!,2,FALSE),(VLOOKUP($S3005,References!$B$3:$C$8,2,FALSE))),"")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0"/>
        <v>0</v>
      </c>
      <c r="T3006" s="98">
        <f t="shared" si="159"/>
        <v>0</v>
      </c>
      <c r="U3006" s="99" t="str">
        <f>IFERROR(IF(#REF!="S",VLOOKUP('Raw Data'!A3006,References!#REF!,2,FALSE),(VLOOKUP($S3006,References!$B$3:$C$8,2,FALSE))),"")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0"/>
        <v>0</v>
      </c>
      <c r="T3007" s="98">
        <f t="shared" si="159"/>
        <v>0</v>
      </c>
      <c r="U3007" s="99" t="str">
        <f>IFERROR(IF(#REF!="S",VLOOKUP('Raw Data'!A3007,References!#REF!,2,FALSE),(VLOOKUP($S3007,References!$B$3:$C$8,2,FALSE))),"")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0"/>
        <v>0</v>
      </c>
      <c r="T3008" s="98">
        <f t="shared" si="159"/>
        <v>0</v>
      </c>
      <c r="U3008" s="99" t="str">
        <f>IFERROR(IF(#REF!="S",VLOOKUP('Raw Data'!A3008,References!#REF!,2,FALSE),(VLOOKUP($S3008,References!$B$3:$C$8,2,FALSE))),"")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0"/>
        <v>0</v>
      </c>
      <c r="T3009" s="98">
        <f t="shared" si="159"/>
        <v>0</v>
      </c>
      <c r="U3009" s="99" t="str">
        <f>IFERROR(IF(#REF!="S",VLOOKUP('Raw Data'!A3009,References!#REF!,2,FALSE),(VLOOKUP($S3009,References!$B$3:$C$8,2,FALSE))),"")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0"/>
        <v>0</v>
      </c>
      <c r="T3010" s="98">
        <f t="shared" si="159"/>
        <v>0</v>
      </c>
      <c r="U3010" s="99" t="str">
        <f>IFERROR(IF(#REF!="S",VLOOKUP('Raw Data'!A3010,References!#REF!,2,FALSE),(VLOOKUP($S3010,References!$B$3:$C$8,2,FALSE))),"")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0"/>
        <v>0</v>
      </c>
      <c r="T3011" s="98">
        <f t="shared" si="159"/>
        <v>0</v>
      </c>
      <c r="U3011" s="99" t="str">
        <f>IFERROR(IF(#REF!="S",VLOOKUP('Raw Data'!A3011,References!#REF!,2,FALSE),(VLOOKUP($S3011,References!$B$3:$C$8,2,FALSE))),"")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0"/>
        <v>0</v>
      </c>
      <c r="T3012" s="98">
        <f t="shared" si="159"/>
        <v>0</v>
      </c>
      <c r="U3012" s="99" t="str">
        <f>IFERROR(IF(#REF!="S",VLOOKUP('Raw Data'!A3012,References!#REF!,2,FALSE),(VLOOKUP($S3012,References!$B$3:$C$8,2,FALSE))),"")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0"/>
        <v>0</v>
      </c>
      <c r="T3013" s="98">
        <f t="shared" si="159"/>
        <v>0</v>
      </c>
      <c r="U3013" s="99" t="str">
        <f>IFERROR(IF(#REF!="S",VLOOKUP('Raw Data'!A3013,References!#REF!,2,FALSE),(VLOOKUP($S3013,References!$B$3:$C$8,2,FALSE))),"")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0"/>
        <v>0</v>
      </c>
      <c r="T3014" s="98">
        <f t="shared" si="159"/>
        <v>0</v>
      </c>
      <c r="U3014" s="99" t="str">
        <f>IFERROR(IF(#REF!="S",VLOOKUP('Raw Data'!A3014,References!#REF!,2,FALSE),(VLOOKUP($S3014,References!$B$3:$C$8,2,FALSE))),"")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0"/>
        <v>0</v>
      </c>
      <c r="T3015" s="98">
        <f t="shared" si="159"/>
        <v>0</v>
      </c>
      <c r="U3015" s="99" t="str">
        <f>IFERROR(IF(#REF!="S",VLOOKUP('Raw Data'!A3015,References!#REF!,2,FALSE),(VLOOKUP($S3015,References!$B$3:$C$8,2,FALSE))),"")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0"/>
        <v>0</v>
      </c>
      <c r="T3016" s="98">
        <f t="shared" si="159"/>
        <v>0</v>
      </c>
      <c r="U3016" s="99" t="str">
        <f>IFERROR(IF(#REF!="S",VLOOKUP('Raw Data'!A3016,References!#REF!,2,FALSE),(VLOOKUP($S3016,References!$B$3:$C$8,2,FALSE))),"")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0"/>
        <v>0</v>
      </c>
      <c r="T3017" s="98">
        <f t="shared" si="159"/>
        <v>0</v>
      </c>
      <c r="U3017" s="99" t="str">
        <f>IFERROR(IF(#REF!="S",VLOOKUP('Raw Data'!A3017,References!#REF!,2,FALSE),(VLOOKUP($S3017,References!$B$3:$C$8,2,FALSE))),"")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0"/>
        <v>0</v>
      </c>
      <c r="T3018" s="98">
        <f t="shared" si="159"/>
        <v>0</v>
      </c>
      <c r="U3018" s="99" t="str">
        <f>IFERROR(IF(#REF!="S",VLOOKUP('Raw Data'!A3018,References!#REF!,2,FALSE),(VLOOKUP($S3018,References!$B$3:$C$8,2,FALSE))),"")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0"/>
        <v>0</v>
      </c>
      <c r="T3019" s="98">
        <f t="shared" si="159"/>
        <v>0</v>
      </c>
      <c r="U3019" s="99" t="str">
        <f>IFERROR(IF(#REF!="S",VLOOKUP('Raw Data'!A3019,References!#REF!,2,FALSE),(VLOOKUP($S3019,References!$B$3:$C$8,2,FALSE))),"")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0"/>
        <v>0</v>
      </c>
      <c r="T3020" s="98">
        <f t="shared" si="159"/>
        <v>0</v>
      </c>
      <c r="U3020" s="99" t="str">
        <f>IFERROR(IF(#REF!="S",VLOOKUP('Raw Data'!A3020,References!#REF!,2,FALSE),(VLOOKUP($S3020,References!$B$3:$C$8,2,FALSE))),"")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0"/>
        <v>0</v>
      </c>
      <c r="T3021" s="98">
        <f t="shared" si="159"/>
        <v>0</v>
      </c>
      <c r="U3021" s="99" t="str">
        <f>IFERROR(IF(#REF!="S",VLOOKUP('Raw Data'!A3021,References!#REF!,2,FALSE),(VLOOKUP($S3021,References!$B$3:$C$8,2,FALSE))),"")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0"/>
        <v>0</v>
      </c>
      <c r="T3022" s="98">
        <f t="shared" si="159"/>
        <v>0</v>
      </c>
      <c r="U3022" s="99" t="str">
        <f>IFERROR(IF(#REF!="S",VLOOKUP('Raw Data'!A3022,References!#REF!,2,FALSE),(VLOOKUP($S3022,References!$B$3:$C$8,2,FALSE))),"")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0"/>
        <v>0</v>
      </c>
      <c r="T3023" s="98">
        <f t="shared" si="159"/>
        <v>0</v>
      </c>
      <c r="U3023" s="99" t="str">
        <f>IFERROR(IF(#REF!="S",VLOOKUP('Raw Data'!A3023,References!#REF!,2,FALSE),(VLOOKUP($S3023,References!$B$3:$C$8,2,FALSE))),"")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0"/>
        <v>0</v>
      </c>
      <c r="T3024" s="98">
        <f t="shared" ref="T3024:T3087" si="161">IF(S3024="50 - Cleaning Fee",1,HOUR($R3024)+MINUTE(R3024)/60)</f>
        <v>0</v>
      </c>
      <c r="U3024" s="99" t="str">
        <f>IFERROR(IF(#REF!="S",VLOOKUP('Raw Data'!A3024,References!#REF!,2,FALSE),(VLOOKUP($S3024,References!$B$3:$C$8,2,FALSE))),"")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0"/>
        <v>0</v>
      </c>
      <c r="T3025" s="98">
        <f t="shared" si="161"/>
        <v>0</v>
      </c>
      <c r="U3025" s="99" t="str">
        <f>IFERROR(IF(#REF!="S",VLOOKUP('Raw Data'!A3025,References!#REF!,2,FALSE),(VLOOKUP($S3025,References!$B$3:$C$8,2,FALSE))),"")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0"/>
        <v>0</v>
      </c>
      <c r="T3026" s="98">
        <f t="shared" si="161"/>
        <v>0</v>
      </c>
      <c r="U3026" s="99" t="str">
        <f>IFERROR(IF(#REF!="S",VLOOKUP('Raw Data'!A3026,References!#REF!,2,FALSE),(VLOOKUP($S3026,References!$B$3:$C$8,2,FALSE))),"")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0"/>
        <v>0</v>
      </c>
      <c r="T3027" s="98">
        <f t="shared" si="161"/>
        <v>0</v>
      </c>
      <c r="U3027" s="99" t="str">
        <f>IFERROR(IF(#REF!="S",VLOOKUP('Raw Data'!A3027,References!#REF!,2,FALSE),(VLOOKUP($S3027,References!$B$3:$C$8,2,FALSE))),"")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0"/>
        <v>0</v>
      </c>
      <c r="T3028" s="98">
        <f t="shared" si="161"/>
        <v>0</v>
      </c>
      <c r="U3028" s="99" t="str">
        <f>IFERROR(IF(#REF!="S",VLOOKUP('Raw Data'!A3028,References!#REF!,2,FALSE),(VLOOKUP($S3028,References!$B$3:$C$8,2,FALSE))),"")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0"/>
        <v>0</v>
      </c>
      <c r="T3029" s="98">
        <f t="shared" si="161"/>
        <v>0</v>
      </c>
      <c r="U3029" s="99" t="str">
        <f>IFERROR(IF(#REF!="S",VLOOKUP('Raw Data'!A3029,References!#REF!,2,FALSE),(VLOOKUP($S3029,References!$B$3:$C$8,2,FALSE))),"")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0"/>
        <v>0</v>
      </c>
      <c r="T3030" s="98">
        <f t="shared" si="161"/>
        <v>0</v>
      </c>
      <c r="U3030" s="99" t="str">
        <f>IFERROR(IF(#REF!="S",VLOOKUP('Raw Data'!A3030,References!#REF!,2,FALSE),(VLOOKUP($S3030,References!$B$3:$C$8,2,FALSE))),"")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0"/>
        <v>0</v>
      </c>
      <c r="T3031" s="98">
        <f t="shared" si="161"/>
        <v>0</v>
      </c>
      <c r="U3031" s="99" t="str">
        <f>IFERROR(IF(#REF!="S",VLOOKUP('Raw Data'!A3031,References!#REF!,2,FALSE),(VLOOKUP($S3031,References!$B$3:$C$8,2,FALSE))),"")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0"/>
        <v>0</v>
      </c>
      <c r="T3032" s="98">
        <f t="shared" si="161"/>
        <v>0</v>
      </c>
      <c r="U3032" s="99" t="str">
        <f>IFERROR(IF(#REF!="S",VLOOKUP('Raw Data'!A3032,References!#REF!,2,FALSE),(VLOOKUP($S3032,References!$B$3:$C$8,2,FALSE))),"")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0"/>
        <v>0</v>
      </c>
      <c r="T3033" s="98">
        <f t="shared" si="161"/>
        <v>0</v>
      </c>
      <c r="U3033" s="99" t="str">
        <f>IFERROR(IF(#REF!="S",VLOOKUP('Raw Data'!A3033,References!#REF!,2,FALSE),(VLOOKUP($S3033,References!$B$3:$C$8,2,FALSE))),"")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0"/>
        <v>0</v>
      </c>
      <c r="T3034" s="98">
        <f t="shared" si="161"/>
        <v>0</v>
      </c>
      <c r="U3034" s="99" t="str">
        <f>IFERROR(IF(#REF!="S",VLOOKUP('Raw Data'!A3034,References!#REF!,2,FALSE),(VLOOKUP($S3034,References!$B$3:$C$8,2,FALSE))),"")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0"/>
        <v>0</v>
      </c>
      <c r="T3035" s="98">
        <f t="shared" si="161"/>
        <v>0</v>
      </c>
      <c r="U3035" s="99" t="str">
        <f>IFERROR(IF(#REF!="S",VLOOKUP('Raw Data'!A3035,References!#REF!,2,FALSE),(VLOOKUP($S3035,References!$B$3:$C$8,2,FALSE))),"")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0"/>
        <v>0</v>
      </c>
      <c r="T3036" s="98">
        <f t="shared" si="161"/>
        <v>0</v>
      </c>
      <c r="U3036" s="99" t="str">
        <f>IFERROR(IF(#REF!="S",VLOOKUP('Raw Data'!A3036,References!#REF!,2,FALSE),(VLOOKUP($S3036,References!$B$3:$C$8,2,FALSE))),"")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0"/>
        <v>0</v>
      </c>
      <c r="T3037" s="98">
        <f t="shared" si="161"/>
        <v>0</v>
      </c>
      <c r="U3037" s="99" t="str">
        <f>IFERROR(IF(#REF!="S",VLOOKUP('Raw Data'!A3037,References!#REF!,2,FALSE),(VLOOKUP($S3037,References!$B$3:$C$8,2,FALSE))),"")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0"/>
        <v>0</v>
      </c>
      <c r="T3038" s="98">
        <f t="shared" si="161"/>
        <v>0</v>
      </c>
      <c r="U3038" s="99" t="str">
        <f>IFERROR(IF(#REF!="S",VLOOKUP('Raw Data'!A3038,References!#REF!,2,FALSE),(VLOOKUP($S3038,References!$B$3:$C$8,2,FALSE))),"")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0"/>
        <v>0</v>
      </c>
      <c r="T3039" s="98">
        <f t="shared" si="161"/>
        <v>0</v>
      </c>
      <c r="U3039" s="99" t="str">
        <f>IFERROR(IF(#REF!="S",VLOOKUP('Raw Data'!A3039,References!#REF!,2,FALSE),(VLOOKUP($S3039,References!$B$3:$C$8,2,FALSE))),"")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0"/>
        <v>0</v>
      </c>
      <c r="T3040" s="98">
        <f t="shared" si="161"/>
        <v>0</v>
      </c>
      <c r="U3040" s="99" t="str">
        <f>IFERROR(IF(#REF!="S",VLOOKUP('Raw Data'!A3040,References!#REF!,2,FALSE),(VLOOKUP($S3040,References!$B$3:$C$8,2,FALSE))),"")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0"/>
        <v>0</v>
      </c>
      <c r="T3041" s="98">
        <f t="shared" si="161"/>
        <v>0</v>
      </c>
      <c r="U3041" s="99" t="str">
        <f>IFERROR(IF(#REF!="S",VLOOKUP('Raw Data'!A3041,References!#REF!,2,FALSE),(VLOOKUP($S3041,References!$B$3:$C$8,2,FALSE))),"")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0"/>
        <v>0</v>
      </c>
      <c r="T3042" s="98">
        <f t="shared" si="161"/>
        <v>0</v>
      </c>
      <c r="U3042" s="99" t="str">
        <f>IFERROR(IF(#REF!="S",VLOOKUP('Raw Data'!A3042,References!#REF!,2,FALSE),(VLOOKUP($S3042,References!$B$3:$C$8,2,FALSE))),"")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0"/>
        <v>0</v>
      </c>
      <c r="T3043" s="98">
        <f t="shared" si="161"/>
        <v>0</v>
      </c>
      <c r="U3043" s="99" t="str">
        <f>IFERROR(IF(#REF!="S",VLOOKUP('Raw Data'!A3043,References!#REF!,2,FALSE),(VLOOKUP($S3043,References!$B$3:$C$8,2,FALSE))),"")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0"/>
        <v>0</v>
      </c>
      <c r="T3044" s="98">
        <f t="shared" si="161"/>
        <v>0</v>
      </c>
      <c r="U3044" s="99" t="str">
        <f>IFERROR(IF(#REF!="S",VLOOKUP('Raw Data'!A3044,References!#REF!,2,FALSE),(VLOOKUP($S3044,References!$B$3:$C$8,2,FALSE))),"")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0"/>
        <v>0</v>
      </c>
      <c r="T3045" s="98">
        <f t="shared" si="161"/>
        <v>0</v>
      </c>
      <c r="U3045" s="99" t="str">
        <f>IFERROR(IF(#REF!="S",VLOOKUP('Raw Data'!A3045,References!#REF!,2,FALSE),(VLOOKUP($S3045,References!$B$3:$C$8,2,FALSE))),"")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0"/>
        <v>0</v>
      </c>
      <c r="T3046" s="98">
        <f t="shared" si="161"/>
        <v>0</v>
      </c>
      <c r="U3046" s="99" t="str">
        <f>IFERROR(IF(#REF!="S",VLOOKUP('Raw Data'!A3046,References!#REF!,2,FALSE),(VLOOKUP($S3046,References!$B$3:$C$8,2,FALSE))),"")</f>
        <v/>
      </c>
      <c r="W3046" s="66" t="str">
        <f>IFERROR(VLOOKUP($O3046,'Customer List'!$A$1:$J$488,10,FALSE),"")</f>
        <v/>
      </c>
    </row>
    <row r="3047" spans="18:23">
      <c r="R3047" s="97">
        <f t="shared" si="160"/>
        <v>0</v>
      </c>
      <c r="T3047" s="98">
        <f t="shared" si="161"/>
        <v>0</v>
      </c>
      <c r="U3047" s="99" t="str">
        <f>IFERROR(IF(#REF!="S",VLOOKUP('Raw Data'!A3047,References!#REF!,2,FALSE),(VLOOKUP($S3047,References!$B$3:$C$8,2,FALSE))),"")</f>
        <v/>
      </c>
      <c r="W3047" s="66" t="str">
        <f>IFERROR(VLOOKUP($O3047,'Customer List'!$A$1:$J$488,10,FALSE),"")</f>
        <v/>
      </c>
    </row>
    <row r="3048" spans="18:23">
      <c r="R3048" s="97">
        <f t="shared" ref="R3048:R3111" si="162">L3048-K3048</f>
        <v>0</v>
      </c>
      <c r="T3048" s="98">
        <f t="shared" si="161"/>
        <v>0</v>
      </c>
      <c r="U3048" s="99" t="str">
        <f>IFERROR(IF(#REF!="S",VLOOKUP('Raw Data'!A3048,References!#REF!,2,FALSE),(VLOOKUP($S3048,References!$B$3:$C$8,2,FALSE))),"")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2"/>
        <v>0</v>
      </c>
      <c r="T3049" s="98">
        <f t="shared" si="161"/>
        <v>0</v>
      </c>
      <c r="U3049" s="99" t="str">
        <f>IFERROR(IF(#REF!="S",VLOOKUP('Raw Data'!A3049,References!#REF!,2,FALSE),(VLOOKUP($S3049,References!$B$3:$C$8,2,FALSE))),"")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2"/>
        <v>0</v>
      </c>
      <c r="T3050" s="98">
        <f t="shared" si="161"/>
        <v>0</v>
      </c>
      <c r="U3050" s="99" t="str">
        <f>IFERROR(IF(#REF!="S",VLOOKUP('Raw Data'!A3050,References!#REF!,2,FALSE),(VLOOKUP($S3050,References!$B$3:$C$8,2,FALSE))),"")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2"/>
        <v>0</v>
      </c>
      <c r="T3051" s="98">
        <f t="shared" si="161"/>
        <v>0</v>
      </c>
      <c r="U3051" s="99" t="str">
        <f>IFERROR(IF(#REF!="S",VLOOKUP('Raw Data'!A3051,References!#REF!,2,FALSE),(VLOOKUP($S3051,References!$B$3:$C$8,2,FALSE))),"")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2"/>
        <v>0</v>
      </c>
      <c r="T3052" s="98">
        <f t="shared" si="161"/>
        <v>0</v>
      </c>
      <c r="U3052" s="99" t="str">
        <f>IFERROR(IF(#REF!="S",VLOOKUP('Raw Data'!A3052,References!#REF!,2,FALSE),(VLOOKUP($S3052,References!$B$3:$C$8,2,FALSE))),"")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2"/>
        <v>0</v>
      </c>
      <c r="T3053" s="98">
        <f t="shared" si="161"/>
        <v>0</v>
      </c>
      <c r="U3053" s="99" t="str">
        <f>IFERROR(IF(#REF!="S",VLOOKUP('Raw Data'!A3053,References!#REF!,2,FALSE),(VLOOKUP($S3053,References!$B$3:$C$8,2,FALSE))),"")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2"/>
        <v>0</v>
      </c>
      <c r="T3054" s="98">
        <f t="shared" si="161"/>
        <v>0</v>
      </c>
      <c r="U3054" s="99" t="str">
        <f>IFERROR(IF(#REF!="S",VLOOKUP('Raw Data'!A3054,References!#REF!,2,FALSE),(VLOOKUP($S3054,References!$B$3:$C$8,2,FALSE))),"")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2"/>
        <v>0</v>
      </c>
      <c r="T3055" s="98">
        <f t="shared" si="161"/>
        <v>0</v>
      </c>
      <c r="U3055" s="99" t="str">
        <f>IFERROR(IF(#REF!="S",VLOOKUP('Raw Data'!A3055,References!#REF!,2,FALSE),(VLOOKUP($S3055,References!$B$3:$C$8,2,FALSE))),"")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2"/>
        <v>0</v>
      </c>
      <c r="T3056" s="98">
        <f t="shared" si="161"/>
        <v>0</v>
      </c>
      <c r="U3056" s="99" t="str">
        <f>IFERROR(IF(#REF!="S",VLOOKUP('Raw Data'!A3056,References!#REF!,2,FALSE),(VLOOKUP($S3056,References!$B$3:$C$8,2,FALSE))),"")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2"/>
        <v>0</v>
      </c>
      <c r="T3057" s="98">
        <f t="shared" si="161"/>
        <v>0</v>
      </c>
      <c r="U3057" s="99" t="str">
        <f>IFERROR(IF(#REF!="S",VLOOKUP('Raw Data'!A3057,References!#REF!,2,FALSE),(VLOOKUP($S3057,References!$B$3:$C$8,2,FALSE))),"")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2"/>
        <v>0</v>
      </c>
      <c r="T3058" s="98">
        <f t="shared" si="161"/>
        <v>0</v>
      </c>
      <c r="U3058" s="99" t="str">
        <f>IFERROR(IF(#REF!="S",VLOOKUP('Raw Data'!A3058,References!#REF!,2,FALSE),(VLOOKUP($S3058,References!$B$3:$C$8,2,FALSE))),"")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2"/>
        <v>0</v>
      </c>
      <c r="T3059" s="98">
        <f t="shared" si="161"/>
        <v>0</v>
      </c>
      <c r="U3059" s="99" t="str">
        <f>IFERROR(IF(#REF!="S",VLOOKUP('Raw Data'!A3059,References!#REF!,2,FALSE),(VLOOKUP($S3059,References!$B$3:$C$8,2,FALSE))),"")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2"/>
        <v>0</v>
      </c>
      <c r="T3060" s="98">
        <f t="shared" si="161"/>
        <v>0</v>
      </c>
      <c r="U3060" s="99" t="str">
        <f>IFERROR(IF(#REF!="S",VLOOKUP('Raw Data'!A3060,References!#REF!,2,FALSE),(VLOOKUP($S3060,References!$B$3:$C$8,2,FALSE))),"")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2"/>
        <v>0</v>
      </c>
      <c r="T3061" s="98">
        <f t="shared" si="161"/>
        <v>0</v>
      </c>
      <c r="U3061" s="99" t="str">
        <f>IFERROR(IF(#REF!="S",VLOOKUP('Raw Data'!A3061,References!#REF!,2,FALSE),(VLOOKUP($S3061,References!$B$3:$C$8,2,FALSE))),"")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2"/>
        <v>0</v>
      </c>
      <c r="T3062" s="98">
        <f t="shared" si="161"/>
        <v>0</v>
      </c>
      <c r="U3062" s="99" t="str">
        <f>IFERROR(IF(#REF!="S",VLOOKUP('Raw Data'!A3062,References!#REF!,2,FALSE),(VLOOKUP($S3062,References!$B$3:$C$8,2,FALSE))),"")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2"/>
        <v>0</v>
      </c>
      <c r="T3063" s="98">
        <f t="shared" si="161"/>
        <v>0</v>
      </c>
      <c r="U3063" s="99" t="str">
        <f>IFERROR(IF(#REF!="S",VLOOKUP('Raw Data'!A3063,References!#REF!,2,FALSE),(VLOOKUP($S3063,References!$B$3:$C$8,2,FALSE))),"")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2"/>
        <v>0</v>
      </c>
      <c r="T3064" s="98">
        <f t="shared" si="161"/>
        <v>0</v>
      </c>
      <c r="U3064" s="99" t="str">
        <f>IFERROR(IF(#REF!="S",VLOOKUP('Raw Data'!A3064,References!#REF!,2,FALSE),(VLOOKUP($S3064,References!$B$3:$C$8,2,FALSE))),"")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2"/>
        <v>0</v>
      </c>
      <c r="T3065" s="98">
        <f t="shared" si="161"/>
        <v>0</v>
      </c>
      <c r="U3065" s="99" t="str">
        <f>IFERROR(IF(#REF!="S",VLOOKUP('Raw Data'!A3065,References!#REF!,2,FALSE),(VLOOKUP($S3065,References!$B$3:$C$8,2,FALSE))),"")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2"/>
        <v>0</v>
      </c>
      <c r="T3066" s="98">
        <f t="shared" si="161"/>
        <v>0</v>
      </c>
      <c r="U3066" s="99" t="str">
        <f>IFERROR(IF(#REF!="S",VLOOKUP('Raw Data'!A3066,References!#REF!,2,FALSE),(VLOOKUP($S3066,References!$B$3:$C$8,2,FALSE))),"")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2"/>
        <v>0</v>
      </c>
      <c r="T3067" s="98">
        <f t="shared" si="161"/>
        <v>0</v>
      </c>
      <c r="U3067" s="99" t="str">
        <f>IFERROR(IF(#REF!="S",VLOOKUP('Raw Data'!A3067,References!#REF!,2,FALSE),(VLOOKUP($S3067,References!$B$3:$C$8,2,FALSE))),"")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2"/>
        <v>0</v>
      </c>
      <c r="T3068" s="98">
        <f t="shared" si="161"/>
        <v>0</v>
      </c>
      <c r="U3068" s="99" t="str">
        <f>IFERROR(IF(#REF!="S",VLOOKUP('Raw Data'!A3068,References!#REF!,2,FALSE),(VLOOKUP($S3068,References!$B$3:$C$8,2,FALSE))),"")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2"/>
        <v>0</v>
      </c>
      <c r="T3069" s="98">
        <f t="shared" si="161"/>
        <v>0</v>
      </c>
      <c r="U3069" s="99" t="str">
        <f>IFERROR(IF(#REF!="S",VLOOKUP('Raw Data'!A3069,References!#REF!,2,FALSE),(VLOOKUP($S3069,References!$B$3:$C$8,2,FALSE))),"")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2"/>
        <v>0</v>
      </c>
      <c r="T3070" s="98">
        <f t="shared" si="161"/>
        <v>0</v>
      </c>
      <c r="U3070" s="99" t="str">
        <f>IFERROR(IF(#REF!="S",VLOOKUP('Raw Data'!A3070,References!#REF!,2,FALSE),(VLOOKUP($S3070,References!$B$3:$C$8,2,FALSE))),"")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2"/>
        <v>0</v>
      </c>
      <c r="T3071" s="98">
        <f t="shared" si="161"/>
        <v>0</v>
      </c>
      <c r="U3071" s="99" t="str">
        <f>IFERROR(IF(#REF!="S",VLOOKUP('Raw Data'!A3071,References!#REF!,2,FALSE),(VLOOKUP($S3071,References!$B$3:$C$8,2,FALSE))),"")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2"/>
        <v>0</v>
      </c>
      <c r="T3072" s="98">
        <f t="shared" si="161"/>
        <v>0</v>
      </c>
      <c r="U3072" s="99" t="str">
        <f>IFERROR(IF(#REF!="S",VLOOKUP('Raw Data'!A3072,References!#REF!,2,FALSE),(VLOOKUP($S3072,References!$B$3:$C$8,2,FALSE))),"")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2"/>
        <v>0</v>
      </c>
      <c r="T3073" s="98">
        <f t="shared" si="161"/>
        <v>0</v>
      </c>
      <c r="U3073" s="99" t="str">
        <f>IFERROR(IF(#REF!="S",VLOOKUP('Raw Data'!A3073,References!#REF!,2,FALSE),(VLOOKUP($S3073,References!$B$3:$C$8,2,FALSE))),"")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2"/>
        <v>0</v>
      </c>
      <c r="T3074" s="98">
        <f t="shared" si="161"/>
        <v>0</v>
      </c>
      <c r="U3074" s="99" t="str">
        <f>IFERROR(IF(#REF!="S",VLOOKUP('Raw Data'!A3074,References!#REF!,2,FALSE),(VLOOKUP($S3074,References!$B$3:$C$8,2,FALSE))),"")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2"/>
        <v>0</v>
      </c>
      <c r="T3075" s="98">
        <f t="shared" si="161"/>
        <v>0</v>
      </c>
      <c r="U3075" s="99" t="str">
        <f>IFERROR(IF(#REF!="S",VLOOKUP('Raw Data'!A3075,References!#REF!,2,FALSE),(VLOOKUP($S3075,References!$B$3:$C$8,2,FALSE))),"")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2"/>
        <v>0</v>
      </c>
      <c r="T3076" s="98">
        <f t="shared" si="161"/>
        <v>0</v>
      </c>
      <c r="U3076" s="99" t="str">
        <f>IFERROR(IF(#REF!="S",VLOOKUP('Raw Data'!A3076,References!#REF!,2,FALSE),(VLOOKUP($S3076,References!$B$3:$C$8,2,FALSE))),"")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2"/>
        <v>0</v>
      </c>
      <c r="T3077" s="98">
        <f t="shared" si="161"/>
        <v>0</v>
      </c>
      <c r="U3077" s="99" t="str">
        <f>IFERROR(IF(#REF!="S",VLOOKUP('Raw Data'!A3077,References!#REF!,2,FALSE),(VLOOKUP($S3077,References!$B$3:$C$8,2,FALSE))),"")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2"/>
        <v>0</v>
      </c>
      <c r="T3078" s="98">
        <f t="shared" si="161"/>
        <v>0</v>
      </c>
      <c r="U3078" s="99" t="str">
        <f>IFERROR(IF(#REF!="S",VLOOKUP('Raw Data'!A3078,References!#REF!,2,FALSE),(VLOOKUP($S3078,References!$B$3:$C$8,2,FALSE))),"")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2"/>
        <v>0</v>
      </c>
      <c r="T3079" s="98">
        <f t="shared" si="161"/>
        <v>0</v>
      </c>
      <c r="U3079" s="99" t="str">
        <f>IFERROR(IF(#REF!="S",VLOOKUP('Raw Data'!A3079,References!#REF!,2,FALSE),(VLOOKUP($S3079,References!$B$3:$C$8,2,FALSE))),"")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2"/>
        <v>0</v>
      </c>
      <c r="T3080" s="98">
        <f t="shared" si="161"/>
        <v>0</v>
      </c>
      <c r="U3080" s="99" t="str">
        <f>IFERROR(IF(#REF!="S",VLOOKUP('Raw Data'!A3080,References!#REF!,2,FALSE),(VLOOKUP($S3080,References!$B$3:$C$8,2,FALSE))),"")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2"/>
        <v>0</v>
      </c>
      <c r="T3081" s="98">
        <f t="shared" si="161"/>
        <v>0</v>
      </c>
      <c r="U3081" s="99" t="str">
        <f>IFERROR(IF(#REF!="S",VLOOKUP('Raw Data'!A3081,References!#REF!,2,FALSE),(VLOOKUP($S3081,References!$B$3:$C$8,2,FALSE))),"")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2"/>
        <v>0</v>
      </c>
      <c r="T3082" s="98">
        <f t="shared" si="161"/>
        <v>0</v>
      </c>
      <c r="U3082" s="99" t="str">
        <f>IFERROR(IF(#REF!="S",VLOOKUP('Raw Data'!A3082,References!#REF!,2,FALSE),(VLOOKUP($S3082,References!$B$3:$C$8,2,FALSE))),"")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2"/>
        <v>0</v>
      </c>
      <c r="T3083" s="98">
        <f t="shared" si="161"/>
        <v>0</v>
      </c>
      <c r="U3083" s="99" t="str">
        <f>IFERROR(IF(#REF!="S",VLOOKUP('Raw Data'!A3083,References!#REF!,2,FALSE),(VLOOKUP($S3083,References!$B$3:$C$8,2,FALSE))),"")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2"/>
        <v>0</v>
      </c>
      <c r="T3084" s="98">
        <f t="shared" si="161"/>
        <v>0</v>
      </c>
      <c r="U3084" s="99" t="str">
        <f>IFERROR(IF(#REF!="S",VLOOKUP('Raw Data'!A3084,References!#REF!,2,FALSE),(VLOOKUP($S3084,References!$B$3:$C$8,2,FALSE))),"")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2"/>
        <v>0</v>
      </c>
      <c r="T3085" s="98">
        <f t="shared" si="161"/>
        <v>0</v>
      </c>
      <c r="U3085" s="99" t="str">
        <f>IFERROR(IF(#REF!="S",VLOOKUP('Raw Data'!A3085,References!#REF!,2,FALSE),(VLOOKUP($S3085,References!$B$3:$C$8,2,FALSE))),"")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2"/>
        <v>0</v>
      </c>
      <c r="T3086" s="98">
        <f t="shared" si="161"/>
        <v>0</v>
      </c>
      <c r="U3086" s="99" t="str">
        <f>IFERROR(IF(#REF!="S",VLOOKUP('Raw Data'!A3086,References!#REF!,2,FALSE),(VLOOKUP($S3086,References!$B$3:$C$8,2,FALSE))),"")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2"/>
        <v>0</v>
      </c>
      <c r="T3087" s="98">
        <f t="shared" si="161"/>
        <v>0</v>
      </c>
      <c r="U3087" s="99" t="str">
        <f>IFERROR(IF(#REF!="S",VLOOKUP('Raw Data'!A3087,References!#REF!,2,FALSE),(VLOOKUP($S3087,References!$B$3:$C$8,2,FALSE))),"")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2"/>
        <v>0</v>
      </c>
      <c r="T3088" s="98">
        <f t="shared" ref="T3088:T3151" si="163">IF(S3088="50 - Cleaning Fee",1,HOUR($R3088)+MINUTE(R3088)/60)</f>
        <v>0</v>
      </c>
      <c r="U3088" s="99" t="str">
        <f>IFERROR(IF(#REF!="S",VLOOKUP('Raw Data'!A3088,References!#REF!,2,FALSE),(VLOOKUP($S3088,References!$B$3:$C$8,2,FALSE))),"")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2"/>
        <v>0</v>
      </c>
      <c r="T3089" s="98">
        <f t="shared" si="163"/>
        <v>0</v>
      </c>
      <c r="U3089" s="99" t="str">
        <f>IFERROR(IF(#REF!="S",VLOOKUP('Raw Data'!A3089,References!#REF!,2,FALSE),(VLOOKUP($S3089,References!$B$3:$C$8,2,FALSE))),"")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2"/>
        <v>0</v>
      </c>
      <c r="T3090" s="98">
        <f t="shared" si="163"/>
        <v>0</v>
      </c>
      <c r="U3090" s="99" t="str">
        <f>IFERROR(IF(#REF!="S",VLOOKUP('Raw Data'!A3090,References!#REF!,2,FALSE),(VLOOKUP($S3090,References!$B$3:$C$8,2,FALSE))),"")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2"/>
        <v>0</v>
      </c>
      <c r="T3091" s="98">
        <f t="shared" si="163"/>
        <v>0</v>
      </c>
      <c r="U3091" s="99" t="str">
        <f>IFERROR(IF(#REF!="S",VLOOKUP('Raw Data'!A3091,References!#REF!,2,FALSE),(VLOOKUP($S3091,References!$B$3:$C$8,2,FALSE))),"")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2"/>
        <v>0</v>
      </c>
      <c r="T3092" s="98">
        <f t="shared" si="163"/>
        <v>0</v>
      </c>
      <c r="U3092" s="99" t="str">
        <f>IFERROR(IF(#REF!="S",VLOOKUP('Raw Data'!A3092,References!#REF!,2,FALSE),(VLOOKUP($S3092,References!$B$3:$C$8,2,FALSE))),"")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2"/>
        <v>0</v>
      </c>
      <c r="T3093" s="98">
        <f t="shared" si="163"/>
        <v>0</v>
      </c>
      <c r="U3093" s="99" t="str">
        <f>IFERROR(IF(#REF!="S",VLOOKUP('Raw Data'!A3093,References!#REF!,2,FALSE),(VLOOKUP($S3093,References!$B$3:$C$8,2,FALSE))),"")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2"/>
        <v>0</v>
      </c>
      <c r="T3094" s="98">
        <f t="shared" si="163"/>
        <v>0</v>
      </c>
      <c r="U3094" s="99" t="str">
        <f>IFERROR(IF(#REF!="S",VLOOKUP('Raw Data'!A3094,References!#REF!,2,FALSE),(VLOOKUP($S3094,References!$B$3:$C$8,2,FALSE))),"")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2"/>
        <v>0</v>
      </c>
      <c r="T3095" s="98">
        <f t="shared" si="163"/>
        <v>0</v>
      </c>
      <c r="U3095" s="99" t="str">
        <f>IFERROR(IF(#REF!="S",VLOOKUP('Raw Data'!A3095,References!#REF!,2,FALSE),(VLOOKUP($S3095,References!$B$3:$C$8,2,FALSE))),"")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2"/>
        <v>0</v>
      </c>
      <c r="T3096" s="98">
        <f t="shared" si="163"/>
        <v>0</v>
      </c>
      <c r="U3096" s="99" t="str">
        <f>IFERROR(IF(#REF!="S",VLOOKUP('Raw Data'!A3096,References!#REF!,2,FALSE),(VLOOKUP($S3096,References!$B$3:$C$8,2,FALSE))),"")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2"/>
        <v>0</v>
      </c>
      <c r="T3097" s="98">
        <f t="shared" si="163"/>
        <v>0</v>
      </c>
      <c r="U3097" s="99" t="str">
        <f>IFERROR(IF(#REF!="S",VLOOKUP('Raw Data'!A3097,References!#REF!,2,FALSE),(VLOOKUP($S3097,References!$B$3:$C$8,2,FALSE))),"")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2"/>
        <v>0</v>
      </c>
      <c r="T3098" s="98">
        <f t="shared" si="163"/>
        <v>0</v>
      </c>
      <c r="U3098" s="99" t="str">
        <f>IFERROR(IF(#REF!="S",VLOOKUP('Raw Data'!A3098,References!#REF!,2,FALSE),(VLOOKUP($S3098,References!$B$3:$C$8,2,FALSE))),"")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2"/>
        <v>0</v>
      </c>
      <c r="T3099" s="98">
        <f t="shared" si="163"/>
        <v>0</v>
      </c>
      <c r="U3099" s="99" t="str">
        <f>IFERROR(IF(#REF!="S",VLOOKUP('Raw Data'!A3099,References!#REF!,2,FALSE),(VLOOKUP($S3099,References!$B$3:$C$8,2,FALSE))),"")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2"/>
        <v>0</v>
      </c>
      <c r="T3100" s="98">
        <f t="shared" si="163"/>
        <v>0</v>
      </c>
      <c r="U3100" s="99" t="str">
        <f>IFERROR(IF(#REF!="S",VLOOKUP('Raw Data'!A3100,References!#REF!,2,FALSE),(VLOOKUP($S3100,References!$B$3:$C$8,2,FALSE))),"")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2"/>
        <v>0</v>
      </c>
      <c r="T3101" s="98">
        <f t="shared" si="163"/>
        <v>0</v>
      </c>
      <c r="U3101" s="99" t="str">
        <f>IFERROR(IF(#REF!="S",VLOOKUP('Raw Data'!A3101,References!#REF!,2,FALSE),(VLOOKUP($S3101,References!$B$3:$C$8,2,FALSE))),"")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2"/>
        <v>0</v>
      </c>
      <c r="T3102" s="98">
        <f t="shared" si="163"/>
        <v>0</v>
      </c>
      <c r="U3102" s="99" t="str">
        <f>IFERROR(IF(#REF!="S",VLOOKUP('Raw Data'!A3102,References!#REF!,2,FALSE),(VLOOKUP($S3102,References!$B$3:$C$8,2,FALSE))),"")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2"/>
        <v>0</v>
      </c>
      <c r="T3103" s="98">
        <f t="shared" si="163"/>
        <v>0</v>
      </c>
      <c r="U3103" s="99" t="str">
        <f>IFERROR(IF(#REF!="S",VLOOKUP('Raw Data'!A3103,References!#REF!,2,FALSE),(VLOOKUP($S3103,References!$B$3:$C$8,2,FALSE))),"")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2"/>
        <v>0</v>
      </c>
      <c r="T3104" s="98">
        <f t="shared" si="163"/>
        <v>0</v>
      </c>
      <c r="U3104" s="99" t="str">
        <f>IFERROR(IF(#REF!="S",VLOOKUP('Raw Data'!A3104,References!#REF!,2,FALSE),(VLOOKUP($S3104,References!$B$3:$C$8,2,FALSE))),"")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2"/>
        <v>0</v>
      </c>
      <c r="T3105" s="98">
        <f t="shared" si="163"/>
        <v>0</v>
      </c>
      <c r="U3105" s="99" t="str">
        <f>IFERROR(IF(#REF!="S",VLOOKUP('Raw Data'!A3105,References!#REF!,2,FALSE),(VLOOKUP($S3105,References!$B$3:$C$8,2,FALSE))),"")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2"/>
        <v>0</v>
      </c>
      <c r="T3106" s="98">
        <f t="shared" si="163"/>
        <v>0</v>
      </c>
      <c r="U3106" s="99" t="str">
        <f>IFERROR(IF(#REF!="S",VLOOKUP('Raw Data'!A3106,References!#REF!,2,FALSE),(VLOOKUP($S3106,References!$B$3:$C$8,2,FALSE))),"")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2"/>
        <v>0</v>
      </c>
      <c r="T3107" s="98">
        <f t="shared" si="163"/>
        <v>0</v>
      </c>
      <c r="U3107" s="99" t="str">
        <f>IFERROR(IF(#REF!="S",VLOOKUP('Raw Data'!A3107,References!#REF!,2,FALSE),(VLOOKUP($S3107,References!$B$3:$C$8,2,FALSE))),"")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2"/>
        <v>0</v>
      </c>
      <c r="T3108" s="98">
        <f t="shared" si="163"/>
        <v>0</v>
      </c>
      <c r="U3108" s="99" t="str">
        <f>IFERROR(IF(#REF!="S",VLOOKUP('Raw Data'!A3108,References!#REF!,2,FALSE),(VLOOKUP($S3108,References!$B$3:$C$8,2,FALSE))),"")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2"/>
        <v>0</v>
      </c>
      <c r="T3109" s="98">
        <f t="shared" si="163"/>
        <v>0</v>
      </c>
      <c r="U3109" s="99" t="str">
        <f>IFERROR(IF(#REF!="S",VLOOKUP('Raw Data'!A3109,References!#REF!,2,FALSE),(VLOOKUP($S3109,References!$B$3:$C$8,2,FALSE))),"")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2"/>
        <v>0</v>
      </c>
      <c r="T3110" s="98">
        <f t="shared" si="163"/>
        <v>0</v>
      </c>
      <c r="U3110" s="99" t="str">
        <f>IFERROR(IF(#REF!="S",VLOOKUP('Raw Data'!A3110,References!#REF!,2,FALSE),(VLOOKUP($S3110,References!$B$3:$C$8,2,FALSE))),"")</f>
        <v/>
      </c>
      <c r="W3110" s="66" t="str">
        <f>IFERROR(VLOOKUP($O3110,'Customer List'!$A$1:$J$488,10,FALSE),"")</f>
        <v/>
      </c>
    </row>
    <row r="3111" spans="18:23">
      <c r="R3111" s="97">
        <f t="shared" si="162"/>
        <v>0</v>
      </c>
      <c r="T3111" s="98">
        <f t="shared" si="163"/>
        <v>0</v>
      </c>
      <c r="U3111" s="99" t="str">
        <f>IFERROR(IF(#REF!="S",VLOOKUP('Raw Data'!A3111,References!#REF!,2,FALSE),(VLOOKUP($S3111,References!$B$3:$C$8,2,FALSE))),"")</f>
        <v/>
      </c>
      <c r="W3111" s="66" t="str">
        <f>IFERROR(VLOOKUP($O3111,'Customer List'!$A$1:$J$488,10,FALSE),"")</f>
        <v/>
      </c>
    </row>
    <row r="3112" spans="18:23">
      <c r="R3112" s="97">
        <f t="shared" ref="R3112:R3175" si="164">L3112-K3112</f>
        <v>0</v>
      </c>
      <c r="T3112" s="98">
        <f t="shared" si="163"/>
        <v>0</v>
      </c>
      <c r="U3112" s="99" t="str">
        <f>IFERROR(IF(#REF!="S",VLOOKUP('Raw Data'!A3112,References!#REF!,2,FALSE),(VLOOKUP($S3112,References!$B$3:$C$8,2,FALSE))),"")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4"/>
        <v>0</v>
      </c>
      <c r="T3113" s="98">
        <f t="shared" si="163"/>
        <v>0</v>
      </c>
      <c r="U3113" s="99" t="str">
        <f>IFERROR(IF(#REF!="S",VLOOKUP('Raw Data'!A3113,References!#REF!,2,FALSE),(VLOOKUP($S3113,References!$B$3:$C$8,2,FALSE))),"")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4"/>
        <v>0</v>
      </c>
      <c r="T3114" s="98">
        <f t="shared" si="163"/>
        <v>0</v>
      </c>
      <c r="U3114" s="99" t="str">
        <f>IFERROR(IF(#REF!="S",VLOOKUP('Raw Data'!A3114,References!#REF!,2,FALSE),(VLOOKUP($S3114,References!$B$3:$C$8,2,FALSE))),"")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4"/>
        <v>0</v>
      </c>
      <c r="T3115" s="98">
        <f t="shared" si="163"/>
        <v>0</v>
      </c>
      <c r="U3115" s="99" t="str">
        <f>IFERROR(IF(#REF!="S",VLOOKUP('Raw Data'!A3115,References!#REF!,2,FALSE),(VLOOKUP($S3115,References!$B$3:$C$8,2,FALSE))),"")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4"/>
        <v>0</v>
      </c>
      <c r="T3116" s="98">
        <f t="shared" si="163"/>
        <v>0</v>
      </c>
      <c r="U3116" s="99" t="str">
        <f>IFERROR(IF(#REF!="S",VLOOKUP('Raw Data'!A3116,References!#REF!,2,FALSE),(VLOOKUP($S3116,References!$B$3:$C$8,2,FALSE))),"")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4"/>
        <v>0</v>
      </c>
      <c r="T3117" s="98">
        <f t="shared" si="163"/>
        <v>0</v>
      </c>
      <c r="U3117" s="99" t="str">
        <f>IFERROR(IF(#REF!="S",VLOOKUP('Raw Data'!A3117,References!#REF!,2,FALSE),(VLOOKUP($S3117,References!$B$3:$C$8,2,FALSE))),"")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4"/>
        <v>0</v>
      </c>
      <c r="T3118" s="98">
        <f t="shared" si="163"/>
        <v>0</v>
      </c>
      <c r="U3118" s="99" t="str">
        <f>IFERROR(IF(#REF!="S",VLOOKUP('Raw Data'!A3118,References!#REF!,2,FALSE),(VLOOKUP($S3118,References!$B$3:$C$8,2,FALSE))),"")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4"/>
        <v>0</v>
      </c>
      <c r="T3119" s="98">
        <f t="shared" si="163"/>
        <v>0</v>
      </c>
      <c r="U3119" s="99" t="str">
        <f>IFERROR(IF(#REF!="S",VLOOKUP('Raw Data'!A3119,References!#REF!,2,FALSE),(VLOOKUP($S3119,References!$B$3:$C$8,2,FALSE))),"")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4"/>
        <v>0</v>
      </c>
      <c r="T3120" s="98">
        <f t="shared" si="163"/>
        <v>0</v>
      </c>
      <c r="U3120" s="99" t="str">
        <f>IFERROR(IF(#REF!="S",VLOOKUP('Raw Data'!A3120,References!#REF!,2,FALSE),(VLOOKUP($S3120,References!$B$3:$C$8,2,FALSE))),"")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4"/>
        <v>0</v>
      </c>
      <c r="T3121" s="98">
        <f t="shared" si="163"/>
        <v>0</v>
      </c>
      <c r="U3121" s="99" t="str">
        <f>IFERROR(IF(#REF!="S",VLOOKUP('Raw Data'!A3121,References!#REF!,2,FALSE),(VLOOKUP($S3121,References!$B$3:$C$8,2,FALSE))),"")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4"/>
        <v>0</v>
      </c>
      <c r="T3122" s="98">
        <f t="shared" si="163"/>
        <v>0</v>
      </c>
      <c r="U3122" s="99" t="str">
        <f>IFERROR(IF(#REF!="S",VLOOKUP('Raw Data'!A3122,References!#REF!,2,FALSE),(VLOOKUP($S3122,References!$B$3:$C$8,2,FALSE))),"")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4"/>
        <v>0</v>
      </c>
      <c r="T3123" s="98">
        <f t="shared" si="163"/>
        <v>0</v>
      </c>
      <c r="U3123" s="99" t="str">
        <f>IFERROR(IF(#REF!="S",VLOOKUP('Raw Data'!A3123,References!#REF!,2,FALSE),(VLOOKUP($S3123,References!$B$3:$C$8,2,FALSE))),"")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4"/>
        <v>0</v>
      </c>
      <c r="T3124" s="98">
        <f t="shared" si="163"/>
        <v>0</v>
      </c>
      <c r="U3124" s="99" t="str">
        <f>IFERROR(IF(#REF!="S",VLOOKUP('Raw Data'!A3124,References!#REF!,2,FALSE),(VLOOKUP($S3124,References!$B$3:$C$8,2,FALSE))),"")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4"/>
        <v>0</v>
      </c>
      <c r="T3125" s="98">
        <f t="shared" si="163"/>
        <v>0</v>
      </c>
      <c r="U3125" s="99" t="str">
        <f>IFERROR(IF(#REF!="S",VLOOKUP('Raw Data'!A3125,References!#REF!,2,FALSE),(VLOOKUP($S3125,References!$B$3:$C$8,2,FALSE))),"")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4"/>
        <v>0</v>
      </c>
      <c r="T3126" s="98">
        <f t="shared" si="163"/>
        <v>0</v>
      </c>
      <c r="U3126" s="99" t="str">
        <f>IFERROR(IF(#REF!="S",VLOOKUP('Raw Data'!A3126,References!#REF!,2,FALSE),(VLOOKUP($S3126,References!$B$3:$C$8,2,FALSE))),"")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4"/>
        <v>0</v>
      </c>
      <c r="T3127" s="98">
        <f t="shared" si="163"/>
        <v>0</v>
      </c>
      <c r="U3127" s="99" t="str">
        <f>IFERROR(IF(#REF!="S",VLOOKUP('Raw Data'!A3127,References!#REF!,2,FALSE),(VLOOKUP($S3127,References!$B$3:$C$8,2,FALSE))),"")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4"/>
        <v>0</v>
      </c>
      <c r="T3128" s="98">
        <f t="shared" si="163"/>
        <v>0</v>
      </c>
      <c r="U3128" s="99" t="str">
        <f>IFERROR(IF(#REF!="S",VLOOKUP('Raw Data'!A3128,References!#REF!,2,FALSE),(VLOOKUP($S3128,References!$B$3:$C$8,2,FALSE))),"")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4"/>
        <v>0</v>
      </c>
      <c r="T3129" s="98">
        <f t="shared" si="163"/>
        <v>0</v>
      </c>
      <c r="U3129" s="99" t="str">
        <f>IFERROR(IF(#REF!="S",VLOOKUP('Raw Data'!A3129,References!#REF!,2,FALSE),(VLOOKUP($S3129,References!$B$3:$C$8,2,FALSE))),"")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4"/>
        <v>0</v>
      </c>
      <c r="T3130" s="98">
        <f t="shared" si="163"/>
        <v>0</v>
      </c>
      <c r="U3130" s="99" t="str">
        <f>IFERROR(IF(#REF!="S",VLOOKUP('Raw Data'!A3130,References!#REF!,2,FALSE),(VLOOKUP($S3130,References!$B$3:$C$8,2,FALSE))),"")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4"/>
        <v>0</v>
      </c>
      <c r="T3131" s="98">
        <f t="shared" si="163"/>
        <v>0</v>
      </c>
      <c r="U3131" s="99" t="str">
        <f>IFERROR(IF(#REF!="S",VLOOKUP('Raw Data'!A3131,References!#REF!,2,FALSE),(VLOOKUP($S3131,References!$B$3:$C$8,2,FALSE))),"")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4"/>
        <v>0</v>
      </c>
      <c r="T3132" s="98">
        <f t="shared" si="163"/>
        <v>0</v>
      </c>
      <c r="U3132" s="99" t="str">
        <f>IFERROR(IF(#REF!="S",VLOOKUP('Raw Data'!A3132,References!#REF!,2,FALSE),(VLOOKUP($S3132,References!$B$3:$C$8,2,FALSE))),"")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4"/>
        <v>0</v>
      </c>
      <c r="T3133" s="98">
        <f t="shared" si="163"/>
        <v>0</v>
      </c>
      <c r="U3133" s="99" t="str">
        <f>IFERROR(IF(#REF!="S",VLOOKUP('Raw Data'!A3133,References!#REF!,2,FALSE),(VLOOKUP($S3133,References!$B$3:$C$8,2,FALSE))),"")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4"/>
        <v>0</v>
      </c>
      <c r="T3134" s="98">
        <f t="shared" si="163"/>
        <v>0</v>
      </c>
      <c r="U3134" s="99" t="str">
        <f>IFERROR(IF(#REF!="S",VLOOKUP('Raw Data'!A3134,References!#REF!,2,FALSE),(VLOOKUP($S3134,References!$B$3:$C$8,2,FALSE))),"")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4"/>
        <v>0</v>
      </c>
      <c r="T3135" s="98">
        <f t="shared" si="163"/>
        <v>0</v>
      </c>
      <c r="U3135" s="99" t="str">
        <f>IFERROR(IF(#REF!="S",VLOOKUP('Raw Data'!A3135,References!#REF!,2,FALSE),(VLOOKUP($S3135,References!$B$3:$C$8,2,FALSE))),"")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4"/>
        <v>0</v>
      </c>
      <c r="T3136" s="98">
        <f t="shared" si="163"/>
        <v>0</v>
      </c>
      <c r="U3136" s="99" t="str">
        <f>IFERROR(IF(#REF!="S",VLOOKUP('Raw Data'!A3136,References!#REF!,2,FALSE),(VLOOKUP($S3136,References!$B$3:$C$8,2,FALSE))),"")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4"/>
        <v>0</v>
      </c>
      <c r="T3137" s="98">
        <f t="shared" si="163"/>
        <v>0</v>
      </c>
      <c r="U3137" s="99" t="str">
        <f>IFERROR(IF(#REF!="S",VLOOKUP('Raw Data'!A3137,References!#REF!,2,FALSE),(VLOOKUP($S3137,References!$B$3:$C$8,2,FALSE))),"")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4"/>
        <v>0</v>
      </c>
      <c r="T3138" s="98">
        <f t="shared" si="163"/>
        <v>0</v>
      </c>
      <c r="U3138" s="99" t="str">
        <f>IFERROR(IF(#REF!="S",VLOOKUP('Raw Data'!A3138,References!#REF!,2,FALSE),(VLOOKUP($S3138,References!$B$3:$C$8,2,FALSE))),"")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4"/>
        <v>0</v>
      </c>
      <c r="T3139" s="98">
        <f t="shared" si="163"/>
        <v>0</v>
      </c>
      <c r="U3139" s="99" t="str">
        <f>IFERROR(IF(#REF!="S",VLOOKUP('Raw Data'!A3139,References!#REF!,2,FALSE),(VLOOKUP($S3139,References!$B$3:$C$8,2,FALSE))),"")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4"/>
        <v>0</v>
      </c>
      <c r="T3140" s="98">
        <f t="shared" si="163"/>
        <v>0</v>
      </c>
      <c r="U3140" s="99" t="str">
        <f>IFERROR(IF(#REF!="S",VLOOKUP('Raw Data'!A3140,References!#REF!,2,FALSE),(VLOOKUP($S3140,References!$B$3:$C$8,2,FALSE))),"")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4"/>
        <v>0</v>
      </c>
      <c r="T3141" s="98">
        <f t="shared" si="163"/>
        <v>0</v>
      </c>
      <c r="U3141" s="99" t="str">
        <f>IFERROR(IF(#REF!="S",VLOOKUP('Raw Data'!A3141,References!#REF!,2,FALSE),(VLOOKUP($S3141,References!$B$3:$C$8,2,FALSE))),"")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4"/>
        <v>0</v>
      </c>
      <c r="T3142" s="98">
        <f t="shared" si="163"/>
        <v>0</v>
      </c>
      <c r="U3142" s="99" t="str">
        <f>IFERROR(IF(#REF!="S",VLOOKUP('Raw Data'!A3142,References!#REF!,2,FALSE),(VLOOKUP($S3142,References!$B$3:$C$8,2,FALSE))),"")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4"/>
        <v>0</v>
      </c>
      <c r="T3143" s="98">
        <f t="shared" si="163"/>
        <v>0</v>
      </c>
      <c r="U3143" s="99" t="str">
        <f>IFERROR(IF(#REF!="S",VLOOKUP('Raw Data'!A3143,References!#REF!,2,FALSE),(VLOOKUP($S3143,References!$B$3:$C$8,2,FALSE))),"")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4"/>
        <v>0</v>
      </c>
      <c r="T3144" s="98">
        <f t="shared" si="163"/>
        <v>0</v>
      </c>
      <c r="U3144" s="99" t="str">
        <f>IFERROR(IF(#REF!="S",VLOOKUP('Raw Data'!A3144,References!#REF!,2,FALSE),(VLOOKUP($S3144,References!$B$3:$C$8,2,FALSE))),"")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4"/>
        <v>0</v>
      </c>
      <c r="T3145" s="98">
        <f t="shared" si="163"/>
        <v>0</v>
      </c>
      <c r="U3145" s="99" t="str">
        <f>IFERROR(IF(#REF!="S",VLOOKUP('Raw Data'!A3145,References!#REF!,2,FALSE),(VLOOKUP($S3145,References!$B$3:$C$8,2,FALSE))),"")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4"/>
        <v>0</v>
      </c>
      <c r="T3146" s="98">
        <f t="shared" si="163"/>
        <v>0</v>
      </c>
      <c r="U3146" s="99" t="str">
        <f>IFERROR(IF(#REF!="S",VLOOKUP('Raw Data'!A3146,References!#REF!,2,FALSE),(VLOOKUP($S3146,References!$B$3:$C$8,2,FALSE))),"")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4"/>
        <v>0</v>
      </c>
      <c r="T3147" s="98">
        <f t="shared" si="163"/>
        <v>0</v>
      </c>
      <c r="U3147" s="99" t="str">
        <f>IFERROR(IF(#REF!="S",VLOOKUP('Raw Data'!A3147,References!#REF!,2,FALSE),(VLOOKUP($S3147,References!$B$3:$C$8,2,FALSE))),"")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4"/>
        <v>0</v>
      </c>
      <c r="T3148" s="98">
        <f t="shared" si="163"/>
        <v>0</v>
      </c>
      <c r="U3148" s="99" t="str">
        <f>IFERROR(IF(#REF!="S",VLOOKUP('Raw Data'!A3148,References!#REF!,2,FALSE),(VLOOKUP($S3148,References!$B$3:$C$8,2,FALSE))),"")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4"/>
        <v>0</v>
      </c>
      <c r="T3149" s="98">
        <f t="shared" si="163"/>
        <v>0</v>
      </c>
      <c r="U3149" s="99" t="str">
        <f>IFERROR(IF(#REF!="S",VLOOKUP('Raw Data'!A3149,References!#REF!,2,FALSE),(VLOOKUP($S3149,References!$B$3:$C$8,2,FALSE))),"")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4"/>
        <v>0</v>
      </c>
      <c r="T3150" s="98">
        <f t="shared" si="163"/>
        <v>0</v>
      </c>
      <c r="U3150" s="99" t="str">
        <f>IFERROR(IF(#REF!="S",VLOOKUP('Raw Data'!A3150,References!#REF!,2,FALSE),(VLOOKUP($S3150,References!$B$3:$C$8,2,FALSE))),"")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4"/>
        <v>0</v>
      </c>
      <c r="T3151" s="98">
        <f t="shared" si="163"/>
        <v>0</v>
      </c>
      <c r="U3151" s="99" t="str">
        <f>IFERROR(IF(#REF!="S",VLOOKUP('Raw Data'!A3151,References!#REF!,2,FALSE),(VLOOKUP($S3151,References!$B$3:$C$8,2,FALSE))),"")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4"/>
        <v>0</v>
      </c>
      <c r="T3152" s="98">
        <f t="shared" ref="T3152:T3215" si="165">IF(S3152="50 - Cleaning Fee",1,HOUR($R3152)+MINUTE(R3152)/60)</f>
        <v>0</v>
      </c>
      <c r="U3152" s="99" t="str">
        <f>IFERROR(IF(#REF!="S",VLOOKUP('Raw Data'!A3152,References!#REF!,2,FALSE),(VLOOKUP($S3152,References!$B$3:$C$8,2,FALSE))),"")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4"/>
        <v>0</v>
      </c>
      <c r="T3153" s="98">
        <f t="shared" si="165"/>
        <v>0</v>
      </c>
      <c r="U3153" s="99" t="str">
        <f>IFERROR(IF(#REF!="S",VLOOKUP('Raw Data'!A3153,References!#REF!,2,FALSE),(VLOOKUP($S3153,References!$B$3:$C$8,2,FALSE))),"")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4"/>
        <v>0</v>
      </c>
      <c r="T3154" s="98">
        <f t="shared" si="165"/>
        <v>0</v>
      </c>
      <c r="U3154" s="99" t="str">
        <f>IFERROR(IF(#REF!="S",VLOOKUP('Raw Data'!A3154,References!#REF!,2,FALSE),(VLOOKUP($S3154,References!$B$3:$C$8,2,FALSE))),"")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4"/>
        <v>0</v>
      </c>
      <c r="T3155" s="98">
        <f t="shared" si="165"/>
        <v>0</v>
      </c>
      <c r="U3155" s="99" t="str">
        <f>IFERROR(IF(#REF!="S",VLOOKUP('Raw Data'!A3155,References!#REF!,2,FALSE),(VLOOKUP($S3155,References!$B$3:$C$8,2,FALSE))),"")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4"/>
        <v>0</v>
      </c>
      <c r="T3156" s="98">
        <f t="shared" si="165"/>
        <v>0</v>
      </c>
      <c r="U3156" s="99" t="str">
        <f>IFERROR(IF(#REF!="S",VLOOKUP('Raw Data'!A3156,References!#REF!,2,FALSE),(VLOOKUP($S3156,References!$B$3:$C$8,2,FALSE))),"")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4"/>
        <v>0</v>
      </c>
      <c r="T3157" s="98">
        <f t="shared" si="165"/>
        <v>0</v>
      </c>
      <c r="U3157" s="99" t="str">
        <f>IFERROR(IF(#REF!="S",VLOOKUP('Raw Data'!A3157,References!#REF!,2,FALSE),(VLOOKUP($S3157,References!$B$3:$C$8,2,FALSE))),"")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4"/>
        <v>0</v>
      </c>
      <c r="T3158" s="98">
        <f t="shared" si="165"/>
        <v>0</v>
      </c>
      <c r="U3158" s="99" t="str">
        <f>IFERROR(IF(#REF!="S",VLOOKUP('Raw Data'!A3158,References!#REF!,2,FALSE),(VLOOKUP($S3158,References!$B$3:$C$8,2,FALSE))),"")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4"/>
        <v>0</v>
      </c>
      <c r="T3159" s="98">
        <f t="shared" si="165"/>
        <v>0</v>
      </c>
      <c r="U3159" s="99" t="str">
        <f>IFERROR(IF(#REF!="S",VLOOKUP('Raw Data'!A3159,References!#REF!,2,FALSE),(VLOOKUP($S3159,References!$B$3:$C$8,2,FALSE))),"")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4"/>
        <v>0</v>
      </c>
      <c r="T3160" s="98">
        <f t="shared" si="165"/>
        <v>0</v>
      </c>
      <c r="U3160" s="99" t="str">
        <f>IFERROR(IF(#REF!="S",VLOOKUP('Raw Data'!A3160,References!#REF!,2,FALSE),(VLOOKUP($S3160,References!$B$3:$C$8,2,FALSE))),"")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4"/>
        <v>0</v>
      </c>
      <c r="T3161" s="98">
        <f t="shared" si="165"/>
        <v>0</v>
      </c>
      <c r="U3161" s="99" t="str">
        <f>IFERROR(IF(#REF!="S",VLOOKUP('Raw Data'!A3161,References!#REF!,2,FALSE),(VLOOKUP($S3161,References!$B$3:$C$8,2,FALSE))),"")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4"/>
        <v>0</v>
      </c>
      <c r="T3162" s="98">
        <f t="shared" si="165"/>
        <v>0</v>
      </c>
      <c r="U3162" s="99" t="str">
        <f>IFERROR(IF(#REF!="S",VLOOKUP('Raw Data'!A3162,References!#REF!,2,FALSE),(VLOOKUP($S3162,References!$B$3:$C$8,2,FALSE))),"")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4"/>
        <v>0</v>
      </c>
      <c r="T3163" s="98">
        <f t="shared" si="165"/>
        <v>0</v>
      </c>
      <c r="U3163" s="99" t="str">
        <f>IFERROR(IF(#REF!="S",VLOOKUP('Raw Data'!A3163,References!#REF!,2,FALSE),(VLOOKUP($S3163,References!$B$3:$C$8,2,FALSE))),"")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4"/>
        <v>0</v>
      </c>
      <c r="T3164" s="98">
        <f t="shared" si="165"/>
        <v>0</v>
      </c>
      <c r="U3164" s="99" t="str">
        <f>IFERROR(IF(#REF!="S",VLOOKUP('Raw Data'!A3164,References!#REF!,2,FALSE),(VLOOKUP($S3164,References!$B$3:$C$8,2,FALSE))),"")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4"/>
        <v>0</v>
      </c>
      <c r="T3165" s="98">
        <f t="shared" si="165"/>
        <v>0</v>
      </c>
      <c r="U3165" s="99" t="str">
        <f>IFERROR(IF(#REF!="S",VLOOKUP('Raw Data'!A3165,References!#REF!,2,FALSE),(VLOOKUP($S3165,References!$B$3:$C$8,2,FALSE))),"")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4"/>
        <v>0</v>
      </c>
      <c r="T3166" s="98">
        <f t="shared" si="165"/>
        <v>0</v>
      </c>
      <c r="U3166" s="99" t="str">
        <f>IFERROR(IF(#REF!="S",VLOOKUP('Raw Data'!A3166,References!#REF!,2,FALSE),(VLOOKUP($S3166,References!$B$3:$C$8,2,FALSE))),"")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4"/>
        <v>0</v>
      </c>
      <c r="T3167" s="98">
        <f t="shared" si="165"/>
        <v>0</v>
      </c>
      <c r="U3167" s="99" t="str">
        <f>IFERROR(IF(#REF!="S",VLOOKUP('Raw Data'!A3167,References!#REF!,2,FALSE),(VLOOKUP($S3167,References!$B$3:$C$8,2,FALSE))),"")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4"/>
        <v>0</v>
      </c>
      <c r="T3168" s="98">
        <f t="shared" si="165"/>
        <v>0</v>
      </c>
      <c r="U3168" s="99" t="str">
        <f>IFERROR(IF(#REF!="S",VLOOKUP('Raw Data'!A3168,References!#REF!,2,FALSE),(VLOOKUP($S3168,References!$B$3:$C$8,2,FALSE))),"")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4"/>
        <v>0</v>
      </c>
      <c r="T3169" s="98">
        <f t="shared" si="165"/>
        <v>0</v>
      </c>
      <c r="U3169" s="99" t="str">
        <f>IFERROR(IF(#REF!="S",VLOOKUP('Raw Data'!A3169,References!#REF!,2,FALSE),(VLOOKUP($S3169,References!$B$3:$C$8,2,FALSE))),"")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4"/>
        <v>0</v>
      </c>
      <c r="T3170" s="98">
        <f t="shared" si="165"/>
        <v>0</v>
      </c>
      <c r="U3170" s="99" t="str">
        <f>IFERROR(IF(#REF!="S",VLOOKUP('Raw Data'!A3170,References!#REF!,2,FALSE),(VLOOKUP($S3170,References!$B$3:$C$8,2,FALSE))),"")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4"/>
        <v>0</v>
      </c>
      <c r="T3171" s="98">
        <f t="shared" si="165"/>
        <v>0</v>
      </c>
      <c r="U3171" s="99" t="str">
        <f>IFERROR(IF(#REF!="S",VLOOKUP('Raw Data'!A3171,References!#REF!,2,FALSE),(VLOOKUP($S3171,References!$B$3:$C$8,2,FALSE))),"")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4"/>
        <v>0</v>
      </c>
      <c r="T3172" s="98">
        <f t="shared" si="165"/>
        <v>0</v>
      </c>
      <c r="U3172" s="99" t="str">
        <f>IFERROR(IF(#REF!="S",VLOOKUP('Raw Data'!A3172,References!#REF!,2,FALSE),(VLOOKUP($S3172,References!$B$3:$C$8,2,FALSE))),"")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4"/>
        <v>0</v>
      </c>
      <c r="T3173" s="98">
        <f t="shared" si="165"/>
        <v>0</v>
      </c>
      <c r="U3173" s="99" t="str">
        <f>IFERROR(IF(#REF!="S",VLOOKUP('Raw Data'!A3173,References!#REF!,2,FALSE),(VLOOKUP($S3173,References!$B$3:$C$8,2,FALSE))),"")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4"/>
        <v>0</v>
      </c>
      <c r="T3174" s="98">
        <f t="shared" si="165"/>
        <v>0</v>
      </c>
      <c r="U3174" s="99" t="str">
        <f>IFERROR(IF(#REF!="S",VLOOKUP('Raw Data'!A3174,References!#REF!,2,FALSE),(VLOOKUP($S3174,References!$B$3:$C$8,2,FALSE))),"")</f>
        <v/>
      </c>
      <c r="W3174" s="66" t="str">
        <f>IFERROR(VLOOKUP($O3174,'Customer List'!$A$1:$J$488,10,FALSE),"")</f>
        <v/>
      </c>
    </row>
    <row r="3175" spans="18:23">
      <c r="R3175" s="97">
        <f t="shared" si="164"/>
        <v>0</v>
      </c>
      <c r="T3175" s="98">
        <f t="shared" si="165"/>
        <v>0</v>
      </c>
      <c r="U3175" s="99" t="str">
        <f>IFERROR(IF(#REF!="S",VLOOKUP('Raw Data'!A3175,References!#REF!,2,FALSE),(VLOOKUP($S3175,References!$B$3:$C$8,2,FALSE))),"")</f>
        <v/>
      </c>
      <c r="W3175" s="66" t="str">
        <f>IFERROR(VLOOKUP($O3175,'Customer List'!$A$1:$J$488,10,FALSE),"")</f>
        <v/>
      </c>
    </row>
    <row r="3176" spans="18:23">
      <c r="R3176" s="97">
        <f t="shared" ref="R3176:R3239" si="166">L3176-K3176</f>
        <v>0</v>
      </c>
      <c r="T3176" s="98">
        <f t="shared" si="165"/>
        <v>0</v>
      </c>
      <c r="U3176" s="99" t="str">
        <f>IFERROR(IF(#REF!="S",VLOOKUP('Raw Data'!A3176,References!#REF!,2,FALSE),(VLOOKUP($S3176,References!$B$3:$C$8,2,FALSE))),"")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6"/>
        <v>0</v>
      </c>
      <c r="T3177" s="98">
        <f t="shared" si="165"/>
        <v>0</v>
      </c>
      <c r="U3177" s="99" t="str">
        <f>IFERROR(IF(#REF!="S",VLOOKUP('Raw Data'!A3177,References!#REF!,2,FALSE),(VLOOKUP($S3177,References!$B$3:$C$8,2,FALSE))),"")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6"/>
        <v>0</v>
      </c>
      <c r="T3178" s="98">
        <f t="shared" si="165"/>
        <v>0</v>
      </c>
      <c r="U3178" s="99" t="str">
        <f>IFERROR(IF(#REF!="S",VLOOKUP('Raw Data'!A3178,References!#REF!,2,FALSE),(VLOOKUP($S3178,References!$B$3:$C$8,2,FALSE))),"")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6"/>
        <v>0</v>
      </c>
      <c r="T3179" s="98">
        <f t="shared" si="165"/>
        <v>0</v>
      </c>
      <c r="U3179" s="99" t="str">
        <f>IFERROR(IF(#REF!="S",VLOOKUP('Raw Data'!A3179,References!#REF!,2,FALSE),(VLOOKUP($S3179,References!$B$3:$C$8,2,FALSE))),"")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6"/>
        <v>0</v>
      </c>
      <c r="T3180" s="98">
        <f t="shared" si="165"/>
        <v>0</v>
      </c>
      <c r="U3180" s="99" t="str">
        <f>IFERROR(IF(#REF!="S",VLOOKUP('Raw Data'!A3180,References!#REF!,2,FALSE),(VLOOKUP($S3180,References!$B$3:$C$8,2,FALSE))),"")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6"/>
        <v>0</v>
      </c>
      <c r="T3181" s="98">
        <f t="shared" si="165"/>
        <v>0</v>
      </c>
      <c r="U3181" s="99" t="str">
        <f>IFERROR(IF(#REF!="S",VLOOKUP('Raw Data'!A3181,References!#REF!,2,FALSE),(VLOOKUP($S3181,References!$B$3:$C$8,2,FALSE))),"")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6"/>
        <v>0</v>
      </c>
      <c r="T3182" s="98">
        <f t="shared" si="165"/>
        <v>0</v>
      </c>
      <c r="U3182" s="99" t="str">
        <f>IFERROR(IF(#REF!="S",VLOOKUP('Raw Data'!A3182,References!#REF!,2,FALSE),(VLOOKUP($S3182,References!$B$3:$C$8,2,FALSE))),"")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6"/>
        <v>0</v>
      </c>
      <c r="T3183" s="98">
        <f t="shared" si="165"/>
        <v>0</v>
      </c>
      <c r="U3183" s="99" t="str">
        <f>IFERROR(IF(#REF!="S",VLOOKUP('Raw Data'!A3183,References!#REF!,2,FALSE),(VLOOKUP($S3183,References!$B$3:$C$8,2,FALSE))),"")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6"/>
        <v>0</v>
      </c>
      <c r="T3184" s="98">
        <f t="shared" si="165"/>
        <v>0</v>
      </c>
      <c r="U3184" s="99" t="str">
        <f>IFERROR(IF(#REF!="S",VLOOKUP('Raw Data'!A3184,References!#REF!,2,FALSE),(VLOOKUP($S3184,References!$B$3:$C$8,2,FALSE))),"")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6"/>
        <v>0</v>
      </c>
      <c r="T3185" s="98">
        <f t="shared" si="165"/>
        <v>0</v>
      </c>
      <c r="U3185" s="99" t="str">
        <f>IFERROR(IF(#REF!="S",VLOOKUP('Raw Data'!A3185,References!#REF!,2,FALSE),(VLOOKUP($S3185,References!$B$3:$C$8,2,FALSE))),"")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6"/>
        <v>0</v>
      </c>
      <c r="T3186" s="98">
        <f t="shared" si="165"/>
        <v>0</v>
      </c>
      <c r="U3186" s="99" t="str">
        <f>IFERROR(IF(#REF!="S",VLOOKUP('Raw Data'!A3186,References!#REF!,2,FALSE),(VLOOKUP($S3186,References!$B$3:$C$8,2,FALSE))),"")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6"/>
        <v>0</v>
      </c>
      <c r="T3187" s="98">
        <f t="shared" si="165"/>
        <v>0</v>
      </c>
      <c r="U3187" s="99" t="str">
        <f>IFERROR(IF(#REF!="S",VLOOKUP('Raw Data'!A3187,References!#REF!,2,FALSE),(VLOOKUP($S3187,References!$B$3:$C$8,2,FALSE))),"")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6"/>
        <v>0</v>
      </c>
      <c r="T3188" s="98">
        <f t="shared" si="165"/>
        <v>0</v>
      </c>
      <c r="U3188" s="99" t="str">
        <f>IFERROR(IF(#REF!="S",VLOOKUP('Raw Data'!A3188,References!#REF!,2,FALSE),(VLOOKUP($S3188,References!$B$3:$C$8,2,FALSE))),"")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6"/>
        <v>0</v>
      </c>
      <c r="T3189" s="98">
        <f t="shared" si="165"/>
        <v>0</v>
      </c>
      <c r="U3189" s="99" t="str">
        <f>IFERROR(IF(#REF!="S",VLOOKUP('Raw Data'!A3189,References!#REF!,2,FALSE),(VLOOKUP($S3189,References!$B$3:$C$8,2,FALSE))),"")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6"/>
        <v>0</v>
      </c>
      <c r="T3190" s="98">
        <f t="shared" si="165"/>
        <v>0</v>
      </c>
      <c r="U3190" s="99" t="str">
        <f>IFERROR(IF(#REF!="S",VLOOKUP('Raw Data'!A3190,References!#REF!,2,FALSE),(VLOOKUP($S3190,References!$B$3:$C$8,2,FALSE))),"")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6"/>
        <v>0</v>
      </c>
      <c r="T3191" s="98">
        <f t="shared" si="165"/>
        <v>0</v>
      </c>
      <c r="U3191" s="99" t="str">
        <f>IFERROR(IF(#REF!="S",VLOOKUP('Raw Data'!A3191,References!#REF!,2,FALSE),(VLOOKUP($S3191,References!$B$3:$C$8,2,FALSE))),"")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6"/>
        <v>0</v>
      </c>
      <c r="T3192" s="98">
        <f t="shared" si="165"/>
        <v>0</v>
      </c>
      <c r="U3192" s="99" t="str">
        <f>IFERROR(IF(#REF!="S",VLOOKUP('Raw Data'!A3192,References!#REF!,2,FALSE),(VLOOKUP($S3192,References!$B$3:$C$8,2,FALSE))),"")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6"/>
        <v>0</v>
      </c>
      <c r="T3193" s="98">
        <f t="shared" si="165"/>
        <v>0</v>
      </c>
      <c r="U3193" s="99" t="str">
        <f>IFERROR(IF(#REF!="S",VLOOKUP('Raw Data'!A3193,References!#REF!,2,FALSE),(VLOOKUP($S3193,References!$B$3:$C$8,2,FALSE))),"")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6"/>
        <v>0</v>
      </c>
      <c r="T3194" s="98">
        <f t="shared" si="165"/>
        <v>0</v>
      </c>
      <c r="U3194" s="99" t="str">
        <f>IFERROR(IF(#REF!="S",VLOOKUP('Raw Data'!A3194,References!#REF!,2,FALSE),(VLOOKUP($S3194,References!$B$3:$C$8,2,FALSE))),"")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6"/>
        <v>0</v>
      </c>
      <c r="T3195" s="98">
        <f t="shared" si="165"/>
        <v>0</v>
      </c>
      <c r="U3195" s="99" t="str">
        <f>IFERROR(IF(#REF!="S",VLOOKUP('Raw Data'!A3195,References!#REF!,2,FALSE),(VLOOKUP($S3195,References!$B$3:$C$8,2,FALSE))),"")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6"/>
        <v>0</v>
      </c>
      <c r="T3196" s="98">
        <f t="shared" si="165"/>
        <v>0</v>
      </c>
      <c r="U3196" s="99" t="str">
        <f>IFERROR(IF(#REF!="S",VLOOKUP('Raw Data'!A3196,References!#REF!,2,FALSE),(VLOOKUP($S3196,References!$B$3:$C$8,2,FALSE))),"")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6"/>
        <v>0</v>
      </c>
      <c r="T3197" s="98">
        <f t="shared" si="165"/>
        <v>0</v>
      </c>
      <c r="U3197" s="99" t="str">
        <f>IFERROR(IF(#REF!="S",VLOOKUP('Raw Data'!A3197,References!#REF!,2,FALSE),(VLOOKUP($S3197,References!$B$3:$C$8,2,FALSE))),"")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6"/>
        <v>0</v>
      </c>
      <c r="T3198" s="98">
        <f t="shared" si="165"/>
        <v>0</v>
      </c>
      <c r="U3198" s="99" t="str">
        <f>IFERROR(IF(#REF!="S",VLOOKUP('Raw Data'!A3198,References!#REF!,2,FALSE),(VLOOKUP($S3198,References!$B$3:$C$8,2,FALSE))),"")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6"/>
        <v>0</v>
      </c>
      <c r="T3199" s="98">
        <f t="shared" si="165"/>
        <v>0</v>
      </c>
      <c r="U3199" s="99" t="str">
        <f>IFERROR(IF(#REF!="S",VLOOKUP('Raw Data'!A3199,References!#REF!,2,FALSE),(VLOOKUP($S3199,References!$B$3:$C$8,2,FALSE))),"")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6"/>
        <v>0</v>
      </c>
      <c r="T3200" s="98">
        <f t="shared" si="165"/>
        <v>0</v>
      </c>
      <c r="U3200" s="99" t="str">
        <f>IFERROR(IF(#REF!="S",VLOOKUP('Raw Data'!A3200,References!#REF!,2,FALSE),(VLOOKUP($S3200,References!$B$3:$C$8,2,FALSE))),"")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6"/>
        <v>0</v>
      </c>
      <c r="T3201" s="98">
        <f t="shared" si="165"/>
        <v>0</v>
      </c>
      <c r="U3201" s="99" t="str">
        <f>IFERROR(IF(#REF!="S",VLOOKUP('Raw Data'!A3201,References!#REF!,2,FALSE),(VLOOKUP($S3201,References!$B$3:$C$8,2,FALSE))),"")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6"/>
        <v>0</v>
      </c>
      <c r="T3202" s="98">
        <f t="shared" si="165"/>
        <v>0</v>
      </c>
      <c r="U3202" s="99" t="str">
        <f>IFERROR(IF(#REF!="S",VLOOKUP('Raw Data'!A3202,References!#REF!,2,FALSE),(VLOOKUP($S3202,References!$B$3:$C$8,2,FALSE))),"")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6"/>
        <v>0</v>
      </c>
      <c r="T3203" s="98">
        <f t="shared" si="165"/>
        <v>0</v>
      </c>
      <c r="U3203" s="99" t="str">
        <f>IFERROR(IF(#REF!="S",VLOOKUP('Raw Data'!A3203,References!#REF!,2,FALSE),(VLOOKUP($S3203,References!$B$3:$C$8,2,FALSE))),"")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6"/>
        <v>0</v>
      </c>
      <c r="T3204" s="98">
        <f t="shared" si="165"/>
        <v>0</v>
      </c>
      <c r="U3204" s="99" t="str">
        <f>IFERROR(IF(#REF!="S",VLOOKUP('Raw Data'!A3204,References!#REF!,2,FALSE),(VLOOKUP($S3204,References!$B$3:$C$8,2,FALSE))),"")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6"/>
        <v>0</v>
      </c>
      <c r="T3205" s="98">
        <f t="shared" si="165"/>
        <v>0</v>
      </c>
      <c r="U3205" s="99" t="str">
        <f>IFERROR(IF(#REF!="S",VLOOKUP('Raw Data'!A3205,References!#REF!,2,FALSE),(VLOOKUP($S3205,References!$B$3:$C$8,2,FALSE))),"")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6"/>
        <v>0</v>
      </c>
      <c r="T3206" s="98">
        <f t="shared" si="165"/>
        <v>0</v>
      </c>
      <c r="U3206" s="99" t="str">
        <f>IFERROR(IF(#REF!="S",VLOOKUP('Raw Data'!A3206,References!#REF!,2,FALSE),(VLOOKUP($S3206,References!$B$3:$C$8,2,FALSE))),"")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6"/>
        <v>0</v>
      </c>
      <c r="T3207" s="98">
        <f t="shared" si="165"/>
        <v>0</v>
      </c>
      <c r="U3207" s="99" t="str">
        <f>IFERROR(IF(#REF!="S",VLOOKUP('Raw Data'!A3207,References!#REF!,2,FALSE),(VLOOKUP($S3207,References!$B$3:$C$8,2,FALSE))),"")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6"/>
        <v>0</v>
      </c>
      <c r="T3208" s="98">
        <f t="shared" si="165"/>
        <v>0</v>
      </c>
      <c r="U3208" s="99" t="str">
        <f>IFERROR(IF(#REF!="S",VLOOKUP('Raw Data'!A3208,References!#REF!,2,FALSE),(VLOOKUP($S3208,References!$B$3:$C$8,2,FALSE))),"")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6"/>
        <v>0</v>
      </c>
      <c r="T3209" s="98">
        <f t="shared" si="165"/>
        <v>0</v>
      </c>
      <c r="U3209" s="99" t="str">
        <f>IFERROR(IF(#REF!="S",VLOOKUP('Raw Data'!A3209,References!#REF!,2,FALSE),(VLOOKUP($S3209,References!$B$3:$C$8,2,FALSE))),"")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6"/>
        <v>0</v>
      </c>
      <c r="T3210" s="98">
        <f t="shared" si="165"/>
        <v>0</v>
      </c>
      <c r="U3210" s="99" t="str">
        <f>IFERROR(IF(#REF!="S",VLOOKUP('Raw Data'!A3210,References!#REF!,2,FALSE),(VLOOKUP($S3210,References!$B$3:$C$8,2,FALSE))),"")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6"/>
        <v>0</v>
      </c>
      <c r="T3211" s="98">
        <f t="shared" si="165"/>
        <v>0</v>
      </c>
      <c r="U3211" s="99" t="str">
        <f>IFERROR(IF(#REF!="S",VLOOKUP('Raw Data'!A3211,References!#REF!,2,FALSE),(VLOOKUP($S3211,References!$B$3:$C$8,2,FALSE))),"")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6"/>
        <v>0</v>
      </c>
      <c r="T3212" s="98">
        <f t="shared" si="165"/>
        <v>0</v>
      </c>
      <c r="U3212" s="99" t="str">
        <f>IFERROR(IF(#REF!="S",VLOOKUP('Raw Data'!A3212,References!#REF!,2,FALSE),(VLOOKUP($S3212,References!$B$3:$C$8,2,FALSE))),"")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6"/>
        <v>0</v>
      </c>
      <c r="T3213" s="98">
        <f t="shared" si="165"/>
        <v>0</v>
      </c>
      <c r="U3213" s="99" t="str">
        <f>IFERROR(IF(#REF!="S",VLOOKUP('Raw Data'!A3213,References!#REF!,2,FALSE),(VLOOKUP($S3213,References!$B$3:$C$8,2,FALSE))),"")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6"/>
        <v>0</v>
      </c>
      <c r="T3214" s="98">
        <f t="shared" si="165"/>
        <v>0</v>
      </c>
      <c r="U3214" s="99" t="str">
        <f>IFERROR(IF(#REF!="S",VLOOKUP('Raw Data'!A3214,References!#REF!,2,FALSE),(VLOOKUP($S3214,References!$B$3:$C$8,2,FALSE))),"")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6"/>
        <v>0</v>
      </c>
      <c r="T3215" s="98">
        <f t="shared" si="165"/>
        <v>0</v>
      </c>
      <c r="U3215" s="99" t="str">
        <f>IFERROR(IF(#REF!="S",VLOOKUP('Raw Data'!A3215,References!#REF!,2,FALSE),(VLOOKUP($S3215,References!$B$3:$C$8,2,FALSE))),"")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6"/>
        <v>0</v>
      </c>
      <c r="T3216" s="98">
        <f t="shared" ref="T3216:T3279" si="167">IF(S3216="50 - Cleaning Fee",1,HOUR($R3216)+MINUTE(R3216)/60)</f>
        <v>0</v>
      </c>
      <c r="U3216" s="99" t="str">
        <f>IFERROR(IF(#REF!="S",VLOOKUP('Raw Data'!A3216,References!#REF!,2,FALSE),(VLOOKUP($S3216,References!$B$3:$C$8,2,FALSE))),"")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6"/>
        <v>0</v>
      </c>
      <c r="T3217" s="98">
        <f t="shared" si="167"/>
        <v>0</v>
      </c>
      <c r="U3217" s="99" t="str">
        <f>IFERROR(IF(#REF!="S",VLOOKUP('Raw Data'!A3217,References!#REF!,2,FALSE),(VLOOKUP($S3217,References!$B$3:$C$8,2,FALSE))),"")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6"/>
        <v>0</v>
      </c>
      <c r="T3218" s="98">
        <f t="shared" si="167"/>
        <v>0</v>
      </c>
      <c r="U3218" s="99" t="str">
        <f>IFERROR(IF(#REF!="S",VLOOKUP('Raw Data'!A3218,References!#REF!,2,FALSE),(VLOOKUP($S3218,References!$B$3:$C$8,2,FALSE))),"")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6"/>
        <v>0</v>
      </c>
      <c r="T3219" s="98">
        <f t="shared" si="167"/>
        <v>0</v>
      </c>
      <c r="U3219" s="99" t="str">
        <f>IFERROR(IF(#REF!="S",VLOOKUP('Raw Data'!A3219,References!#REF!,2,FALSE),(VLOOKUP($S3219,References!$B$3:$C$8,2,FALSE))),"")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6"/>
        <v>0</v>
      </c>
      <c r="T3220" s="98">
        <f t="shared" si="167"/>
        <v>0</v>
      </c>
      <c r="U3220" s="99" t="str">
        <f>IFERROR(IF(#REF!="S",VLOOKUP('Raw Data'!A3220,References!#REF!,2,FALSE),(VLOOKUP($S3220,References!$B$3:$C$8,2,FALSE))),"")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6"/>
        <v>0</v>
      </c>
      <c r="T3221" s="98">
        <f t="shared" si="167"/>
        <v>0</v>
      </c>
      <c r="U3221" s="99" t="str">
        <f>IFERROR(IF(#REF!="S",VLOOKUP('Raw Data'!A3221,References!#REF!,2,FALSE),(VLOOKUP($S3221,References!$B$3:$C$8,2,FALSE))),"")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6"/>
        <v>0</v>
      </c>
      <c r="T3222" s="98">
        <f t="shared" si="167"/>
        <v>0</v>
      </c>
      <c r="U3222" s="99" t="str">
        <f>IFERROR(IF(#REF!="S",VLOOKUP('Raw Data'!A3222,References!#REF!,2,FALSE),(VLOOKUP($S3222,References!$B$3:$C$8,2,FALSE))),"")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6"/>
        <v>0</v>
      </c>
      <c r="T3223" s="98">
        <f t="shared" si="167"/>
        <v>0</v>
      </c>
      <c r="U3223" s="99" t="str">
        <f>IFERROR(IF(#REF!="S",VLOOKUP('Raw Data'!A3223,References!#REF!,2,FALSE),(VLOOKUP($S3223,References!$B$3:$C$8,2,FALSE))),"")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6"/>
        <v>0</v>
      </c>
      <c r="T3224" s="98">
        <f t="shared" si="167"/>
        <v>0</v>
      </c>
      <c r="U3224" s="99" t="str">
        <f>IFERROR(IF(#REF!="S",VLOOKUP('Raw Data'!A3224,References!#REF!,2,FALSE),(VLOOKUP($S3224,References!$B$3:$C$8,2,FALSE))),"")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6"/>
        <v>0</v>
      </c>
      <c r="T3225" s="98">
        <f t="shared" si="167"/>
        <v>0</v>
      </c>
      <c r="U3225" s="99" t="str">
        <f>IFERROR(IF(#REF!="S",VLOOKUP('Raw Data'!A3225,References!#REF!,2,FALSE),(VLOOKUP($S3225,References!$B$3:$C$8,2,FALSE))),"")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6"/>
        <v>0</v>
      </c>
      <c r="T3226" s="98">
        <f t="shared" si="167"/>
        <v>0</v>
      </c>
      <c r="U3226" s="99" t="str">
        <f>IFERROR(IF(#REF!="S",VLOOKUP('Raw Data'!A3226,References!#REF!,2,FALSE),(VLOOKUP($S3226,References!$B$3:$C$8,2,FALSE))),"")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6"/>
        <v>0</v>
      </c>
      <c r="T3227" s="98">
        <f t="shared" si="167"/>
        <v>0</v>
      </c>
      <c r="U3227" s="99" t="str">
        <f>IFERROR(IF(#REF!="S",VLOOKUP('Raw Data'!A3227,References!#REF!,2,FALSE),(VLOOKUP($S3227,References!$B$3:$C$8,2,FALSE))),"")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6"/>
        <v>0</v>
      </c>
      <c r="T3228" s="98">
        <f t="shared" si="167"/>
        <v>0</v>
      </c>
      <c r="U3228" s="99" t="str">
        <f>IFERROR(IF(#REF!="S",VLOOKUP('Raw Data'!A3228,References!#REF!,2,FALSE),(VLOOKUP($S3228,References!$B$3:$C$8,2,FALSE))),"")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6"/>
        <v>0</v>
      </c>
      <c r="T3229" s="98">
        <f t="shared" si="167"/>
        <v>0</v>
      </c>
      <c r="U3229" s="99" t="str">
        <f>IFERROR(IF(#REF!="S",VLOOKUP('Raw Data'!A3229,References!#REF!,2,FALSE),(VLOOKUP($S3229,References!$B$3:$C$8,2,FALSE))),"")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6"/>
        <v>0</v>
      </c>
      <c r="T3230" s="98">
        <f t="shared" si="167"/>
        <v>0</v>
      </c>
      <c r="U3230" s="99" t="str">
        <f>IFERROR(IF(#REF!="S",VLOOKUP('Raw Data'!A3230,References!#REF!,2,FALSE),(VLOOKUP($S3230,References!$B$3:$C$8,2,FALSE))),"")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6"/>
        <v>0</v>
      </c>
      <c r="T3231" s="98">
        <f t="shared" si="167"/>
        <v>0</v>
      </c>
      <c r="U3231" s="99" t="str">
        <f>IFERROR(IF(#REF!="S",VLOOKUP('Raw Data'!A3231,References!#REF!,2,FALSE),(VLOOKUP($S3231,References!$B$3:$C$8,2,FALSE))),"")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6"/>
        <v>0</v>
      </c>
      <c r="T3232" s="98">
        <f t="shared" si="167"/>
        <v>0</v>
      </c>
      <c r="U3232" s="99" t="str">
        <f>IFERROR(IF(#REF!="S",VLOOKUP('Raw Data'!A3232,References!#REF!,2,FALSE),(VLOOKUP($S3232,References!$B$3:$C$8,2,FALSE))),"")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6"/>
        <v>0</v>
      </c>
      <c r="T3233" s="98">
        <f t="shared" si="167"/>
        <v>0</v>
      </c>
      <c r="U3233" s="99" t="str">
        <f>IFERROR(IF(#REF!="S",VLOOKUP('Raw Data'!A3233,References!#REF!,2,FALSE),(VLOOKUP($S3233,References!$B$3:$C$8,2,FALSE))),"")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6"/>
        <v>0</v>
      </c>
      <c r="T3234" s="98">
        <f t="shared" si="167"/>
        <v>0</v>
      </c>
      <c r="U3234" s="99" t="str">
        <f>IFERROR(IF(#REF!="S",VLOOKUP('Raw Data'!A3234,References!#REF!,2,FALSE),(VLOOKUP($S3234,References!$B$3:$C$8,2,FALSE))),"")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6"/>
        <v>0</v>
      </c>
      <c r="T3235" s="98">
        <f t="shared" si="167"/>
        <v>0</v>
      </c>
      <c r="U3235" s="99" t="str">
        <f>IFERROR(IF(#REF!="S",VLOOKUP('Raw Data'!A3235,References!#REF!,2,FALSE),(VLOOKUP($S3235,References!$B$3:$C$8,2,FALSE))),"")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6"/>
        <v>0</v>
      </c>
      <c r="T3236" s="98">
        <f t="shared" si="167"/>
        <v>0</v>
      </c>
      <c r="U3236" s="99" t="str">
        <f>IFERROR(IF(#REF!="S",VLOOKUP('Raw Data'!A3236,References!#REF!,2,FALSE),(VLOOKUP($S3236,References!$B$3:$C$8,2,FALSE))),"")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6"/>
        <v>0</v>
      </c>
      <c r="T3237" s="98">
        <f t="shared" si="167"/>
        <v>0</v>
      </c>
      <c r="U3237" s="99" t="str">
        <f>IFERROR(IF(#REF!="S",VLOOKUP('Raw Data'!A3237,References!#REF!,2,FALSE),(VLOOKUP($S3237,References!$B$3:$C$8,2,FALSE))),"")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6"/>
        <v>0</v>
      </c>
      <c r="T3238" s="98">
        <f t="shared" si="167"/>
        <v>0</v>
      </c>
      <c r="U3238" s="99" t="str">
        <f>IFERROR(IF(#REF!="S",VLOOKUP('Raw Data'!A3238,References!#REF!,2,FALSE),(VLOOKUP($S3238,References!$B$3:$C$8,2,FALSE))),"")</f>
        <v/>
      </c>
      <c r="W3238" s="66" t="str">
        <f>IFERROR(VLOOKUP($O3238,'Customer List'!$A$1:$J$488,10,FALSE),"")</f>
        <v/>
      </c>
    </row>
    <row r="3239" spans="18:23">
      <c r="R3239" s="97">
        <f t="shared" si="166"/>
        <v>0</v>
      </c>
      <c r="T3239" s="98">
        <f t="shared" si="167"/>
        <v>0</v>
      </c>
      <c r="U3239" s="99" t="str">
        <f>IFERROR(IF(#REF!="S",VLOOKUP('Raw Data'!A3239,References!#REF!,2,FALSE),(VLOOKUP($S3239,References!$B$3:$C$8,2,FALSE))),"")</f>
        <v/>
      </c>
      <c r="W3239" s="66" t="str">
        <f>IFERROR(VLOOKUP($O3239,'Customer List'!$A$1:$J$488,10,FALSE),"")</f>
        <v/>
      </c>
    </row>
    <row r="3240" spans="18:23">
      <c r="R3240" s="97">
        <f t="shared" ref="R3240:R3303" si="168">L3240-K3240</f>
        <v>0</v>
      </c>
      <c r="T3240" s="98">
        <f t="shared" si="167"/>
        <v>0</v>
      </c>
      <c r="U3240" s="99" t="str">
        <f>IFERROR(IF(#REF!="S",VLOOKUP('Raw Data'!A3240,References!#REF!,2,FALSE),(VLOOKUP($S3240,References!$B$3:$C$8,2,FALSE))),"")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68"/>
        <v>0</v>
      </c>
      <c r="T3241" s="98">
        <f t="shared" si="167"/>
        <v>0</v>
      </c>
      <c r="U3241" s="99" t="str">
        <f>IFERROR(IF(#REF!="S",VLOOKUP('Raw Data'!A3241,References!#REF!,2,FALSE),(VLOOKUP($S3241,References!$B$3:$C$8,2,FALSE))),"")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68"/>
        <v>0</v>
      </c>
      <c r="T3242" s="98">
        <f t="shared" si="167"/>
        <v>0</v>
      </c>
      <c r="U3242" s="99" t="str">
        <f>IFERROR(IF(#REF!="S",VLOOKUP('Raw Data'!A3242,References!#REF!,2,FALSE),(VLOOKUP($S3242,References!$B$3:$C$8,2,FALSE))),"")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68"/>
        <v>0</v>
      </c>
      <c r="T3243" s="98">
        <f t="shared" si="167"/>
        <v>0</v>
      </c>
      <c r="U3243" s="99" t="str">
        <f>IFERROR(IF(#REF!="S",VLOOKUP('Raw Data'!A3243,References!#REF!,2,FALSE),(VLOOKUP($S3243,References!$B$3:$C$8,2,FALSE))),"")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68"/>
        <v>0</v>
      </c>
      <c r="T3244" s="98">
        <f t="shared" si="167"/>
        <v>0</v>
      </c>
      <c r="U3244" s="99" t="str">
        <f>IFERROR(IF(#REF!="S",VLOOKUP('Raw Data'!A3244,References!#REF!,2,FALSE),(VLOOKUP($S3244,References!$B$3:$C$8,2,FALSE))),"")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68"/>
        <v>0</v>
      </c>
      <c r="T3245" s="98">
        <f t="shared" si="167"/>
        <v>0</v>
      </c>
      <c r="U3245" s="99" t="str">
        <f>IFERROR(IF(#REF!="S",VLOOKUP('Raw Data'!A3245,References!#REF!,2,FALSE),(VLOOKUP($S3245,References!$B$3:$C$8,2,FALSE))),"")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68"/>
        <v>0</v>
      </c>
      <c r="T3246" s="98">
        <f t="shared" si="167"/>
        <v>0</v>
      </c>
      <c r="U3246" s="99" t="str">
        <f>IFERROR(IF(#REF!="S",VLOOKUP('Raw Data'!A3246,References!#REF!,2,FALSE),(VLOOKUP($S3246,References!$B$3:$C$8,2,FALSE))),"")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68"/>
        <v>0</v>
      </c>
      <c r="T3247" s="98">
        <f t="shared" si="167"/>
        <v>0</v>
      </c>
      <c r="U3247" s="99" t="str">
        <f>IFERROR(IF(#REF!="S",VLOOKUP('Raw Data'!A3247,References!#REF!,2,FALSE),(VLOOKUP($S3247,References!$B$3:$C$8,2,FALSE))),"")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68"/>
        <v>0</v>
      </c>
      <c r="T3248" s="98">
        <f t="shared" si="167"/>
        <v>0</v>
      </c>
      <c r="U3248" s="99" t="str">
        <f>IFERROR(IF(#REF!="S",VLOOKUP('Raw Data'!A3248,References!#REF!,2,FALSE),(VLOOKUP($S3248,References!$B$3:$C$8,2,FALSE))),"")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68"/>
        <v>0</v>
      </c>
      <c r="T3249" s="98">
        <f t="shared" si="167"/>
        <v>0</v>
      </c>
      <c r="U3249" s="99" t="str">
        <f>IFERROR(IF(#REF!="S",VLOOKUP('Raw Data'!A3249,References!#REF!,2,FALSE),(VLOOKUP($S3249,References!$B$3:$C$8,2,FALSE))),"")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68"/>
        <v>0</v>
      </c>
      <c r="T3250" s="98">
        <f t="shared" si="167"/>
        <v>0</v>
      </c>
      <c r="U3250" s="99" t="str">
        <f>IFERROR(IF(#REF!="S",VLOOKUP('Raw Data'!A3250,References!#REF!,2,FALSE),(VLOOKUP($S3250,References!$B$3:$C$8,2,FALSE))),"")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68"/>
        <v>0</v>
      </c>
      <c r="T3251" s="98">
        <f t="shared" si="167"/>
        <v>0</v>
      </c>
      <c r="U3251" s="99" t="str">
        <f>IFERROR(IF(#REF!="S",VLOOKUP('Raw Data'!A3251,References!#REF!,2,FALSE),(VLOOKUP($S3251,References!$B$3:$C$8,2,FALSE))),"")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68"/>
        <v>0</v>
      </c>
      <c r="T3252" s="98">
        <f t="shared" si="167"/>
        <v>0</v>
      </c>
      <c r="U3252" s="99" t="str">
        <f>IFERROR(IF(#REF!="S",VLOOKUP('Raw Data'!A3252,References!#REF!,2,FALSE),(VLOOKUP($S3252,References!$B$3:$C$8,2,FALSE))),"")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68"/>
        <v>0</v>
      </c>
      <c r="T3253" s="98">
        <f t="shared" si="167"/>
        <v>0</v>
      </c>
      <c r="U3253" s="99" t="str">
        <f>IFERROR(IF(#REF!="S",VLOOKUP('Raw Data'!A3253,References!#REF!,2,FALSE),(VLOOKUP($S3253,References!$B$3:$C$8,2,FALSE))),"")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68"/>
        <v>0</v>
      </c>
      <c r="T3254" s="98">
        <f t="shared" si="167"/>
        <v>0</v>
      </c>
      <c r="U3254" s="99" t="str">
        <f>IFERROR(IF(#REF!="S",VLOOKUP('Raw Data'!A3254,References!#REF!,2,FALSE),(VLOOKUP($S3254,References!$B$3:$C$8,2,FALSE))),"")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68"/>
        <v>0</v>
      </c>
      <c r="T3255" s="98">
        <f t="shared" si="167"/>
        <v>0</v>
      </c>
      <c r="U3255" s="99" t="str">
        <f>IFERROR(IF(#REF!="S",VLOOKUP('Raw Data'!A3255,References!#REF!,2,FALSE),(VLOOKUP($S3255,References!$B$3:$C$8,2,FALSE))),"")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68"/>
        <v>0</v>
      </c>
      <c r="T3256" s="98">
        <f t="shared" si="167"/>
        <v>0</v>
      </c>
      <c r="U3256" s="99" t="str">
        <f>IFERROR(IF(#REF!="S",VLOOKUP('Raw Data'!A3256,References!#REF!,2,FALSE),(VLOOKUP($S3256,References!$B$3:$C$8,2,FALSE))),"")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68"/>
        <v>0</v>
      </c>
      <c r="T3257" s="98">
        <f t="shared" si="167"/>
        <v>0</v>
      </c>
      <c r="U3257" s="99" t="str">
        <f>IFERROR(IF(#REF!="S",VLOOKUP('Raw Data'!A3257,References!#REF!,2,FALSE),(VLOOKUP($S3257,References!$B$3:$C$8,2,FALSE))),"")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68"/>
        <v>0</v>
      </c>
      <c r="T3258" s="98">
        <f t="shared" si="167"/>
        <v>0</v>
      </c>
      <c r="U3258" s="99" t="str">
        <f>IFERROR(IF(#REF!="S",VLOOKUP('Raw Data'!A3258,References!#REF!,2,FALSE),(VLOOKUP($S3258,References!$B$3:$C$8,2,FALSE))),"")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68"/>
        <v>0</v>
      </c>
      <c r="T3259" s="98">
        <f t="shared" si="167"/>
        <v>0</v>
      </c>
      <c r="U3259" s="99" t="str">
        <f>IFERROR(IF(#REF!="S",VLOOKUP('Raw Data'!A3259,References!#REF!,2,FALSE),(VLOOKUP($S3259,References!$B$3:$C$8,2,FALSE))),"")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68"/>
        <v>0</v>
      </c>
      <c r="T3260" s="98">
        <f t="shared" si="167"/>
        <v>0</v>
      </c>
      <c r="U3260" s="99" t="str">
        <f>IFERROR(IF(#REF!="S",VLOOKUP('Raw Data'!A3260,References!#REF!,2,FALSE),(VLOOKUP($S3260,References!$B$3:$C$8,2,FALSE))),"")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68"/>
        <v>0</v>
      </c>
      <c r="T3261" s="98">
        <f t="shared" si="167"/>
        <v>0</v>
      </c>
      <c r="U3261" s="99" t="str">
        <f>IFERROR(IF(#REF!="S",VLOOKUP('Raw Data'!A3261,References!#REF!,2,FALSE),(VLOOKUP($S3261,References!$B$3:$C$8,2,FALSE))),"")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68"/>
        <v>0</v>
      </c>
      <c r="T3262" s="98">
        <f t="shared" si="167"/>
        <v>0</v>
      </c>
      <c r="U3262" s="99" t="str">
        <f>IFERROR(IF(#REF!="S",VLOOKUP('Raw Data'!A3262,References!#REF!,2,FALSE),(VLOOKUP($S3262,References!$B$3:$C$8,2,FALSE))),"")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68"/>
        <v>0</v>
      </c>
      <c r="T3263" s="98">
        <f t="shared" si="167"/>
        <v>0</v>
      </c>
      <c r="U3263" s="99" t="str">
        <f>IFERROR(IF(#REF!="S",VLOOKUP('Raw Data'!A3263,References!#REF!,2,FALSE),(VLOOKUP($S3263,References!$B$3:$C$8,2,FALSE))),"")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68"/>
        <v>0</v>
      </c>
      <c r="T3264" s="98">
        <f t="shared" si="167"/>
        <v>0</v>
      </c>
      <c r="U3264" s="99" t="str">
        <f>IFERROR(IF(#REF!="S",VLOOKUP('Raw Data'!A3264,References!#REF!,2,FALSE),(VLOOKUP($S3264,References!$B$3:$C$8,2,FALSE))),"")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68"/>
        <v>0</v>
      </c>
      <c r="T3265" s="98">
        <f t="shared" si="167"/>
        <v>0</v>
      </c>
      <c r="U3265" s="99" t="str">
        <f>IFERROR(IF(#REF!="S",VLOOKUP('Raw Data'!A3265,References!#REF!,2,FALSE),(VLOOKUP($S3265,References!$B$3:$C$8,2,FALSE))),"")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68"/>
        <v>0</v>
      </c>
      <c r="T3266" s="98">
        <f t="shared" si="167"/>
        <v>0</v>
      </c>
      <c r="U3266" s="99" t="str">
        <f>IFERROR(IF(#REF!="S",VLOOKUP('Raw Data'!A3266,References!#REF!,2,FALSE),(VLOOKUP($S3266,References!$B$3:$C$8,2,FALSE))),"")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68"/>
        <v>0</v>
      </c>
      <c r="T3267" s="98">
        <f t="shared" si="167"/>
        <v>0</v>
      </c>
      <c r="U3267" s="99" t="str">
        <f>IFERROR(IF(#REF!="S",VLOOKUP('Raw Data'!A3267,References!#REF!,2,FALSE),(VLOOKUP($S3267,References!$B$3:$C$8,2,FALSE))),"")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68"/>
        <v>0</v>
      </c>
      <c r="T3268" s="98">
        <f t="shared" si="167"/>
        <v>0</v>
      </c>
      <c r="U3268" s="99" t="str">
        <f>IFERROR(IF(#REF!="S",VLOOKUP('Raw Data'!A3268,References!#REF!,2,FALSE),(VLOOKUP($S3268,References!$B$3:$C$8,2,FALSE))),"")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68"/>
        <v>0</v>
      </c>
      <c r="T3269" s="98">
        <f t="shared" si="167"/>
        <v>0</v>
      </c>
      <c r="U3269" s="99" t="str">
        <f>IFERROR(IF(#REF!="S",VLOOKUP('Raw Data'!A3269,References!#REF!,2,FALSE),(VLOOKUP($S3269,References!$B$3:$C$8,2,FALSE))),"")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68"/>
        <v>0</v>
      </c>
      <c r="T3270" s="98">
        <f t="shared" si="167"/>
        <v>0</v>
      </c>
      <c r="U3270" s="99" t="str">
        <f>IFERROR(IF(#REF!="S",VLOOKUP('Raw Data'!A3270,References!#REF!,2,FALSE),(VLOOKUP($S3270,References!$B$3:$C$8,2,FALSE))),"")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68"/>
        <v>0</v>
      </c>
      <c r="T3271" s="98">
        <f t="shared" si="167"/>
        <v>0</v>
      </c>
      <c r="U3271" s="99" t="str">
        <f>IFERROR(IF(#REF!="S",VLOOKUP('Raw Data'!A3271,References!#REF!,2,FALSE),(VLOOKUP($S3271,References!$B$3:$C$8,2,FALSE))),"")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68"/>
        <v>0</v>
      </c>
      <c r="T3272" s="98">
        <f t="shared" si="167"/>
        <v>0</v>
      </c>
      <c r="U3272" s="99" t="str">
        <f>IFERROR(IF(#REF!="S",VLOOKUP('Raw Data'!A3272,References!#REF!,2,FALSE),(VLOOKUP($S3272,References!$B$3:$C$8,2,FALSE))),"")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68"/>
        <v>0</v>
      </c>
      <c r="T3273" s="98">
        <f t="shared" si="167"/>
        <v>0</v>
      </c>
      <c r="U3273" s="99" t="str">
        <f>IFERROR(IF(#REF!="S",VLOOKUP('Raw Data'!A3273,References!#REF!,2,FALSE),(VLOOKUP($S3273,References!$B$3:$C$8,2,FALSE))),"")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68"/>
        <v>0</v>
      </c>
      <c r="T3274" s="98">
        <f t="shared" si="167"/>
        <v>0</v>
      </c>
      <c r="U3274" s="99" t="str">
        <f>IFERROR(IF(#REF!="S",VLOOKUP('Raw Data'!A3274,References!#REF!,2,FALSE),(VLOOKUP($S3274,References!$B$3:$C$8,2,FALSE))),"")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68"/>
        <v>0</v>
      </c>
      <c r="T3275" s="98">
        <f t="shared" si="167"/>
        <v>0</v>
      </c>
      <c r="U3275" s="99" t="str">
        <f>IFERROR(IF(#REF!="S",VLOOKUP('Raw Data'!A3275,References!#REF!,2,FALSE),(VLOOKUP($S3275,References!$B$3:$C$8,2,FALSE))),"")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68"/>
        <v>0</v>
      </c>
      <c r="T3276" s="98">
        <f t="shared" si="167"/>
        <v>0</v>
      </c>
      <c r="U3276" s="99" t="str">
        <f>IFERROR(IF(#REF!="S",VLOOKUP('Raw Data'!A3276,References!#REF!,2,FALSE),(VLOOKUP($S3276,References!$B$3:$C$8,2,FALSE))),"")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68"/>
        <v>0</v>
      </c>
      <c r="T3277" s="98">
        <f t="shared" si="167"/>
        <v>0</v>
      </c>
      <c r="U3277" s="99" t="str">
        <f>IFERROR(IF(#REF!="S",VLOOKUP('Raw Data'!A3277,References!#REF!,2,FALSE),(VLOOKUP($S3277,References!$B$3:$C$8,2,FALSE))),"")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68"/>
        <v>0</v>
      </c>
      <c r="T3278" s="98">
        <f t="shared" si="167"/>
        <v>0</v>
      </c>
      <c r="U3278" s="99" t="str">
        <f>IFERROR(IF(#REF!="S",VLOOKUP('Raw Data'!A3278,References!#REF!,2,FALSE),(VLOOKUP($S3278,References!$B$3:$C$8,2,FALSE))),"")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68"/>
        <v>0</v>
      </c>
      <c r="T3279" s="98">
        <f t="shared" si="167"/>
        <v>0</v>
      </c>
      <c r="U3279" s="99" t="str">
        <f>IFERROR(IF(#REF!="S",VLOOKUP('Raw Data'!A3279,References!#REF!,2,FALSE),(VLOOKUP($S3279,References!$B$3:$C$8,2,FALSE))),"")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68"/>
        <v>0</v>
      </c>
      <c r="T3280" s="98">
        <f t="shared" ref="T3280:T3343" si="169">IF(S3280="50 - Cleaning Fee",1,HOUR($R3280)+MINUTE(R3280)/60)</f>
        <v>0</v>
      </c>
      <c r="U3280" s="99" t="str">
        <f>IFERROR(IF(#REF!="S",VLOOKUP('Raw Data'!A3280,References!#REF!,2,FALSE),(VLOOKUP($S3280,References!$B$3:$C$8,2,FALSE))),"")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68"/>
        <v>0</v>
      </c>
      <c r="T3281" s="98">
        <f t="shared" si="169"/>
        <v>0</v>
      </c>
      <c r="U3281" s="99" t="str">
        <f>IFERROR(IF(#REF!="S",VLOOKUP('Raw Data'!A3281,References!#REF!,2,FALSE),(VLOOKUP($S3281,References!$B$3:$C$8,2,FALSE))),"")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68"/>
        <v>0</v>
      </c>
      <c r="T3282" s="98">
        <f t="shared" si="169"/>
        <v>0</v>
      </c>
      <c r="U3282" s="99" t="str">
        <f>IFERROR(IF(#REF!="S",VLOOKUP('Raw Data'!A3282,References!#REF!,2,FALSE),(VLOOKUP($S3282,References!$B$3:$C$8,2,FALSE))),"")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68"/>
        <v>0</v>
      </c>
      <c r="T3283" s="98">
        <f t="shared" si="169"/>
        <v>0</v>
      </c>
      <c r="U3283" s="99" t="str">
        <f>IFERROR(IF(#REF!="S",VLOOKUP('Raw Data'!A3283,References!#REF!,2,FALSE),(VLOOKUP($S3283,References!$B$3:$C$8,2,FALSE))),"")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68"/>
        <v>0</v>
      </c>
      <c r="T3284" s="98">
        <f t="shared" si="169"/>
        <v>0</v>
      </c>
      <c r="U3284" s="99" t="str">
        <f>IFERROR(IF(#REF!="S",VLOOKUP('Raw Data'!A3284,References!#REF!,2,FALSE),(VLOOKUP($S3284,References!$B$3:$C$8,2,FALSE))),"")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68"/>
        <v>0</v>
      </c>
      <c r="T3285" s="98">
        <f t="shared" si="169"/>
        <v>0</v>
      </c>
      <c r="U3285" s="99" t="str">
        <f>IFERROR(IF(#REF!="S",VLOOKUP('Raw Data'!A3285,References!#REF!,2,FALSE),(VLOOKUP($S3285,References!$B$3:$C$8,2,FALSE))),"")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68"/>
        <v>0</v>
      </c>
      <c r="T3286" s="98">
        <f t="shared" si="169"/>
        <v>0</v>
      </c>
      <c r="U3286" s="99" t="str">
        <f>IFERROR(IF(#REF!="S",VLOOKUP('Raw Data'!A3286,References!#REF!,2,FALSE),(VLOOKUP($S3286,References!$B$3:$C$8,2,FALSE))),"")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68"/>
        <v>0</v>
      </c>
      <c r="T3287" s="98">
        <f t="shared" si="169"/>
        <v>0</v>
      </c>
      <c r="U3287" s="99" t="str">
        <f>IFERROR(IF(#REF!="S",VLOOKUP('Raw Data'!A3287,References!#REF!,2,FALSE),(VLOOKUP($S3287,References!$B$3:$C$8,2,FALSE))),"")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68"/>
        <v>0</v>
      </c>
      <c r="T3288" s="98">
        <f t="shared" si="169"/>
        <v>0</v>
      </c>
      <c r="U3288" s="99" t="str">
        <f>IFERROR(IF(#REF!="S",VLOOKUP('Raw Data'!A3288,References!#REF!,2,FALSE),(VLOOKUP($S3288,References!$B$3:$C$8,2,FALSE))),"")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68"/>
        <v>0</v>
      </c>
      <c r="T3289" s="98">
        <f t="shared" si="169"/>
        <v>0</v>
      </c>
      <c r="U3289" s="99" t="str">
        <f>IFERROR(IF(#REF!="S",VLOOKUP('Raw Data'!A3289,References!#REF!,2,FALSE),(VLOOKUP($S3289,References!$B$3:$C$8,2,FALSE))),"")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68"/>
        <v>0</v>
      </c>
      <c r="T3290" s="98">
        <f t="shared" si="169"/>
        <v>0</v>
      </c>
      <c r="U3290" s="99" t="str">
        <f>IFERROR(IF(#REF!="S",VLOOKUP('Raw Data'!A3290,References!#REF!,2,FALSE),(VLOOKUP($S3290,References!$B$3:$C$8,2,FALSE))),"")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68"/>
        <v>0</v>
      </c>
      <c r="T3291" s="98">
        <f t="shared" si="169"/>
        <v>0</v>
      </c>
      <c r="U3291" s="99" t="str">
        <f>IFERROR(IF(#REF!="S",VLOOKUP('Raw Data'!A3291,References!#REF!,2,FALSE),(VLOOKUP($S3291,References!$B$3:$C$8,2,FALSE))),"")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68"/>
        <v>0</v>
      </c>
      <c r="T3292" s="98">
        <f t="shared" si="169"/>
        <v>0</v>
      </c>
      <c r="U3292" s="99" t="str">
        <f>IFERROR(IF(#REF!="S",VLOOKUP('Raw Data'!A3292,References!#REF!,2,FALSE),(VLOOKUP($S3292,References!$B$3:$C$8,2,FALSE))),"")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68"/>
        <v>0</v>
      </c>
      <c r="T3293" s="98">
        <f t="shared" si="169"/>
        <v>0</v>
      </c>
      <c r="U3293" s="99" t="str">
        <f>IFERROR(IF(#REF!="S",VLOOKUP('Raw Data'!A3293,References!#REF!,2,FALSE),(VLOOKUP($S3293,References!$B$3:$C$8,2,FALSE))),"")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68"/>
        <v>0</v>
      </c>
      <c r="T3294" s="98">
        <f t="shared" si="169"/>
        <v>0</v>
      </c>
      <c r="U3294" s="99" t="str">
        <f>IFERROR(IF(#REF!="S",VLOOKUP('Raw Data'!A3294,References!#REF!,2,FALSE),(VLOOKUP($S3294,References!$B$3:$C$8,2,FALSE))),"")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68"/>
        <v>0</v>
      </c>
      <c r="T3295" s="98">
        <f t="shared" si="169"/>
        <v>0</v>
      </c>
      <c r="U3295" s="99" t="str">
        <f>IFERROR(IF(#REF!="S",VLOOKUP('Raw Data'!A3295,References!#REF!,2,FALSE),(VLOOKUP($S3295,References!$B$3:$C$8,2,FALSE))),"")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68"/>
        <v>0</v>
      </c>
      <c r="T3296" s="98">
        <f t="shared" si="169"/>
        <v>0</v>
      </c>
      <c r="U3296" s="99" t="str">
        <f>IFERROR(IF(#REF!="S",VLOOKUP('Raw Data'!A3296,References!#REF!,2,FALSE),(VLOOKUP($S3296,References!$B$3:$C$8,2,FALSE))),"")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68"/>
        <v>0</v>
      </c>
      <c r="T3297" s="98">
        <f t="shared" si="169"/>
        <v>0</v>
      </c>
      <c r="U3297" s="99" t="str">
        <f>IFERROR(IF(#REF!="S",VLOOKUP('Raw Data'!A3297,References!#REF!,2,FALSE),(VLOOKUP($S3297,References!$B$3:$C$8,2,FALSE))),"")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68"/>
        <v>0</v>
      </c>
      <c r="T3298" s="98">
        <f t="shared" si="169"/>
        <v>0</v>
      </c>
      <c r="U3298" s="99" t="str">
        <f>IFERROR(IF(#REF!="S",VLOOKUP('Raw Data'!A3298,References!#REF!,2,FALSE),(VLOOKUP($S3298,References!$B$3:$C$8,2,FALSE))),"")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68"/>
        <v>0</v>
      </c>
      <c r="T3299" s="98">
        <f t="shared" si="169"/>
        <v>0</v>
      </c>
      <c r="U3299" s="99" t="str">
        <f>IFERROR(IF(#REF!="S",VLOOKUP('Raw Data'!A3299,References!#REF!,2,FALSE),(VLOOKUP($S3299,References!$B$3:$C$8,2,FALSE))),"")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68"/>
        <v>0</v>
      </c>
      <c r="T3300" s="98">
        <f t="shared" si="169"/>
        <v>0</v>
      </c>
      <c r="U3300" s="99" t="str">
        <f>IFERROR(IF(#REF!="S",VLOOKUP('Raw Data'!A3300,References!#REF!,2,FALSE),(VLOOKUP($S3300,References!$B$3:$C$8,2,FALSE))),"")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68"/>
        <v>0</v>
      </c>
      <c r="T3301" s="98">
        <f t="shared" si="169"/>
        <v>0</v>
      </c>
      <c r="U3301" s="99" t="str">
        <f>IFERROR(IF(#REF!="S",VLOOKUP('Raw Data'!A3301,References!#REF!,2,FALSE),(VLOOKUP($S3301,References!$B$3:$C$8,2,FALSE))),"")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68"/>
        <v>0</v>
      </c>
      <c r="T3302" s="98">
        <f t="shared" si="169"/>
        <v>0</v>
      </c>
      <c r="U3302" s="99" t="str">
        <f>IFERROR(IF(#REF!="S",VLOOKUP('Raw Data'!A3302,References!#REF!,2,FALSE),(VLOOKUP($S3302,References!$B$3:$C$8,2,FALSE))),"")</f>
        <v/>
      </c>
      <c r="W3302" s="66" t="str">
        <f>IFERROR(VLOOKUP($O3302,'Customer List'!$A$1:$J$488,10,FALSE),"")</f>
        <v/>
      </c>
    </row>
    <row r="3303" spans="18:23">
      <c r="R3303" s="97">
        <f t="shared" si="168"/>
        <v>0</v>
      </c>
      <c r="T3303" s="98">
        <f t="shared" si="169"/>
        <v>0</v>
      </c>
      <c r="U3303" s="99" t="str">
        <f>IFERROR(IF(#REF!="S",VLOOKUP('Raw Data'!A3303,References!#REF!,2,FALSE),(VLOOKUP($S3303,References!$B$3:$C$8,2,FALSE))),"")</f>
        <v/>
      </c>
      <c r="W3303" s="66" t="str">
        <f>IFERROR(VLOOKUP($O3303,'Customer List'!$A$1:$J$488,10,FALSE),"")</f>
        <v/>
      </c>
    </row>
    <row r="3304" spans="18:23">
      <c r="R3304" s="97">
        <f t="shared" ref="R3304:R3367" si="170">L3304-K3304</f>
        <v>0</v>
      </c>
      <c r="T3304" s="98">
        <f t="shared" si="169"/>
        <v>0</v>
      </c>
      <c r="U3304" s="99" t="str">
        <f>IFERROR(IF(#REF!="S",VLOOKUP('Raw Data'!A3304,References!#REF!,2,FALSE),(VLOOKUP($S3304,References!$B$3:$C$8,2,FALSE))),"")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0"/>
        <v>0</v>
      </c>
      <c r="T3305" s="98">
        <f t="shared" si="169"/>
        <v>0</v>
      </c>
      <c r="U3305" s="99" t="str">
        <f>IFERROR(IF(#REF!="S",VLOOKUP('Raw Data'!A3305,References!#REF!,2,FALSE),(VLOOKUP($S3305,References!$B$3:$C$8,2,FALSE))),"")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0"/>
        <v>0</v>
      </c>
      <c r="T3306" s="98">
        <f t="shared" si="169"/>
        <v>0</v>
      </c>
      <c r="U3306" s="99" t="str">
        <f>IFERROR(IF(#REF!="S",VLOOKUP('Raw Data'!A3306,References!#REF!,2,FALSE),(VLOOKUP($S3306,References!$B$3:$C$8,2,FALSE))),"")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0"/>
        <v>0</v>
      </c>
      <c r="T3307" s="98">
        <f t="shared" si="169"/>
        <v>0</v>
      </c>
      <c r="U3307" s="99" t="str">
        <f>IFERROR(IF(#REF!="S",VLOOKUP('Raw Data'!A3307,References!#REF!,2,FALSE),(VLOOKUP($S3307,References!$B$3:$C$8,2,FALSE))),"")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0"/>
        <v>0</v>
      </c>
      <c r="T3308" s="98">
        <f t="shared" si="169"/>
        <v>0</v>
      </c>
      <c r="U3308" s="99" t="str">
        <f>IFERROR(IF(#REF!="S",VLOOKUP('Raw Data'!A3308,References!#REF!,2,FALSE),(VLOOKUP($S3308,References!$B$3:$C$8,2,FALSE))),"")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0"/>
        <v>0</v>
      </c>
      <c r="T3309" s="98">
        <f t="shared" si="169"/>
        <v>0</v>
      </c>
      <c r="U3309" s="99" t="str">
        <f>IFERROR(IF(#REF!="S",VLOOKUP('Raw Data'!A3309,References!#REF!,2,FALSE),(VLOOKUP($S3309,References!$B$3:$C$8,2,FALSE))),"")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0"/>
        <v>0</v>
      </c>
      <c r="T3310" s="98">
        <f t="shared" si="169"/>
        <v>0</v>
      </c>
      <c r="U3310" s="99" t="str">
        <f>IFERROR(IF(#REF!="S",VLOOKUP('Raw Data'!A3310,References!#REF!,2,FALSE),(VLOOKUP($S3310,References!$B$3:$C$8,2,FALSE))),"")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0"/>
        <v>0</v>
      </c>
      <c r="T3311" s="98">
        <f t="shared" si="169"/>
        <v>0</v>
      </c>
      <c r="U3311" s="99" t="str">
        <f>IFERROR(IF(#REF!="S",VLOOKUP('Raw Data'!A3311,References!#REF!,2,FALSE),(VLOOKUP($S3311,References!$B$3:$C$8,2,FALSE))),"")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0"/>
        <v>0</v>
      </c>
      <c r="T3312" s="98">
        <f t="shared" si="169"/>
        <v>0</v>
      </c>
      <c r="U3312" s="99" t="str">
        <f>IFERROR(IF(#REF!="S",VLOOKUP('Raw Data'!A3312,References!#REF!,2,FALSE),(VLOOKUP($S3312,References!$B$3:$C$8,2,FALSE))),"")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0"/>
        <v>0</v>
      </c>
      <c r="T3313" s="98">
        <f t="shared" si="169"/>
        <v>0</v>
      </c>
      <c r="U3313" s="99" t="str">
        <f>IFERROR(IF(#REF!="S",VLOOKUP('Raw Data'!A3313,References!#REF!,2,FALSE),(VLOOKUP($S3313,References!$B$3:$C$8,2,FALSE))),"")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0"/>
        <v>0</v>
      </c>
      <c r="T3314" s="98">
        <f t="shared" si="169"/>
        <v>0</v>
      </c>
      <c r="U3314" s="99" t="str">
        <f>IFERROR(IF(#REF!="S",VLOOKUP('Raw Data'!A3314,References!#REF!,2,FALSE),(VLOOKUP($S3314,References!$B$3:$C$8,2,FALSE))),"")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0"/>
        <v>0</v>
      </c>
      <c r="T3315" s="98">
        <f t="shared" si="169"/>
        <v>0</v>
      </c>
      <c r="U3315" s="99" t="str">
        <f>IFERROR(IF(#REF!="S",VLOOKUP('Raw Data'!A3315,References!#REF!,2,FALSE),(VLOOKUP($S3315,References!$B$3:$C$8,2,FALSE))),"")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0"/>
        <v>0</v>
      </c>
      <c r="T3316" s="98">
        <f t="shared" si="169"/>
        <v>0</v>
      </c>
      <c r="U3316" s="99" t="str">
        <f>IFERROR(IF(#REF!="S",VLOOKUP('Raw Data'!A3316,References!#REF!,2,FALSE),(VLOOKUP($S3316,References!$B$3:$C$8,2,FALSE))),"")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0"/>
        <v>0</v>
      </c>
      <c r="T3317" s="98">
        <f t="shared" si="169"/>
        <v>0</v>
      </c>
      <c r="U3317" s="99" t="str">
        <f>IFERROR(IF(#REF!="S",VLOOKUP('Raw Data'!A3317,References!#REF!,2,FALSE),(VLOOKUP($S3317,References!$B$3:$C$8,2,FALSE))),"")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0"/>
        <v>0</v>
      </c>
      <c r="T3318" s="98">
        <f t="shared" si="169"/>
        <v>0</v>
      </c>
      <c r="U3318" s="99" t="str">
        <f>IFERROR(IF(#REF!="S",VLOOKUP('Raw Data'!A3318,References!#REF!,2,FALSE),(VLOOKUP($S3318,References!$B$3:$C$8,2,FALSE))),"")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0"/>
        <v>0</v>
      </c>
      <c r="T3319" s="98">
        <f t="shared" si="169"/>
        <v>0</v>
      </c>
      <c r="U3319" s="99" t="str">
        <f>IFERROR(IF(#REF!="S",VLOOKUP('Raw Data'!A3319,References!#REF!,2,FALSE),(VLOOKUP($S3319,References!$B$3:$C$8,2,FALSE))),"")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0"/>
        <v>0</v>
      </c>
      <c r="T3320" s="98">
        <f t="shared" si="169"/>
        <v>0</v>
      </c>
      <c r="U3320" s="99" t="str">
        <f>IFERROR(IF(#REF!="S",VLOOKUP('Raw Data'!A3320,References!#REF!,2,FALSE),(VLOOKUP($S3320,References!$B$3:$C$8,2,FALSE))),"")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0"/>
        <v>0</v>
      </c>
      <c r="T3321" s="98">
        <f t="shared" si="169"/>
        <v>0</v>
      </c>
      <c r="U3321" s="99" t="str">
        <f>IFERROR(IF(#REF!="S",VLOOKUP('Raw Data'!A3321,References!#REF!,2,FALSE),(VLOOKUP($S3321,References!$B$3:$C$8,2,FALSE))),"")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0"/>
        <v>0</v>
      </c>
      <c r="T3322" s="98">
        <f t="shared" si="169"/>
        <v>0</v>
      </c>
      <c r="U3322" s="99" t="str">
        <f>IFERROR(IF(#REF!="S",VLOOKUP('Raw Data'!A3322,References!#REF!,2,FALSE),(VLOOKUP($S3322,References!$B$3:$C$8,2,FALSE))),"")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0"/>
        <v>0</v>
      </c>
      <c r="T3323" s="98">
        <f t="shared" si="169"/>
        <v>0</v>
      </c>
      <c r="U3323" s="99" t="str">
        <f>IFERROR(IF(#REF!="S",VLOOKUP('Raw Data'!A3323,References!#REF!,2,FALSE),(VLOOKUP($S3323,References!$B$3:$C$8,2,FALSE))),"")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0"/>
        <v>0</v>
      </c>
      <c r="T3324" s="98">
        <f t="shared" si="169"/>
        <v>0</v>
      </c>
      <c r="U3324" s="99" t="str">
        <f>IFERROR(IF(#REF!="S",VLOOKUP('Raw Data'!A3324,References!#REF!,2,FALSE),(VLOOKUP($S3324,References!$B$3:$C$8,2,FALSE))),"")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0"/>
        <v>0</v>
      </c>
      <c r="T3325" s="98">
        <f t="shared" si="169"/>
        <v>0</v>
      </c>
      <c r="U3325" s="99" t="str">
        <f>IFERROR(IF(#REF!="S",VLOOKUP('Raw Data'!A3325,References!#REF!,2,FALSE),(VLOOKUP($S3325,References!$B$3:$C$8,2,FALSE))),"")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0"/>
        <v>0</v>
      </c>
      <c r="T3326" s="98">
        <f t="shared" si="169"/>
        <v>0</v>
      </c>
      <c r="U3326" s="99" t="str">
        <f>IFERROR(IF(#REF!="S",VLOOKUP('Raw Data'!A3326,References!#REF!,2,FALSE),(VLOOKUP($S3326,References!$B$3:$C$8,2,FALSE))),"")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0"/>
        <v>0</v>
      </c>
      <c r="T3327" s="98">
        <f t="shared" si="169"/>
        <v>0</v>
      </c>
      <c r="U3327" s="99" t="str">
        <f>IFERROR(IF(#REF!="S",VLOOKUP('Raw Data'!A3327,References!#REF!,2,FALSE),(VLOOKUP($S3327,References!$B$3:$C$8,2,FALSE))),"")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0"/>
        <v>0</v>
      </c>
      <c r="T3328" s="98">
        <f t="shared" si="169"/>
        <v>0</v>
      </c>
      <c r="U3328" s="99" t="str">
        <f>IFERROR(IF(#REF!="S",VLOOKUP('Raw Data'!A3328,References!#REF!,2,FALSE),(VLOOKUP($S3328,References!$B$3:$C$8,2,FALSE))),"")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0"/>
        <v>0</v>
      </c>
      <c r="T3329" s="98">
        <f t="shared" si="169"/>
        <v>0</v>
      </c>
      <c r="U3329" s="99" t="str">
        <f>IFERROR(IF(#REF!="S",VLOOKUP('Raw Data'!A3329,References!#REF!,2,FALSE),(VLOOKUP($S3329,References!$B$3:$C$8,2,FALSE))),"")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0"/>
        <v>0</v>
      </c>
      <c r="T3330" s="98">
        <f t="shared" si="169"/>
        <v>0</v>
      </c>
      <c r="U3330" s="99" t="str">
        <f>IFERROR(IF(#REF!="S",VLOOKUP('Raw Data'!A3330,References!#REF!,2,FALSE),(VLOOKUP($S3330,References!$B$3:$C$8,2,FALSE))),"")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0"/>
        <v>0</v>
      </c>
      <c r="T3331" s="98">
        <f t="shared" si="169"/>
        <v>0</v>
      </c>
      <c r="U3331" s="99" t="str">
        <f>IFERROR(IF(#REF!="S",VLOOKUP('Raw Data'!A3331,References!#REF!,2,FALSE),(VLOOKUP($S3331,References!$B$3:$C$8,2,FALSE))),"")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0"/>
        <v>0</v>
      </c>
      <c r="T3332" s="98">
        <f t="shared" si="169"/>
        <v>0</v>
      </c>
      <c r="U3332" s="99" t="str">
        <f>IFERROR(IF(#REF!="S",VLOOKUP('Raw Data'!A3332,References!#REF!,2,FALSE),(VLOOKUP($S3332,References!$B$3:$C$8,2,FALSE))),"")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0"/>
        <v>0</v>
      </c>
      <c r="T3333" s="98">
        <f t="shared" si="169"/>
        <v>0</v>
      </c>
      <c r="U3333" s="99" t="str">
        <f>IFERROR(IF(#REF!="S",VLOOKUP('Raw Data'!A3333,References!#REF!,2,FALSE),(VLOOKUP($S3333,References!$B$3:$C$8,2,FALSE))),"")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0"/>
        <v>0</v>
      </c>
      <c r="T3334" s="98">
        <f t="shared" si="169"/>
        <v>0</v>
      </c>
      <c r="U3334" s="99" t="str">
        <f>IFERROR(IF(#REF!="S",VLOOKUP('Raw Data'!A3334,References!#REF!,2,FALSE),(VLOOKUP($S3334,References!$B$3:$C$8,2,FALSE))),"")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0"/>
        <v>0</v>
      </c>
      <c r="T3335" s="98">
        <f t="shared" si="169"/>
        <v>0</v>
      </c>
      <c r="U3335" s="99" t="str">
        <f>IFERROR(IF(#REF!="S",VLOOKUP('Raw Data'!A3335,References!#REF!,2,FALSE),(VLOOKUP($S3335,References!$B$3:$C$8,2,FALSE))),"")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0"/>
        <v>0</v>
      </c>
      <c r="T3336" s="98">
        <f t="shared" si="169"/>
        <v>0</v>
      </c>
      <c r="U3336" s="99" t="str">
        <f>IFERROR(IF(#REF!="S",VLOOKUP('Raw Data'!A3336,References!#REF!,2,FALSE),(VLOOKUP($S3336,References!$B$3:$C$8,2,FALSE))),"")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0"/>
        <v>0</v>
      </c>
      <c r="T3337" s="98">
        <f t="shared" si="169"/>
        <v>0</v>
      </c>
      <c r="U3337" s="99" t="str">
        <f>IFERROR(IF(#REF!="S",VLOOKUP('Raw Data'!A3337,References!#REF!,2,FALSE),(VLOOKUP($S3337,References!$B$3:$C$8,2,FALSE))),"")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0"/>
        <v>0</v>
      </c>
      <c r="T3338" s="98">
        <f t="shared" si="169"/>
        <v>0</v>
      </c>
      <c r="U3338" s="99" t="str">
        <f>IFERROR(IF(#REF!="S",VLOOKUP('Raw Data'!A3338,References!#REF!,2,FALSE),(VLOOKUP($S3338,References!$B$3:$C$8,2,FALSE))),"")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0"/>
        <v>0</v>
      </c>
      <c r="T3339" s="98">
        <f t="shared" si="169"/>
        <v>0</v>
      </c>
      <c r="U3339" s="99" t="str">
        <f>IFERROR(IF(#REF!="S",VLOOKUP('Raw Data'!A3339,References!#REF!,2,FALSE),(VLOOKUP($S3339,References!$B$3:$C$8,2,FALSE))),"")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0"/>
        <v>0</v>
      </c>
      <c r="T3340" s="98">
        <f t="shared" si="169"/>
        <v>0</v>
      </c>
      <c r="U3340" s="99" t="str">
        <f>IFERROR(IF(#REF!="S",VLOOKUP('Raw Data'!A3340,References!#REF!,2,FALSE),(VLOOKUP($S3340,References!$B$3:$C$8,2,FALSE))),"")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0"/>
        <v>0</v>
      </c>
      <c r="T3341" s="98">
        <f t="shared" si="169"/>
        <v>0</v>
      </c>
      <c r="U3341" s="99" t="str">
        <f>IFERROR(IF(#REF!="S",VLOOKUP('Raw Data'!A3341,References!#REF!,2,FALSE),(VLOOKUP($S3341,References!$B$3:$C$8,2,FALSE))),"")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0"/>
        <v>0</v>
      </c>
      <c r="T3342" s="98">
        <f t="shared" si="169"/>
        <v>0</v>
      </c>
      <c r="U3342" s="99" t="str">
        <f>IFERROR(IF(#REF!="S",VLOOKUP('Raw Data'!A3342,References!#REF!,2,FALSE),(VLOOKUP($S3342,References!$B$3:$C$8,2,FALSE))),"")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0"/>
        <v>0</v>
      </c>
      <c r="T3343" s="98">
        <f t="shared" si="169"/>
        <v>0</v>
      </c>
      <c r="U3343" s="99" t="str">
        <f>IFERROR(IF(#REF!="S",VLOOKUP('Raw Data'!A3343,References!#REF!,2,FALSE),(VLOOKUP($S3343,References!$B$3:$C$8,2,FALSE))),"")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0"/>
        <v>0</v>
      </c>
      <c r="T3344" s="98">
        <f t="shared" ref="T3344:T3407" si="171">IF(S3344="50 - Cleaning Fee",1,HOUR($R3344)+MINUTE(R3344)/60)</f>
        <v>0</v>
      </c>
      <c r="U3344" s="99" t="str">
        <f>IFERROR(IF(#REF!="S",VLOOKUP('Raw Data'!A3344,References!#REF!,2,FALSE),(VLOOKUP($S3344,References!$B$3:$C$8,2,FALSE))),"")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0"/>
        <v>0</v>
      </c>
      <c r="T3345" s="98">
        <f t="shared" si="171"/>
        <v>0</v>
      </c>
      <c r="U3345" s="99" t="str">
        <f>IFERROR(IF(#REF!="S",VLOOKUP('Raw Data'!A3345,References!#REF!,2,FALSE),(VLOOKUP($S3345,References!$B$3:$C$8,2,FALSE))),"")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0"/>
        <v>0</v>
      </c>
      <c r="T3346" s="98">
        <f t="shared" si="171"/>
        <v>0</v>
      </c>
      <c r="U3346" s="99" t="str">
        <f>IFERROR(IF(#REF!="S",VLOOKUP('Raw Data'!A3346,References!#REF!,2,FALSE),(VLOOKUP($S3346,References!$B$3:$C$8,2,FALSE))),"")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0"/>
        <v>0</v>
      </c>
      <c r="T3347" s="98">
        <f t="shared" si="171"/>
        <v>0</v>
      </c>
      <c r="U3347" s="99" t="str">
        <f>IFERROR(IF(#REF!="S",VLOOKUP('Raw Data'!A3347,References!#REF!,2,FALSE),(VLOOKUP($S3347,References!$B$3:$C$8,2,FALSE))),"")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0"/>
        <v>0</v>
      </c>
      <c r="T3348" s="98">
        <f t="shared" si="171"/>
        <v>0</v>
      </c>
      <c r="U3348" s="99" t="str">
        <f>IFERROR(IF(#REF!="S",VLOOKUP('Raw Data'!A3348,References!#REF!,2,FALSE),(VLOOKUP($S3348,References!$B$3:$C$8,2,FALSE))),"")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0"/>
        <v>0</v>
      </c>
      <c r="T3349" s="98">
        <f t="shared" si="171"/>
        <v>0</v>
      </c>
      <c r="U3349" s="99" t="str">
        <f>IFERROR(IF(#REF!="S",VLOOKUP('Raw Data'!A3349,References!#REF!,2,FALSE),(VLOOKUP($S3349,References!$B$3:$C$8,2,FALSE))),"")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0"/>
        <v>0</v>
      </c>
      <c r="T3350" s="98">
        <f t="shared" si="171"/>
        <v>0</v>
      </c>
      <c r="U3350" s="99" t="str">
        <f>IFERROR(IF(#REF!="S",VLOOKUP('Raw Data'!A3350,References!#REF!,2,FALSE),(VLOOKUP($S3350,References!$B$3:$C$8,2,FALSE))),"")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0"/>
        <v>0</v>
      </c>
      <c r="T3351" s="98">
        <f t="shared" si="171"/>
        <v>0</v>
      </c>
      <c r="U3351" s="99" t="str">
        <f>IFERROR(IF(#REF!="S",VLOOKUP('Raw Data'!A3351,References!#REF!,2,FALSE),(VLOOKUP($S3351,References!$B$3:$C$8,2,FALSE))),"")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0"/>
        <v>0</v>
      </c>
      <c r="T3352" s="98">
        <f t="shared" si="171"/>
        <v>0</v>
      </c>
      <c r="U3352" s="99" t="str">
        <f>IFERROR(IF(#REF!="S",VLOOKUP('Raw Data'!A3352,References!#REF!,2,FALSE),(VLOOKUP($S3352,References!$B$3:$C$8,2,FALSE))),"")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0"/>
        <v>0</v>
      </c>
      <c r="T3353" s="98">
        <f t="shared" si="171"/>
        <v>0</v>
      </c>
      <c r="U3353" s="99" t="str">
        <f>IFERROR(IF(#REF!="S",VLOOKUP('Raw Data'!A3353,References!#REF!,2,FALSE),(VLOOKUP($S3353,References!$B$3:$C$8,2,FALSE))),"")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0"/>
        <v>0</v>
      </c>
      <c r="T3354" s="98">
        <f t="shared" si="171"/>
        <v>0</v>
      </c>
      <c r="U3354" s="99" t="str">
        <f>IFERROR(IF(#REF!="S",VLOOKUP('Raw Data'!A3354,References!#REF!,2,FALSE),(VLOOKUP($S3354,References!$B$3:$C$8,2,FALSE))),"")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0"/>
        <v>0</v>
      </c>
      <c r="T3355" s="98">
        <f t="shared" si="171"/>
        <v>0</v>
      </c>
      <c r="U3355" s="99" t="str">
        <f>IFERROR(IF(#REF!="S",VLOOKUP('Raw Data'!A3355,References!#REF!,2,FALSE),(VLOOKUP($S3355,References!$B$3:$C$8,2,FALSE))),"")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0"/>
        <v>0</v>
      </c>
      <c r="T3356" s="98">
        <f t="shared" si="171"/>
        <v>0</v>
      </c>
      <c r="U3356" s="99" t="str">
        <f>IFERROR(IF(#REF!="S",VLOOKUP('Raw Data'!A3356,References!#REF!,2,FALSE),(VLOOKUP($S3356,References!$B$3:$C$8,2,FALSE))),"")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0"/>
        <v>0</v>
      </c>
      <c r="T3357" s="98">
        <f t="shared" si="171"/>
        <v>0</v>
      </c>
      <c r="U3357" s="99" t="str">
        <f>IFERROR(IF(#REF!="S",VLOOKUP('Raw Data'!A3357,References!#REF!,2,FALSE),(VLOOKUP($S3357,References!$B$3:$C$8,2,FALSE))),"")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0"/>
        <v>0</v>
      </c>
      <c r="T3358" s="98">
        <f t="shared" si="171"/>
        <v>0</v>
      </c>
      <c r="U3358" s="99" t="str">
        <f>IFERROR(IF(#REF!="S",VLOOKUP('Raw Data'!A3358,References!#REF!,2,FALSE),(VLOOKUP($S3358,References!$B$3:$C$8,2,FALSE))),"")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0"/>
        <v>0</v>
      </c>
      <c r="T3359" s="98">
        <f t="shared" si="171"/>
        <v>0</v>
      </c>
      <c r="U3359" s="99" t="str">
        <f>IFERROR(IF(#REF!="S",VLOOKUP('Raw Data'!A3359,References!#REF!,2,FALSE),(VLOOKUP($S3359,References!$B$3:$C$8,2,FALSE))),"")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0"/>
        <v>0</v>
      </c>
      <c r="T3360" s="98">
        <f t="shared" si="171"/>
        <v>0</v>
      </c>
      <c r="U3360" s="99" t="str">
        <f>IFERROR(IF(#REF!="S",VLOOKUP('Raw Data'!A3360,References!#REF!,2,FALSE),(VLOOKUP($S3360,References!$B$3:$C$8,2,FALSE))),"")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0"/>
        <v>0</v>
      </c>
      <c r="T3361" s="98">
        <f t="shared" si="171"/>
        <v>0</v>
      </c>
      <c r="U3361" s="99" t="str">
        <f>IFERROR(IF(#REF!="S",VLOOKUP('Raw Data'!A3361,References!#REF!,2,FALSE),(VLOOKUP($S3361,References!$B$3:$C$8,2,FALSE))),"")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0"/>
        <v>0</v>
      </c>
      <c r="T3362" s="98">
        <f t="shared" si="171"/>
        <v>0</v>
      </c>
      <c r="U3362" s="99" t="str">
        <f>IFERROR(IF(#REF!="S",VLOOKUP('Raw Data'!A3362,References!#REF!,2,FALSE),(VLOOKUP($S3362,References!$B$3:$C$8,2,FALSE))),"")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0"/>
        <v>0</v>
      </c>
      <c r="T3363" s="98">
        <f t="shared" si="171"/>
        <v>0</v>
      </c>
      <c r="U3363" s="99" t="str">
        <f>IFERROR(IF(#REF!="S",VLOOKUP('Raw Data'!A3363,References!#REF!,2,FALSE),(VLOOKUP($S3363,References!$B$3:$C$8,2,FALSE))),"")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0"/>
        <v>0</v>
      </c>
      <c r="T3364" s="98">
        <f t="shared" si="171"/>
        <v>0</v>
      </c>
      <c r="U3364" s="99" t="str">
        <f>IFERROR(IF(#REF!="S",VLOOKUP('Raw Data'!A3364,References!#REF!,2,FALSE),(VLOOKUP($S3364,References!$B$3:$C$8,2,FALSE))),"")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0"/>
        <v>0</v>
      </c>
      <c r="T3365" s="98">
        <f t="shared" si="171"/>
        <v>0</v>
      </c>
      <c r="U3365" s="99" t="str">
        <f>IFERROR(IF(#REF!="S",VLOOKUP('Raw Data'!A3365,References!#REF!,2,FALSE),(VLOOKUP($S3365,References!$B$3:$C$8,2,FALSE))),"")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0"/>
        <v>0</v>
      </c>
      <c r="T3366" s="98">
        <f t="shared" si="171"/>
        <v>0</v>
      </c>
      <c r="U3366" s="99" t="str">
        <f>IFERROR(IF(#REF!="S",VLOOKUP('Raw Data'!A3366,References!#REF!,2,FALSE),(VLOOKUP($S3366,References!$B$3:$C$8,2,FALSE))),"")</f>
        <v/>
      </c>
      <c r="W3366" s="66" t="str">
        <f>IFERROR(VLOOKUP($O3366,'Customer List'!$A$1:$J$488,10,FALSE),"")</f>
        <v/>
      </c>
    </row>
    <row r="3367" spans="18:23">
      <c r="R3367" s="97">
        <f t="shared" si="170"/>
        <v>0</v>
      </c>
      <c r="T3367" s="98">
        <f t="shared" si="171"/>
        <v>0</v>
      </c>
      <c r="U3367" s="99" t="str">
        <f>IFERROR(IF(#REF!="S",VLOOKUP('Raw Data'!A3367,References!#REF!,2,FALSE),(VLOOKUP($S3367,References!$B$3:$C$8,2,FALSE))),"")</f>
        <v/>
      </c>
      <c r="W3367" s="66" t="str">
        <f>IFERROR(VLOOKUP($O3367,'Customer List'!$A$1:$J$488,10,FALSE),"")</f>
        <v/>
      </c>
    </row>
    <row r="3368" spans="18:23">
      <c r="R3368" s="97">
        <f t="shared" ref="R3368:R3431" si="172">L3368-K3368</f>
        <v>0</v>
      </c>
      <c r="T3368" s="98">
        <f t="shared" si="171"/>
        <v>0</v>
      </c>
      <c r="U3368" s="99" t="str">
        <f>IFERROR(IF(#REF!="S",VLOOKUP('Raw Data'!A3368,References!#REF!,2,FALSE),(VLOOKUP($S3368,References!$B$3:$C$8,2,FALSE))),"")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2"/>
        <v>0</v>
      </c>
      <c r="T3369" s="98">
        <f t="shared" si="171"/>
        <v>0</v>
      </c>
      <c r="U3369" s="99" t="str">
        <f>IFERROR(IF(#REF!="S",VLOOKUP('Raw Data'!A3369,References!#REF!,2,FALSE),(VLOOKUP($S3369,References!$B$3:$C$8,2,FALSE))),"")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2"/>
        <v>0</v>
      </c>
      <c r="T3370" s="98">
        <f t="shared" si="171"/>
        <v>0</v>
      </c>
      <c r="U3370" s="99" t="str">
        <f>IFERROR(IF(#REF!="S",VLOOKUP('Raw Data'!A3370,References!#REF!,2,FALSE),(VLOOKUP($S3370,References!$B$3:$C$8,2,FALSE))),"")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2"/>
        <v>0</v>
      </c>
      <c r="T3371" s="98">
        <f t="shared" si="171"/>
        <v>0</v>
      </c>
      <c r="U3371" s="99" t="str">
        <f>IFERROR(IF(#REF!="S",VLOOKUP('Raw Data'!A3371,References!#REF!,2,FALSE),(VLOOKUP($S3371,References!$B$3:$C$8,2,FALSE))),"")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2"/>
        <v>0</v>
      </c>
      <c r="T3372" s="98">
        <f t="shared" si="171"/>
        <v>0</v>
      </c>
      <c r="U3372" s="99" t="str">
        <f>IFERROR(IF(#REF!="S",VLOOKUP('Raw Data'!A3372,References!#REF!,2,FALSE),(VLOOKUP($S3372,References!$B$3:$C$8,2,FALSE))),"")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2"/>
        <v>0</v>
      </c>
      <c r="T3373" s="98">
        <f t="shared" si="171"/>
        <v>0</v>
      </c>
      <c r="U3373" s="99" t="str">
        <f>IFERROR(IF(#REF!="S",VLOOKUP('Raw Data'!A3373,References!#REF!,2,FALSE),(VLOOKUP($S3373,References!$B$3:$C$8,2,FALSE))),"")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2"/>
        <v>0</v>
      </c>
      <c r="T3374" s="98">
        <f t="shared" si="171"/>
        <v>0</v>
      </c>
      <c r="U3374" s="99" t="str">
        <f>IFERROR(IF(#REF!="S",VLOOKUP('Raw Data'!A3374,References!#REF!,2,FALSE),(VLOOKUP($S3374,References!$B$3:$C$8,2,FALSE))),"")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2"/>
        <v>0</v>
      </c>
      <c r="T3375" s="98">
        <f t="shared" si="171"/>
        <v>0</v>
      </c>
      <c r="U3375" s="99" t="str">
        <f>IFERROR(IF(#REF!="S",VLOOKUP('Raw Data'!A3375,References!#REF!,2,FALSE),(VLOOKUP($S3375,References!$B$3:$C$8,2,FALSE))),"")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2"/>
        <v>0</v>
      </c>
      <c r="T3376" s="98">
        <f t="shared" si="171"/>
        <v>0</v>
      </c>
      <c r="U3376" s="99" t="str">
        <f>IFERROR(IF(#REF!="S",VLOOKUP('Raw Data'!A3376,References!#REF!,2,FALSE),(VLOOKUP($S3376,References!$B$3:$C$8,2,FALSE))),"")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2"/>
        <v>0</v>
      </c>
      <c r="T3377" s="98">
        <f t="shared" si="171"/>
        <v>0</v>
      </c>
      <c r="U3377" s="99" t="str">
        <f>IFERROR(IF(#REF!="S",VLOOKUP('Raw Data'!A3377,References!#REF!,2,FALSE),(VLOOKUP($S3377,References!$B$3:$C$8,2,FALSE))),"")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2"/>
        <v>0</v>
      </c>
      <c r="T3378" s="98">
        <f t="shared" si="171"/>
        <v>0</v>
      </c>
      <c r="U3378" s="99" t="str">
        <f>IFERROR(IF(#REF!="S",VLOOKUP('Raw Data'!A3378,References!#REF!,2,FALSE),(VLOOKUP($S3378,References!$B$3:$C$8,2,FALSE))),"")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2"/>
        <v>0</v>
      </c>
      <c r="T3379" s="98">
        <f t="shared" si="171"/>
        <v>0</v>
      </c>
      <c r="U3379" s="99" t="str">
        <f>IFERROR(IF(#REF!="S",VLOOKUP('Raw Data'!A3379,References!#REF!,2,FALSE),(VLOOKUP($S3379,References!$B$3:$C$8,2,FALSE))),"")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2"/>
        <v>0</v>
      </c>
      <c r="T3380" s="98">
        <f t="shared" si="171"/>
        <v>0</v>
      </c>
      <c r="U3380" s="99" t="str">
        <f>IFERROR(IF(#REF!="S",VLOOKUP('Raw Data'!A3380,References!#REF!,2,FALSE),(VLOOKUP($S3380,References!$B$3:$C$8,2,FALSE))),"")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2"/>
        <v>0</v>
      </c>
      <c r="T3381" s="98">
        <f t="shared" si="171"/>
        <v>0</v>
      </c>
      <c r="U3381" s="99" t="str">
        <f>IFERROR(IF(#REF!="S",VLOOKUP('Raw Data'!A3381,References!#REF!,2,FALSE),(VLOOKUP($S3381,References!$B$3:$C$8,2,FALSE))),"")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2"/>
        <v>0</v>
      </c>
      <c r="T3382" s="98">
        <f t="shared" si="171"/>
        <v>0</v>
      </c>
      <c r="U3382" s="99" t="str">
        <f>IFERROR(IF(#REF!="S",VLOOKUP('Raw Data'!A3382,References!#REF!,2,FALSE),(VLOOKUP($S3382,References!$B$3:$C$8,2,FALSE))),"")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2"/>
        <v>0</v>
      </c>
      <c r="T3383" s="98">
        <f t="shared" si="171"/>
        <v>0</v>
      </c>
      <c r="U3383" s="99" t="str">
        <f>IFERROR(IF(#REF!="S",VLOOKUP('Raw Data'!A3383,References!#REF!,2,FALSE),(VLOOKUP($S3383,References!$B$3:$C$8,2,FALSE))),"")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2"/>
        <v>0</v>
      </c>
      <c r="T3384" s="98">
        <f t="shared" si="171"/>
        <v>0</v>
      </c>
      <c r="U3384" s="99" t="str">
        <f>IFERROR(IF(#REF!="S",VLOOKUP('Raw Data'!A3384,References!#REF!,2,FALSE),(VLOOKUP($S3384,References!$B$3:$C$8,2,FALSE))),"")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2"/>
        <v>0</v>
      </c>
      <c r="T3385" s="98">
        <f t="shared" si="171"/>
        <v>0</v>
      </c>
      <c r="U3385" s="99" t="str">
        <f>IFERROR(IF(#REF!="S",VLOOKUP('Raw Data'!A3385,References!#REF!,2,FALSE),(VLOOKUP($S3385,References!$B$3:$C$8,2,FALSE))),"")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2"/>
        <v>0</v>
      </c>
      <c r="T3386" s="98">
        <f t="shared" si="171"/>
        <v>0</v>
      </c>
      <c r="U3386" s="99" t="str">
        <f>IFERROR(IF(#REF!="S",VLOOKUP('Raw Data'!A3386,References!#REF!,2,FALSE),(VLOOKUP($S3386,References!$B$3:$C$8,2,FALSE))),"")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2"/>
        <v>0</v>
      </c>
      <c r="T3387" s="98">
        <f t="shared" si="171"/>
        <v>0</v>
      </c>
      <c r="U3387" s="99" t="str">
        <f>IFERROR(IF(#REF!="S",VLOOKUP('Raw Data'!A3387,References!#REF!,2,FALSE),(VLOOKUP($S3387,References!$B$3:$C$8,2,FALSE))),"")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2"/>
        <v>0</v>
      </c>
      <c r="T3388" s="98">
        <f t="shared" si="171"/>
        <v>0</v>
      </c>
      <c r="U3388" s="99" t="str">
        <f>IFERROR(IF(#REF!="S",VLOOKUP('Raw Data'!A3388,References!#REF!,2,FALSE),(VLOOKUP($S3388,References!$B$3:$C$8,2,FALSE))),"")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2"/>
        <v>0</v>
      </c>
      <c r="T3389" s="98">
        <f t="shared" si="171"/>
        <v>0</v>
      </c>
      <c r="U3389" s="99" t="str">
        <f>IFERROR(IF(#REF!="S",VLOOKUP('Raw Data'!A3389,References!#REF!,2,FALSE),(VLOOKUP($S3389,References!$B$3:$C$8,2,FALSE))),"")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2"/>
        <v>0</v>
      </c>
      <c r="T3390" s="98">
        <f t="shared" si="171"/>
        <v>0</v>
      </c>
      <c r="U3390" s="99" t="str">
        <f>IFERROR(IF(#REF!="S",VLOOKUP('Raw Data'!A3390,References!#REF!,2,FALSE),(VLOOKUP($S3390,References!$B$3:$C$8,2,FALSE))),"")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2"/>
        <v>0</v>
      </c>
      <c r="T3391" s="98">
        <f t="shared" si="171"/>
        <v>0</v>
      </c>
      <c r="U3391" s="99" t="str">
        <f>IFERROR(IF(#REF!="S",VLOOKUP('Raw Data'!A3391,References!#REF!,2,FALSE),(VLOOKUP($S3391,References!$B$3:$C$8,2,FALSE))),"")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2"/>
        <v>0</v>
      </c>
      <c r="T3392" s="98">
        <f t="shared" si="171"/>
        <v>0</v>
      </c>
      <c r="U3392" s="99" t="str">
        <f>IFERROR(IF(#REF!="S",VLOOKUP('Raw Data'!A3392,References!#REF!,2,FALSE),(VLOOKUP($S3392,References!$B$3:$C$8,2,FALSE))),"")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2"/>
        <v>0</v>
      </c>
      <c r="T3393" s="98">
        <f t="shared" si="171"/>
        <v>0</v>
      </c>
      <c r="U3393" s="99" t="str">
        <f>IFERROR(IF(#REF!="S",VLOOKUP('Raw Data'!A3393,References!#REF!,2,FALSE),(VLOOKUP($S3393,References!$B$3:$C$8,2,FALSE))),"")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2"/>
        <v>0</v>
      </c>
      <c r="T3394" s="98">
        <f t="shared" si="171"/>
        <v>0</v>
      </c>
      <c r="U3394" s="99" t="str">
        <f>IFERROR(IF(#REF!="S",VLOOKUP('Raw Data'!A3394,References!#REF!,2,FALSE),(VLOOKUP($S3394,References!$B$3:$C$8,2,FALSE))),"")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2"/>
        <v>0</v>
      </c>
      <c r="T3395" s="98">
        <f t="shared" si="171"/>
        <v>0</v>
      </c>
      <c r="U3395" s="99" t="str">
        <f>IFERROR(IF(#REF!="S",VLOOKUP('Raw Data'!A3395,References!#REF!,2,FALSE),(VLOOKUP($S3395,References!$B$3:$C$8,2,FALSE))),"")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2"/>
        <v>0</v>
      </c>
      <c r="T3396" s="98">
        <f t="shared" si="171"/>
        <v>0</v>
      </c>
      <c r="U3396" s="99" t="str">
        <f>IFERROR(IF(#REF!="S",VLOOKUP('Raw Data'!A3396,References!#REF!,2,FALSE),(VLOOKUP($S3396,References!$B$3:$C$8,2,FALSE))),"")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2"/>
        <v>0</v>
      </c>
      <c r="T3397" s="98">
        <f t="shared" si="171"/>
        <v>0</v>
      </c>
      <c r="U3397" s="99" t="str">
        <f>IFERROR(IF(#REF!="S",VLOOKUP('Raw Data'!A3397,References!#REF!,2,FALSE),(VLOOKUP($S3397,References!$B$3:$C$8,2,FALSE))),"")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2"/>
        <v>0</v>
      </c>
      <c r="T3398" s="98">
        <f t="shared" si="171"/>
        <v>0</v>
      </c>
      <c r="U3398" s="99" t="str">
        <f>IFERROR(IF(#REF!="S",VLOOKUP('Raw Data'!A3398,References!#REF!,2,FALSE),(VLOOKUP($S3398,References!$B$3:$C$8,2,FALSE))),"")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2"/>
        <v>0</v>
      </c>
      <c r="T3399" s="98">
        <f t="shared" si="171"/>
        <v>0</v>
      </c>
      <c r="U3399" s="99" t="str">
        <f>IFERROR(IF(#REF!="S",VLOOKUP('Raw Data'!A3399,References!#REF!,2,FALSE),(VLOOKUP($S3399,References!$B$3:$C$8,2,FALSE))),"")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2"/>
        <v>0</v>
      </c>
      <c r="T3400" s="98">
        <f t="shared" si="171"/>
        <v>0</v>
      </c>
      <c r="U3400" s="99" t="str">
        <f>IFERROR(IF(#REF!="S",VLOOKUP('Raw Data'!A3400,References!#REF!,2,FALSE),(VLOOKUP($S3400,References!$B$3:$C$8,2,FALSE))),"")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2"/>
        <v>0</v>
      </c>
      <c r="T3401" s="98">
        <f t="shared" si="171"/>
        <v>0</v>
      </c>
      <c r="U3401" s="99" t="str">
        <f>IFERROR(IF(#REF!="S",VLOOKUP('Raw Data'!A3401,References!#REF!,2,FALSE),(VLOOKUP($S3401,References!$B$3:$C$8,2,FALSE))),"")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2"/>
        <v>0</v>
      </c>
      <c r="T3402" s="98">
        <f t="shared" si="171"/>
        <v>0</v>
      </c>
      <c r="U3402" s="99" t="str">
        <f>IFERROR(IF(#REF!="S",VLOOKUP('Raw Data'!A3402,References!#REF!,2,FALSE),(VLOOKUP($S3402,References!$B$3:$C$8,2,FALSE))),"")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2"/>
        <v>0</v>
      </c>
      <c r="T3403" s="98">
        <f t="shared" si="171"/>
        <v>0</v>
      </c>
      <c r="U3403" s="99" t="str">
        <f>IFERROR(IF(#REF!="S",VLOOKUP('Raw Data'!A3403,References!#REF!,2,FALSE),(VLOOKUP($S3403,References!$B$3:$C$8,2,FALSE))),"")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2"/>
        <v>0</v>
      </c>
      <c r="T3404" s="98">
        <f t="shared" si="171"/>
        <v>0</v>
      </c>
      <c r="U3404" s="99" t="str">
        <f>IFERROR(IF(#REF!="S",VLOOKUP('Raw Data'!A3404,References!#REF!,2,FALSE),(VLOOKUP($S3404,References!$B$3:$C$8,2,FALSE))),"")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2"/>
        <v>0</v>
      </c>
      <c r="T3405" s="98">
        <f t="shared" si="171"/>
        <v>0</v>
      </c>
      <c r="U3405" s="99" t="str">
        <f>IFERROR(IF(#REF!="S",VLOOKUP('Raw Data'!A3405,References!#REF!,2,FALSE),(VLOOKUP($S3405,References!$B$3:$C$8,2,FALSE))),"")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2"/>
        <v>0</v>
      </c>
      <c r="T3406" s="98">
        <f t="shared" si="171"/>
        <v>0</v>
      </c>
      <c r="U3406" s="99" t="str">
        <f>IFERROR(IF(#REF!="S",VLOOKUP('Raw Data'!A3406,References!#REF!,2,FALSE),(VLOOKUP($S3406,References!$B$3:$C$8,2,FALSE))),"")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2"/>
        <v>0</v>
      </c>
      <c r="T3407" s="98">
        <f t="shared" si="171"/>
        <v>0</v>
      </c>
      <c r="U3407" s="99" t="str">
        <f>IFERROR(IF(#REF!="S",VLOOKUP('Raw Data'!A3407,References!#REF!,2,FALSE),(VLOOKUP($S3407,References!$B$3:$C$8,2,FALSE))),"")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2"/>
        <v>0</v>
      </c>
      <c r="T3408" s="98">
        <f t="shared" ref="T3408:T3471" si="173">IF(S3408="50 - Cleaning Fee",1,HOUR($R3408)+MINUTE(R3408)/60)</f>
        <v>0</v>
      </c>
      <c r="U3408" s="99" t="str">
        <f>IFERROR(IF(#REF!="S",VLOOKUP('Raw Data'!A3408,References!#REF!,2,FALSE),(VLOOKUP($S3408,References!$B$3:$C$8,2,FALSE))),"")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2"/>
        <v>0</v>
      </c>
      <c r="T3409" s="98">
        <f t="shared" si="173"/>
        <v>0</v>
      </c>
      <c r="U3409" s="99" t="str">
        <f>IFERROR(IF(#REF!="S",VLOOKUP('Raw Data'!A3409,References!#REF!,2,FALSE),(VLOOKUP($S3409,References!$B$3:$C$8,2,FALSE))),"")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2"/>
        <v>0</v>
      </c>
      <c r="T3410" s="98">
        <f t="shared" si="173"/>
        <v>0</v>
      </c>
      <c r="U3410" s="99" t="str">
        <f>IFERROR(IF(#REF!="S",VLOOKUP('Raw Data'!A3410,References!#REF!,2,FALSE),(VLOOKUP($S3410,References!$B$3:$C$8,2,FALSE))),"")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2"/>
        <v>0</v>
      </c>
      <c r="T3411" s="98">
        <f t="shared" si="173"/>
        <v>0</v>
      </c>
      <c r="U3411" s="99" t="str">
        <f>IFERROR(IF(#REF!="S",VLOOKUP('Raw Data'!A3411,References!#REF!,2,FALSE),(VLOOKUP($S3411,References!$B$3:$C$8,2,FALSE))),"")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2"/>
        <v>0</v>
      </c>
      <c r="T3412" s="98">
        <f t="shared" si="173"/>
        <v>0</v>
      </c>
      <c r="U3412" s="99" t="str">
        <f>IFERROR(IF(#REF!="S",VLOOKUP('Raw Data'!A3412,References!#REF!,2,FALSE),(VLOOKUP($S3412,References!$B$3:$C$8,2,FALSE))),"")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2"/>
        <v>0</v>
      </c>
      <c r="T3413" s="98">
        <f t="shared" si="173"/>
        <v>0</v>
      </c>
      <c r="U3413" s="99" t="str">
        <f>IFERROR(IF(#REF!="S",VLOOKUP('Raw Data'!A3413,References!#REF!,2,FALSE),(VLOOKUP($S3413,References!$B$3:$C$8,2,FALSE))),"")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2"/>
        <v>0</v>
      </c>
      <c r="T3414" s="98">
        <f t="shared" si="173"/>
        <v>0</v>
      </c>
      <c r="U3414" s="99" t="str">
        <f>IFERROR(IF(#REF!="S",VLOOKUP('Raw Data'!A3414,References!#REF!,2,FALSE),(VLOOKUP($S3414,References!$B$3:$C$8,2,FALSE))),"")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2"/>
        <v>0</v>
      </c>
      <c r="T3415" s="98">
        <f t="shared" si="173"/>
        <v>0</v>
      </c>
      <c r="U3415" s="99" t="str">
        <f>IFERROR(IF(#REF!="S",VLOOKUP('Raw Data'!A3415,References!#REF!,2,FALSE),(VLOOKUP($S3415,References!$B$3:$C$8,2,FALSE))),"")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2"/>
        <v>0</v>
      </c>
      <c r="T3416" s="98">
        <f t="shared" si="173"/>
        <v>0</v>
      </c>
      <c r="U3416" s="99" t="str">
        <f>IFERROR(IF(#REF!="S",VLOOKUP('Raw Data'!A3416,References!#REF!,2,FALSE),(VLOOKUP($S3416,References!$B$3:$C$8,2,FALSE))),"")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2"/>
        <v>0</v>
      </c>
      <c r="T3417" s="98">
        <f t="shared" si="173"/>
        <v>0</v>
      </c>
      <c r="U3417" s="99" t="str">
        <f>IFERROR(IF(#REF!="S",VLOOKUP('Raw Data'!A3417,References!#REF!,2,FALSE),(VLOOKUP($S3417,References!$B$3:$C$8,2,FALSE))),"")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2"/>
        <v>0</v>
      </c>
      <c r="T3418" s="98">
        <f t="shared" si="173"/>
        <v>0</v>
      </c>
      <c r="U3418" s="99" t="str">
        <f>IFERROR(IF(#REF!="S",VLOOKUP('Raw Data'!A3418,References!#REF!,2,FALSE),(VLOOKUP($S3418,References!$B$3:$C$8,2,FALSE))),"")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2"/>
        <v>0</v>
      </c>
      <c r="T3419" s="98">
        <f t="shared" si="173"/>
        <v>0</v>
      </c>
      <c r="U3419" s="99" t="str">
        <f>IFERROR(IF(#REF!="S",VLOOKUP('Raw Data'!A3419,References!#REF!,2,FALSE),(VLOOKUP($S3419,References!$B$3:$C$8,2,FALSE))),"")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2"/>
        <v>0</v>
      </c>
      <c r="T3420" s="98">
        <f t="shared" si="173"/>
        <v>0</v>
      </c>
      <c r="U3420" s="99" t="str">
        <f>IFERROR(IF(#REF!="S",VLOOKUP('Raw Data'!A3420,References!#REF!,2,FALSE),(VLOOKUP($S3420,References!$B$3:$C$8,2,FALSE))),"")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2"/>
        <v>0</v>
      </c>
      <c r="T3421" s="98">
        <f t="shared" si="173"/>
        <v>0</v>
      </c>
      <c r="U3421" s="99" t="str">
        <f>IFERROR(IF(#REF!="S",VLOOKUP('Raw Data'!A3421,References!#REF!,2,FALSE),(VLOOKUP($S3421,References!$B$3:$C$8,2,FALSE))),"")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2"/>
        <v>0</v>
      </c>
      <c r="T3422" s="98">
        <f t="shared" si="173"/>
        <v>0</v>
      </c>
      <c r="U3422" s="99" t="str">
        <f>IFERROR(IF(#REF!="S",VLOOKUP('Raw Data'!A3422,References!#REF!,2,FALSE),(VLOOKUP($S3422,References!$B$3:$C$8,2,FALSE))),"")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2"/>
        <v>0</v>
      </c>
      <c r="T3423" s="98">
        <f t="shared" si="173"/>
        <v>0</v>
      </c>
      <c r="U3423" s="99" t="str">
        <f>IFERROR(IF(#REF!="S",VLOOKUP('Raw Data'!A3423,References!#REF!,2,FALSE),(VLOOKUP($S3423,References!$B$3:$C$8,2,FALSE))),"")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2"/>
        <v>0</v>
      </c>
      <c r="T3424" s="98">
        <f t="shared" si="173"/>
        <v>0</v>
      </c>
      <c r="U3424" s="99" t="str">
        <f>IFERROR(IF(#REF!="S",VLOOKUP('Raw Data'!A3424,References!#REF!,2,FALSE),(VLOOKUP($S3424,References!$B$3:$C$8,2,FALSE))),"")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2"/>
        <v>0</v>
      </c>
      <c r="T3425" s="98">
        <f t="shared" si="173"/>
        <v>0</v>
      </c>
      <c r="U3425" s="99" t="str">
        <f>IFERROR(IF(#REF!="S",VLOOKUP('Raw Data'!A3425,References!#REF!,2,FALSE),(VLOOKUP($S3425,References!$B$3:$C$8,2,FALSE))),"")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2"/>
        <v>0</v>
      </c>
      <c r="T3426" s="98">
        <f t="shared" si="173"/>
        <v>0</v>
      </c>
      <c r="U3426" s="99" t="str">
        <f>IFERROR(IF(#REF!="S",VLOOKUP('Raw Data'!A3426,References!#REF!,2,FALSE),(VLOOKUP($S3426,References!$B$3:$C$8,2,FALSE))),"")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2"/>
        <v>0</v>
      </c>
      <c r="T3427" s="98">
        <f t="shared" si="173"/>
        <v>0</v>
      </c>
      <c r="U3427" s="99" t="str">
        <f>IFERROR(IF(#REF!="S",VLOOKUP('Raw Data'!A3427,References!#REF!,2,FALSE),(VLOOKUP($S3427,References!$B$3:$C$8,2,FALSE))),"")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2"/>
        <v>0</v>
      </c>
      <c r="T3428" s="98">
        <f t="shared" si="173"/>
        <v>0</v>
      </c>
      <c r="U3428" s="99" t="str">
        <f>IFERROR(IF(#REF!="S",VLOOKUP('Raw Data'!A3428,References!#REF!,2,FALSE),(VLOOKUP($S3428,References!$B$3:$C$8,2,FALSE))),"")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2"/>
        <v>0</v>
      </c>
      <c r="T3429" s="98">
        <f t="shared" si="173"/>
        <v>0</v>
      </c>
      <c r="U3429" s="99" t="str">
        <f>IFERROR(IF(#REF!="S",VLOOKUP('Raw Data'!A3429,References!#REF!,2,FALSE),(VLOOKUP($S3429,References!$B$3:$C$8,2,FALSE))),"")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2"/>
        <v>0</v>
      </c>
      <c r="T3430" s="98">
        <f t="shared" si="173"/>
        <v>0</v>
      </c>
      <c r="U3430" s="99" t="str">
        <f>IFERROR(IF(#REF!="S",VLOOKUP('Raw Data'!A3430,References!#REF!,2,FALSE),(VLOOKUP($S3430,References!$B$3:$C$8,2,FALSE))),"")</f>
        <v/>
      </c>
      <c r="W3430" s="66" t="str">
        <f>IFERROR(VLOOKUP($O3430,'Customer List'!$A$1:$J$488,10,FALSE),"")</f>
        <v/>
      </c>
    </row>
    <row r="3431" spans="18:23">
      <c r="R3431" s="97">
        <f t="shared" si="172"/>
        <v>0</v>
      </c>
      <c r="T3431" s="98">
        <f t="shared" si="173"/>
        <v>0</v>
      </c>
      <c r="U3431" s="99" t="str">
        <f>IFERROR(IF(#REF!="S",VLOOKUP('Raw Data'!A3431,References!#REF!,2,FALSE),(VLOOKUP($S3431,References!$B$3:$C$8,2,FALSE))),"")</f>
        <v/>
      </c>
      <c r="W3431" s="66" t="str">
        <f>IFERROR(VLOOKUP($O3431,'Customer List'!$A$1:$J$488,10,FALSE),"")</f>
        <v/>
      </c>
    </row>
    <row r="3432" spans="18:23">
      <c r="R3432" s="97">
        <f t="shared" ref="R3432:R3495" si="174">L3432-K3432</f>
        <v>0</v>
      </c>
      <c r="T3432" s="98">
        <f t="shared" si="173"/>
        <v>0</v>
      </c>
      <c r="U3432" s="99" t="str">
        <f>IFERROR(IF(#REF!="S",VLOOKUP('Raw Data'!A3432,References!#REF!,2,FALSE),(VLOOKUP($S3432,References!$B$3:$C$8,2,FALSE))),"")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4"/>
        <v>0</v>
      </c>
      <c r="T3433" s="98">
        <f t="shared" si="173"/>
        <v>0</v>
      </c>
      <c r="U3433" s="99" t="str">
        <f>IFERROR(IF(#REF!="S",VLOOKUP('Raw Data'!A3433,References!#REF!,2,FALSE),(VLOOKUP($S3433,References!$B$3:$C$8,2,FALSE))),"")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4"/>
        <v>0</v>
      </c>
      <c r="T3434" s="98">
        <f t="shared" si="173"/>
        <v>0</v>
      </c>
      <c r="U3434" s="99" t="str">
        <f>IFERROR(IF(#REF!="S",VLOOKUP('Raw Data'!A3434,References!#REF!,2,FALSE),(VLOOKUP($S3434,References!$B$3:$C$8,2,FALSE))),"")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4"/>
        <v>0</v>
      </c>
      <c r="T3435" s="98">
        <f t="shared" si="173"/>
        <v>0</v>
      </c>
      <c r="U3435" s="99" t="str">
        <f>IFERROR(IF(#REF!="S",VLOOKUP('Raw Data'!A3435,References!#REF!,2,FALSE),(VLOOKUP($S3435,References!$B$3:$C$8,2,FALSE))),"")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4"/>
        <v>0</v>
      </c>
      <c r="T3436" s="98">
        <f t="shared" si="173"/>
        <v>0</v>
      </c>
      <c r="U3436" s="99" t="str">
        <f>IFERROR(IF(#REF!="S",VLOOKUP('Raw Data'!A3436,References!#REF!,2,FALSE),(VLOOKUP($S3436,References!$B$3:$C$8,2,FALSE))),"")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4"/>
        <v>0</v>
      </c>
      <c r="T3437" s="98">
        <f t="shared" si="173"/>
        <v>0</v>
      </c>
      <c r="U3437" s="99" t="str">
        <f>IFERROR(IF(#REF!="S",VLOOKUP('Raw Data'!A3437,References!#REF!,2,FALSE),(VLOOKUP($S3437,References!$B$3:$C$8,2,FALSE))),"")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4"/>
        <v>0</v>
      </c>
      <c r="T3438" s="98">
        <f t="shared" si="173"/>
        <v>0</v>
      </c>
      <c r="U3438" s="99" t="str">
        <f>IFERROR(IF(#REF!="S",VLOOKUP('Raw Data'!A3438,References!#REF!,2,FALSE),(VLOOKUP($S3438,References!$B$3:$C$8,2,FALSE))),"")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4"/>
        <v>0</v>
      </c>
      <c r="T3439" s="98">
        <f t="shared" si="173"/>
        <v>0</v>
      </c>
      <c r="U3439" s="99" t="str">
        <f>IFERROR(IF(#REF!="S",VLOOKUP('Raw Data'!A3439,References!#REF!,2,FALSE),(VLOOKUP($S3439,References!$B$3:$C$8,2,FALSE))),"")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4"/>
        <v>0</v>
      </c>
      <c r="T3440" s="98">
        <f t="shared" si="173"/>
        <v>0</v>
      </c>
      <c r="U3440" s="99" t="str">
        <f>IFERROR(IF(#REF!="S",VLOOKUP('Raw Data'!A3440,References!#REF!,2,FALSE),(VLOOKUP($S3440,References!$B$3:$C$8,2,FALSE))),"")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4"/>
        <v>0</v>
      </c>
      <c r="T3441" s="98">
        <f t="shared" si="173"/>
        <v>0</v>
      </c>
      <c r="U3441" s="99" t="str">
        <f>IFERROR(IF(#REF!="S",VLOOKUP('Raw Data'!A3441,References!#REF!,2,FALSE),(VLOOKUP($S3441,References!$B$3:$C$8,2,FALSE))),"")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4"/>
        <v>0</v>
      </c>
      <c r="T3442" s="98">
        <f t="shared" si="173"/>
        <v>0</v>
      </c>
      <c r="U3442" s="99" t="str">
        <f>IFERROR(IF(#REF!="S",VLOOKUP('Raw Data'!A3442,References!#REF!,2,FALSE),(VLOOKUP($S3442,References!$B$3:$C$8,2,FALSE))),"")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4"/>
        <v>0</v>
      </c>
      <c r="T3443" s="98">
        <f t="shared" si="173"/>
        <v>0</v>
      </c>
      <c r="U3443" s="99" t="str">
        <f>IFERROR(IF(#REF!="S",VLOOKUP('Raw Data'!A3443,References!#REF!,2,FALSE),(VLOOKUP($S3443,References!$B$3:$C$8,2,FALSE))),"")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4"/>
        <v>0</v>
      </c>
      <c r="T3444" s="98">
        <f t="shared" si="173"/>
        <v>0</v>
      </c>
      <c r="U3444" s="99" t="str">
        <f>IFERROR(IF(#REF!="S",VLOOKUP('Raw Data'!A3444,References!#REF!,2,FALSE),(VLOOKUP($S3444,References!$B$3:$C$8,2,FALSE))),"")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4"/>
        <v>0</v>
      </c>
      <c r="T3445" s="98">
        <f t="shared" si="173"/>
        <v>0</v>
      </c>
      <c r="U3445" s="99" t="str">
        <f>IFERROR(IF(#REF!="S",VLOOKUP('Raw Data'!A3445,References!#REF!,2,FALSE),(VLOOKUP($S3445,References!$B$3:$C$8,2,FALSE))),"")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4"/>
        <v>0</v>
      </c>
      <c r="T3446" s="98">
        <f t="shared" si="173"/>
        <v>0</v>
      </c>
      <c r="U3446" s="99" t="str">
        <f>IFERROR(IF(#REF!="S",VLOOKUP('Raw Data'!A3446,References!#REF!,2,FALSE),(VLOOKUP($S3446,References!$B$3:$C$8,2,FALSE))),"")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4"/>
        <v>0</v>
      </c>
      <c r="T3447" s="98">
        <f t="shared" si="173"/>
        <v>0</v>
      </c>
      <c r="U3447" s="99" t="str">
        <f>IFERROR(IF(#REF!="S",VLOOKUP('Raw Data'!A3447,References!#REF!,2,FALSE),(VLOOKUP($S3447,References!$B$3:$C$8,2,FALSE))),"")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4"/>
        <v>0</v>
      </c>
      <c r="T3448" s="98">
        <f t="shared" si="173"/>
        <v>0</v>
      </c>
      <c r="U3448" s="99" t="str">
        <f>IFERROR(IF(#REF!="S",VLOOKUP('Raw Data'!A3448,References!#REF!,2,FALSE),(VLOOKUP($S3448,References!$B$3:$C$8,2,FALSE))),"")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4"/>
        <v>0</v>
      </c>
      <c r="T3449" s="98">
        <f t="shared" si="173"/>
        <v>0</v>
      </c>
      <c r="U3449" s="99" t="str">
        <f>IFERROR(IF(#REF!="S",VLOOKUP('Raw Data'!A3449,References!#REF!,2,FALSE),(VLOOKUP($S3449,References!$B$3:$C$8,2,FALSE))),"")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4"/>
        <v>0</v>
      </c>
      <c r="T3450" s="98">
        <f t="shared" si="173"/>
        <v>0</v>
      </c>
      <c r="U3450" s="99" t="str">
        <f>IFERROR(IF(#REF!="S",VLOOKUP('Raw Data'!A3450,References!#REF!,2,FALSE),(VLOOKUP($S3450,References!$B$3:$C$8,2,FALSE))),"")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4"/>
        <v>0</v>
      </c>
      <c r="T3451" s="98">
        <f t="shared" si="173"/>
        <v>0</v>
      </c>
      <c r="U3451" s="99" t="str">
        <f>IFERROR(IF(#REF!="S",VLOOKUP('Raw Data'!A3451,References!#REF!,2,FALSE),(VLOOKUP($S3451,References!$B$3:$C$8,2,FALSE))),"")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4"/>
        <v>0</v>
      </c>
      <c r="T3452" s="98">
        <f t="shared" si="173"/>
        <v>0</v>
      </c>
      <c r="U3452" s="99" t="str">
        <f>IFERROR(IF(#REF!="S",VLOOKUP('Raw Data'!A3452,References!#REF!,2,FALSE),(VLOOKUP($S3452,References!$B$3:$C$8,2,FALSE))),"")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4"/>
        <v>0</v>
      </c>
      <c r="T3453" s="98">
        <f t="shared" si="173"/>
        <v>0</v>
      </c>
      <c r="U3453" s="99" t="str">
        <f>IFERROR(IF(#REF!="S",VLOOKUP('Raw Data'!A3453,References!#REF!,2,FALSE),(VLOOKUP($S3453,References!$B$3:$C$8,2,FALSE))),"")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4"/>
        <v>0</v>
      </c>
      <c r="T3454" s="98">
        <f t="shared" si="173"/>
        <v>0</v>
      </c>
      <c r="U3454" s="99" t="str">
        <f>IFERROR(IF(#REF!="S",VLOOKUP('Raw Data'!A3454,References!#REF!,2,FALSE),(VLOOKUP($S3454,References!$B$3:$C$8,2,FALSE))),"")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4"/>
        <v>0</v>
      </c>
      <c r="T3455" s="98">
        <f t="shared" si="173"/>
        <v>0</v>
      </c>
      <c r="U3455" s="99" t="str">
        <f>IFERROR(IF(#REF!="S",VLOOKUP('Raw Data'!A3455,References!#REF!,2,FALSE),(VLOOKUP($S3455,References!$B$3:$C$8,2,FALSE))),"")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4"/>
        <v>0</v>
      </c>
      <c r="T3456" s="98">
        <f t="shared" si="173"/>
        <v>0</v>
      </c>
      <c r="U3456" s="99" t="str">
        <f>IFERROR(IF(#REF!="S",VLOOKUP('Raw Data'!A3456,References!#REF!,2,FALSE),(VLOOKUP($S3456,References!$B$3:$C$8,2,FALSE))),"")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4"/>
        <v>0</v>
      </c>
      <c r="T3457" s="98">
        <f t="shared" si="173"/>
        <v>0</v>
      </c>
      <c r="U3457" s="99" t="str">
        <f>IFERROR(IF(#REF!="S",VLOOKUP('Raw Data'!A3457,References!#REF!,2,FALSE),(VLOOKUP($S3457,References!$B$3:$C$8,2,FALSE))),"")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4"/>
        <v>0</v>
      </c>
      <c r="T3458" s="98">
        <f t="shared" si="173"/>
        <v>0</v>
      </c>
      <c r="U3458" s="99" t="str">
        <f>IFERROR(IF(#REF!="S",VLOOKUP('Raw Data'!A3458,References!#REF!,2,FALSE),(VLOOKUP($S3458,References!$B$3:$C$8,2,FALSE))),"")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4"/>
        <v>0</v>
      </c>
      <c r="T3459" s="98">
        <f t="shared" si="173"/>
        <v>0</v>
      </c>
      <c r="U3459" s="99" t="str">
        <f>IFERROR(IF(#REF!="S",VLOOKUP('Raw Data'!A3459,References!#REF!,2,FALSE),(VLOOKUP($S3459,References!$B$3:$C$8,2,FALSE))),"")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4"/>
        <v>0</v>
      </c>
      <c r="T3460" s="98">
        <f t="shared" si="173"/>
        <v>0</v>
      </c>
      <c r="U3460" s="99" t="str">
        <f>IFERROR(IF(#REF!="S",VLOOKUP('Raw Data'!A3460,References!#REF!,2,FALSE),(VLOOKUP($S3460,References!$B$3:$C$8,2,FALSE))),"")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4"/>
        <v>0</v>
      </c>
      <c r="T3461" s="98">
        <f t="shared" si="173"/>
        <v>0</v>
      </c>
      <c r="U3461" s="99" t="str">
        <f>IFERROR(IF(#REF!="S",VLOOKUP('Raw Data'!A3461,References!#REF!,2,FALSE),(VLOOKUP($S3461,References!$B$3:$C$8,2,FALSE))),"")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4"/>
        <v>0</v>
      </c>
      <c r="T3462" s="98">
        <f t="shared" si="173"/>
        <v>0</v>
      </c>
      <c r="U3462" s="99" t="str">
        <f>IFERROR(IF(#REF!="S",VLOOKUP('Raw Data'!A3462,References!#REF!,2,FALSE),(VLOOKUP($S3462,References!$B$3:$C$8,2,FALSE))),"")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4"/>
        <v>0</v>
      </c>
      <c r="T3463" s="98">
        <f t="shared" si="173"/>
        <v>0</v>
      </c>
      <c r="U3463" s="99" t="str">
        <f>IFERROR(IF(#REF!="S",VLOOKUP('Raw Data'!A3463,References!#REF!,2,FALSE),(VLOOKUP($S3463,References!$B$3:$C$8,2,FALSE))),"")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4"/>
        <v>0</v>
      </c>
      <c r="T3464" s="98">
        <f t="shared" si="173"/>
        <v>0</v>
      </c>
      <c r="U3464" s="99" t="str">
        <f>IFERROR(IF(#REF!="S",VLOOKUP('Raw Data'!A3464,References!#REF!,2,FALSE),(VLOOKUP($S3464,References!$B$3:$C$8,2,FALSE))),"")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4"/>
        <v>0</v>
      </c>
      <c r="T3465" s="98">
        <f t="shared" si="173"/>
        <v>0</v>
      </c>
      <c r="U3465" s="99" t="str">
        <f>IFERROR(IF(#REF!="S",VLOOKUP('Raw Data'!A3465,References!#REF!,2,FALSE),(VLOOKUP($S3465,References!$B$3:$C$8,2,FALSE))),"")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4"/>
        <v>0</v>
      </c>
      <c r="T3466" s="98">
        <f t="shared" si="173"/>
        <v>0</v>
      </c>
      <c r="U3466" s="99" t="str">
        <f>IFERROR(IF(#REF!="S",VLOOKUP('Raw Data'!A3466,References!#REF!,2,FALSE),(VLOOKUP($S3466,References!$B$3:$C$8,2,FALSE))),"")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4"/>
        <v>0</v>
      </c>
      <c r="T3467" s="98">
        <f t="shared" si="173"/>
        <v>0</v>
      </c>
      <c r="U3467" s="99" t="str">
        <f>IFERROR(IF(#REF!="S",VLOOKUP('Raw Data'!A3467,References!#REF!,2,FALSE),(VLOOKUP($S3467,References!$B$3:$C$8,2,FALSE))),"")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4"/>
        <v>0</v>
      </c>
      <c r="T3468" s="98">
        <f t="shared" si="173"/>
        <v>0</v>
      </c>
      <c r="U3468" s="99" t="str">
        <f>IFERROR(IF(#REF!="S",VLOOKUP('Raw Data'!A3468,References!#REF!,2,FALSE),(VLOOKUP($S3468,References!$B$3:$C$8,2,FALSE))),"")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4"/>
        <v>0</v>
      </c>
      <c r="T3469" s="98">
        <f t="shared" si="173"/>
        <v>0</v>
      </c>
      <c r="U3469" s="99" t="str">
        <f>IFERROR(IF(#REF!="S",VLOOKUP('Raw Data'!A3469,References!#REF!,2,FALSE),(VLOOKUP($S3469,References!$B$3:$C$8,2,FALSE))),"")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4"/>
        <v>0</v>
      </c>
      <c r="T3470" s="98">
        <f t="shared" si="173"/>
        <v>0</v>
      </c>
      <c r="U3470" s="99" t="str">
        <f>IFERROR(IF(#REF!="S",VLOOKUP('Raw Data'!A3470,References!#REF!,2,FALSE),(VLOOKUP($S3470,References!$B$3:$C$8,2,FALSE))),"")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4"/>
        <v>0</v>
      </c>
      <c r="T3471" s="98">
        <f t="shared" si="173"/>
        <v>0</v>
      </c>
      <c r="U3471" s="99" t="str">
        <f>IFERROR(IF(#REF!="S",VLOOKUP('Raw Data'!A3471,References!#REF!,2,FALSE),(VLOOKUP($S3471,References!$B$3:$C$8,2,FALSE))),"")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4"/>
        <v>0</v>
      </c>
      <c r="T3472" s="98">
        <f t="shared" ref="T3472:T3535" si="175">IF(S3472="50 - Cleaning Fee",1,HOUR($R3472)+MINUTE(R3472)/60)</f>
        <v>0</v>
      </c>
      <c r="U3472" s="99" t="str">
        <f>IFERROR(IF(#REF!="S",VLOOKUP('Raw Data'!A3472,References!#REF!,2,FALSE),(VLOOKUP($S3472,References!$B$3:$C$8,2,FALSE))),"")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4"/>
        <v>0</v>
      </c>
      <c r="T3473" s="98">
        <f t="shared" si="175"/>
        <v>0</v>
      </c>
      <c r="U3473" s="99" t="str">
        <f>IFERROR(IF(#REF!="S",VLOOKUP('Raw Data'!A3473,References!#REF!,2,FALSE),(VLOOKUP($S3473,References!$B$3:$C$8,2,FALSE))),"")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4"/>
        <v>0</v>
      </c>
      <c r="T3474" s="98">
        <f t="shared" si="175"/>
        <v>0</v>
      </c>
      <c r="U3474" s="99" t="str">
        <f>IFERROR(IF(#REF!="S",VLOOKUP('Raw Data'!A3474,References!#REF!,2,FALSE),(VLOOKUP($S3474,References!$B$3:$C$8,2,FALSE))),"")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4"/>
        <v>0</v>
      </c>
      <c r="T3475" s="98">
        <f t="shared" si="175"/>
        <v>0</v>
      </c>
      <c r="U3475" s="99" t="str">
        <f>IFERROR(IF(#REF!="S",VLOOKUP('Raw Data'!A3475,References!#REF!,2,FALSE),(VLOOKUP($S3475,References!$B$3:$C$8,2,FALSE))),"")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4"/>
        <v>0</v>
      </c>
      <c r="T3476" s="98">
        <f t="shared" si="175"/>
        <v>0</v>
      </c>
      <c r="U3476" s="99" t="str">
        <f>IFERROR(IF(#REF!="S",VLOOKUP('Raw Data'!A3476,References!#REF!,2,FALSE),(VLOOKUP($S3476,References!$B$3:$C$8,2,FALSE))),"")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4"/>
        <v>0</v>
      </c>
      <c r="T3477" s="98">
        <f t="shared" si="175"/>
        <v>0</v>
      </c>
      <c r="U3477" s="99" t="str">
        <f>IFERROR(IF(#REF!="S",VLOOKUP('Raw Data'!A3477,References!#REF!,2,FALSE),(VLOOKUP($S3477,References!$B$3:$C$8,2,FALSE))),"")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4"/>
        <v>0</v>
      </c>
      <c r="T3478" s="98">
        <f t="shared" si="175"/>
        <v>0</v>
      </c>
      <c r="U3478" s="99" t="str">
        <f>IFERROR(IF(#REF!="S",VLOOKUP('Raw Data'!A3478,References!#REF!,2,FALSE),(VLOOKUP($S3478,References!$B$3:$C$8,2,FALSE))),"")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4"/>
        <v>0</v>
      </c>
      <c r="T3479" s="98">
        <f t="shared" si="175"/>
        <v>0</v>
      </c>
      <c r="U3479" s="99" t="str">
        <f>IFERROR(IF(#REF!="S",VLOOKUP('Raw Data'!A3479,References!#REF!,2,FALSE),(VLOOKUP($S3479,References!$B$3:$C$8,2,FALSE))),"")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4"/>
        <v>0</v>
      </c>
      <c r="T3480" s="98">
        <f t="shared" si="175"/>
        <v>0</v>
      </c>
      <c r="U3480" s="99" t="str">
        <f>IFERROR(IF(#REF!="S",VLOOKUP('Raw Data'!A3480,References!#REF!,2,FALSE),(VLOOKUP($S3480,References!$B$3:$C$8,2,FALSE))),"")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4"/>
        <v>0</v>
      </c>
      <c r="T3481" s="98">
        <f t="shared" si="175"/>
        <v>0</v>
      </c>
      <c r="U3481" s="99" t="str">
        <f>IFERROR(IF(#REF!="S",VLOOKUP('Raw Data'!A3481,References!#REF!,2,FALSE),(VLOOKUP($S3481,References!$B$3:$C$8,2,FALSE))),"")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4"/>
        <v>0</v>
      </c>
      <c r="T3482" s="98">
        <f t="shared" si="175"/>
        <v>0</v>
      </c>
      <c r="U3482" s="99" t="str">
        <f>IFERROR(IF(#REF!="S",VLOOKUP('Raw Data'!A3482,References!#REF!,2,FALSE),(VLOOKUP($S3482,References!$B$3:$C$8,2,FALSE))),"")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4"/>
        <v>0</v>
      </c>
      <c r="T3483" s="98">
        <f t="shared" si="175"/>
        <v>0</v>
      </c>
      <c r="U3483" s="99" t="str">
        <f>IFERROR(IF(#REF!="S",VLOOKUP('Raw Data'!A3483,References!#REF!,2,FALSE),(VLOOKUP($S3483,References!$B$3:$C$8,2,FALSE))),"")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4"/>
        <v>0</v>
      </c>
      <c r="T3484" s="98">
        <f t="shared" si="175"/>
        <v>0</v>
      </c>
      <c r="U3484" s="99" t="str">
        <f>IFERROR(IF(#REF!="S",VLOOKUP('Raw Data'!A3484,References!#REF!,2,FALSE),(VLOOKUP($S3484,References!$B$3:$C$8,2,FALSE))),"")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4"/>
        <v>0</v>
      </c>
      <c r="T3485" s="98">
        <f t="shared" si="175"/>
        <v>0</v>
      </c>
      <c r="U3485" s="99" t="str">
        <f>IFERROR(IF(#REF!="S",VLOOKUP('Raw Data'!A3485,References!#REF!,2,FALSE),(VLOOKUP($S3485,References!$B$3:$C$8,2,FALSE))),"")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4"/>
        <v>0</v>
      </c>
      <c r="T3486" s="98">
        <f t="shared" si="175"/>
        <v>0</v>
      </c>
      <c r="U3486" s="99" t="str">
        <f>IFERROR(IF(#REF!="S",VLOOKUP('Raw Data'!A3486,References!#REF!,2,FALSE),(VLOOKUP($S3486,References!$B$3:$C$8,2,FALSE))),"")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4"/>
        <v>0</v>
      </c>
      <c r="T3487" s="98">
        <f t="shared" si="175"/>
        <v>0</v>
      </c>
      <c r="U3487" s="99" t="str">
        <f>IFERROR(IF(#REF!="S",VLOOKUP('Raw Data'!A3487,References!#REF!,2,FALSE),(VLOOKUP($S3487,References!$B$3:$C$8,2,FALSE))),"")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4"/>
        <v>0</v>
      </c>
      <c r="T3488" s="98">
        <f t="shared" si="175"/>
        <v>0</v>
      </c>
      <c r="U3488" s="99" t="str">
        <f>IFERROR(IF(#REF!="S",VLOOKUP('Raw Data'!A3488,References!#REF!,2,FALSE),(VLOOKUP($S3488,References!$B$3:$C$8,2,FALSE))),"")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4"/>
        <v>0</v>
      </c>
      <c r="T3489" s="98">
        <f t="shared" si="175"/>
        <v>0</v>
      </c>
      <c r="U3489" s="99" t="str">
        <f>IFERROR(IF(#REF!="S",VLOOKUP('Raw Data'!A3489,References!#REF!,2,FALSE),(VLOOKUP($S3489,References!$B$3:$C$8,2,FALSE))),"")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4"/>
        <v>0</v>
      </c>
      <c r="T3490" s="98">
        <f t="shared" si="175"/>
        <v>0</v>
      </c>
      <c r="U3490" s="99" t="str">
        <f>IFERROR(IF(#REF!="S",VLOOKUP('Raw Data'!A3490,References!#REF!,2,FALSE),(VLOOKUP($S3490,References!$B$3:$C$8,2,FALSE))),"")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4"/>
        <v>0</v>
      </c>
      <c r="T3491" s="98">
        <f t="shared" si="175"/>
        <v>0</v>
      </c>
      <c r="U3491" s="99" t="str">
        <f>IFERROR(IF(#REF!="S",VLOOKUP('Raw Data'!A3491,References!#REF!,2,FALSE),(VLOOKUP($S3491,References!$B$3:$C$8,2,FALSE))),"")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4"/>
        <v>0</v>
      </c>
      <c r="T3492" s="98">
        <f t="shared" si="175"/>
        <v>0</v>
      </c>
      <c r="U3492" s="99" t="str">
        <f>IFERROR(IF(#REF!="S",VLOOKUP('Raw Data'!A3492,References!#REF!,2,FALSE),(VLOOKUP($S3492,References!$B$3:$C$8,2,FALSE))),"")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4"/>
        <v>0</v>
      </c>
      <c r="T3493" s="98">
        <f t="shared" si="175"/>
        <v>0</v>
      </c>
      <c r="U3493" s="99" t="str">
        <f>IFERROR(IF(#REF!="S",VLOOKUP('Raw Data'!A3493,References!#REF!,2,FALSE),(VLOOKUP($S3493,References!$B$3:$C$8,2,FALSE))),"")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4"/>
        <v>0</v>
      </c>
      <c r="T3494" s="98">
        <f t="shared" si="175"/>
        <v>0</v>
      </c>
      <c r="U3494" s="99" t="str">
        <f>IFERROR(IF(#REF!="S",VLOOKUP('Raw Data'!A3494,References!#REF!,2,FALSE),(VLOOKUP($S3494,References!$B$3:$C$8,2,FALSE))),"")</f>
        <v/>
      </c>
      <c r="W3494" s="66" t="str">
        <f>IFERROR(VLOOKUP($O3494,'Customer List'!$A$1:$J$488,10,FALSE),"")</f>
        <v/>
      </c>
    </row>
    <row r="3495" spans="18:23">
      <c r="R3495" s="97">
        <f t="shared" si="174"/>
        <v>0</v>
      </c>
      <c r="T3495" s="98">
        <f t="shared" si="175"/>
        <v>0</v>
      </c>
      <c r="U3495" s="99" t="str">
        <f>IFERROR(IF(#REF!="S",VLOOKUP('Raw Data'!A3495,References!#REF!,2,FALSE),(VLOOKUP($S3495,References!$B$3:$C$8,2,FALSE))),"")</f>
        <v/>
      </c>
      <c r="W3495" s="66" t="str">
        <f>IFERROR(VLOOKUP($O3495,'Customer List'!$A$1:$J$488,10,FALSE),"")</f>
        <v/>
      </c>
    </row>
    <row r="3496" spans="18:23">
      <c r="R3496" s="97">
        <f t="shared" ref="R3496:R3559" si="176">L3496-K3496</f>
        <v>0</v>
      </c>
      <c r="T3496" s="98">
        <f t="shared" si="175"/>
        <v>0</v>
      </c>
      <c r="U3496" s="99" t="str">
        <f>IFERROR(IF(#REF!="S",VLOOKUP('Raw Data'!A3496,References!#REF!,2,FALSE),(VLOOKUP($S3496,References!$B$3:$C$8,2,FALSE))),"")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6"/>
        <v>0</v>
      </c>
      <c r="T3497" s="98">
        <f t="shared" si="175"/>
        <v>0</v>
      </c>
      <c r="U3497" s="99" t="str">
        <f>IFERROR(IF(#REF!="S",VLOOKUP('Raw Data'!A3497,References!#REF!,2,FALSE),(VLOOKUP($S3497,References!$B$3:$C$8,2,FALSE))),"")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6"/>
        <v>0</v>
      </c>
      <c r="T3498" s="98">
        <f t="shared" si="175"/>
        <v>0</v>
      </c>
      <c r="U3498" s="99" t="str">
        <f>IFERROR(IF(#REF!="S",VLOOKUP('Raw Data'!A3498,References!#REF!,2,FALSE),(VLOOKUP($S3498,References!$B$3:$C$8,2,FALSE))),"")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6"/>
        <v>0</v>
      </c>
      <c r="T3499" s="98">
        <f t="shared" si="175"/>
        <v>0</v>
      </c>
      <c r="U3499" s="99" t="str">
        <f>IFERROR(IF(#REF!="S",VLOOKUP('Raw Data'!A3499,References!#REF!,2,FALSE),(VLOOKUP($S3499,References!$B$3:$C$8,2,FALSE))),"")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6"/>
        <v>0</v>
      </c>
      <c r="T3500" s="98">
        <f t="shared" si="175"/>
        <v>0</v>
      </c>
      <c r="U3500" s="99" t="str">
        <f>IFERROR(IF(#REF!="S",VLOOKUP('Raw Data'!A3500,References!#REF!,2,FALSE),(VLOOKUP($S3500,References!$B$3:$C$8,2,FALSE))),"")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6"/>
        <v>0</v>
      </c>
      <c r="T3501" s="98">
        <f t="shared" si="175"/>
        <v>0</v>
      </c>
      <c r="U3501" s="99" t="str">
        <f>IFERROR(IF(#REF!="S",VLOOKUP('Raw Data'!A3501,References!#REF!,2,FALSE),(VLOOKUP($S3501,References!$B$3:$C$8,2,FALSE))),"")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6"/>
        <v>0</v>
      </c>
      <c r="T3502" s="98">
        <f t="shared" si="175"/>
        <v>0</v>
      </c>
      <c r="U3502" s="99" t="str">
        <f>IFERROR(IF(#REF!="S",VLOOKUP('Raw Data'!A3502,References!#REF!,2,FALSE),(VLOOKUP($S3502,References!$B$3:$C$8,2,FALSE))),"")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6"/>
        <v>0</v>
      </c>
      <c r="T3503" s="98">
        <f t="shared" si="175"/>
        <v>0</v>
      </c>
      <c r="U3503" s="99" t="str">
        <f>IFERROR(IF(#REF!="S",VLOOKUP('Raw Data'!A3503,References!#REF!,2,FALSE),(VLOOKUP($S3503,References!$B$3:$C$8,2,FALSE))),"")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6"/>
        <v>0</v>
      </c>
      <c r="T3504" s="98">
        <f t="shared" si="175"/>
        <v>0</v>
      </c>
      <c r="U3504" s="99" t="str">
        <f>IFERROR(IF(#REF!="S",VLOOKUP('Raw Data'!A3504,References!#REF!,2,FALSE),(VLOOKUP($S3504,References!$B$3:$C$8,2,FALSE))),"")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6"/>
        <v>0</v>
      </c>
      <c r="T3505" s="98">
        <f t="shared" si="175"/>
        <v>0</v>
      </c>
      <c r="U3505" s="99" t="str">
        <f>IFERROR(IF(#REF!="S",VLOOKUP('Raw Data'!A3505,References!#REF!,2,FALSE),(VLOOKUP($S3505,References!$B$3:$C$8,2,FALSE))),"")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6"/>
        <v>0</v>
      </c>
      <c r="T3506" s="98">
        <f t="shared" si="175"/>
        <v>0</v>
      </c>
      <c r="U3506" s="99" t="str">
        <f>IFERROR(IF(#REF!="S",VLOOKUP('Raw Data'!A3506,References!#REF!,2,FALSE),(VLOOKUP($S3506,References!$B$3:$C$8,2,FALSE))),"")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6"/>
        <v>0</v>
      </c>
      <c r="T3507" s="98">
        <f t="shared" si="175"/>
        <v>0</v>
      </c>
      <c r="U3507" s="99" t="str">
        <f>IFERROR(IF(#REF!="S",VLOOKUP('Raw Data'!A3507,References!#REF!,2,FALSE),(VLOOKUP($S3507,References!$B$3:$C$8,2,FALSE))),"")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6"/>
        <v>0</v>
      </c>
      <c r="T3508" s="98">
        <f t="shared" si="175"/>
        <v>0</v>
      </c>
      <c r="U3508" s="99" t="str">
        <f>IFERROR(IF(#REF!="S",VLOOKUP('Raw Data'!A3508,References!#REF!,2,FALSE),(VLOOKUP($S3508,References!$B$3:$C$8,2,FALSE))),"")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6"/>
        <v>0</v>
      </c>
      <c r="T3509" s="98">
        <f t="shared" si="175"/>
        <v>0</v>
      </c>
      <c r="U3509" s="99" t="str">
        <f>IFERROR(IF(#REF!="S",VLOOKUP('Raw Data'!A3509,References!#REF!,2,FALSE),(VLOOKUP($S3509,References!$B$3:$C$8,2,FALSE))),"")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6"/>
        <v>0</v>
      </c>
      <c r="T3510" s="98">
        <f t="shared" si="175"/>
        <v>0</v>
      </c>
      <c r="U3510" s="99" t="str">
        <f>IFERROR(IF(#REF!="S",VLOOKUP('Raw Data'!A3510,References!#REF!,2,FALSE),(VLOOKUP($S3510,References!$B$3:$C$8,2,FALSE))),"")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6"/>
        <v>0</v>
      </c>
      <c r="T3511" s="98">
        <f t="shared" si="175"/>
        <v>0</v>
      </c>
      <c r="U3511" s="99" t="str">
        <f>IFERROR(IF(#REF!="S",VLOOKUP('Raw Data'!A3511,References!#REF!,2,FALSE),(VLOOKUP($S3511,References!$B$3:$C$8,2,FALSE))),"")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6"/>
        <v>0</v>
      </c>
      <c r="T3512" s="98">
        <f t="shared" si="175"/>
        <v>0</v>
      </c>
      <c r="U3512" s="99" t="str">
        <f>IFERROR(IF(#REF!="S",VLOOKUP('Raw Data'!A3512,References!#REF!,2,FALSE),(VLOOKUP($S3512,References!$B$3:$C$8,2,FALSE))),"")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6"/>
        <v>0</v>
      </c>
      <c r="T3513" s="98">
        <f t="shared" si="175"/>
        <v>0</v>
      </c>
      <c r="U3513" s="99" t="str">
        <f>IFERROR(IF(#REF!="S",VLOOKUP('Raw Data'!A3513,References!#REF!,2,FALSE),(VLOOKUP($S3513,References!$B$3:$C$8,2,FALSE))),"")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6"/>
        <v>0</v>
      </c>
      <c r="T3514" s="98">
        <f t="shared" si="175"/>
        <v>0</v>
      </c>
      <c r="U3514" s="99" t="str">
        <f>IFERROR(IF(#REF!="S",VLOOKUP('Raw Data'!A3514,References!#REF!,2,FALSE),(VLOOKUP($S3514,References!$B$3:$C$8,2,FALSE))),"")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6"/>
        <v>0</v>
      </c>
      <c r="T3515" s="98">
        <f t="shared" si="175"/>
        <v>0</v>
      </c>
      <c r="U3515" s="99" t="str">
        <f>IFERROR(IF(#REF!="S",VLOOKUP('Raw Data'!A3515,References!#REF!,2,FALSE),(VLOOKUP($S3515,References!$B$3:$C$8,2,FALSE))),"")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6"/>
        <v>0</v>
      </c>
      <c r="T3516" s="98">
        <f t="shared" si="175"/>
        <v>0</v>
      </c>
      <c r="U3516" s="99" t="str">
        <f>IFERROR(IF(#REF!="S",VLOOKUP('Raw Data'!A3516,References!#REF!,2,FALSE),(VLOOKUP($S3516,References!$B$3:$C$8,2,FALSE))),"")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6"/>
        <v>0</v>
      </c>
      <c r="T3517" s="98">
        <f t="shared" si="175"/>
        <v>0</v>
      </c>
      <c r="U3517" s="99" t="str">
        <f>IFERROR(IF(#REF!="S",VLOOKUP('Raw Data'!A3517,References!#REF!,2,FALSE),(VLOOKUP($S3517,References!$B$3:$C$8,2,FALSE))),"")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6"/>
        <v>0</v>
      </c>
      <c r="T3518" s="98">
        <f t="shared" si="175"/>
        <v>0</v>
      </c>
      <c r="U3518" s="99" t="str">
        <f>IFERROR(IF(#REF!="S",VLOOKUP('Raw Data'!A3518,References!#REF!,2,FALSE),(VLOOKUP($S3518,References!$B$3:$C$8,2,FALSE))),"")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6"/>
        <v>0</v>
      </c>
      <c r="T3519" s="98">
        <f t="shared" si="175"/>
        <v>0</v>
      </c>
      <c r="U3519" s="99" t="str">
        <f>IFERROR(IF(#REF!="S",VLOOKUP('Raw Data'!A3519,References!#REF!,2,FALSE),(VLOOKUP($S3519,References!$B$3:$C$8,2,FALSE))),"")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6"/>
        <v>0</v>
      </c>
      <c r="T3520" s="98">
        <f t="shared" si="175"/>
        <v>0</v>
      </c>
      <c r="U3520" s="99" t="str">
        <f>IFERROR(IF(#REF!="S",VLOOKUP('Raw Data'!A3520,References!#REF!,2,FALSE),(VLOOKUP($S3520,References!$B$3:$C$8,2,FALSE))),"")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6"/>
        <v>0</v>
      </c>
      <c r="T3521" s="98">
        <f t="shared" si="175"/>
        <v>0</v>
      </c>
      <c r="U3521" s="99" t="str">
        <f>IFERROR(IF(#REF!="S",VLOOKUP('Raw Data'!A3521,References!#REF!,2,FALSE),(VLOOKUP($S3521,References!$B$3:$C$8,2,FALSE))),"")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6"/>
        <v>0</v>
      </c>
      <c r="T3522" s="98">
        <f t="shared" si="175"/>
        <v>0</v>
      </c>
      <c r="U3522" s="99" t="str">
        <f>IFERROR(IF(#REF!="S",VLOOKUP('Raw Data'!A3522,References!#REF!,2,FALSE),(VLOOKUP($S3522,References!$B$3:$C$8,2,FALSE))),"")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6"/>
        <v>0</v>
      </c>
      <c r="T3523" s="98">
        <f t="shared" si="175"/>
        <v>0</v>
      </c>
      <c r="U3523" s="99" t="str">
        <f>IFERROR(IF(#REF!="S",VLOOKUP('Raw Data'!A3523,References!#REF!,2,FALSE),(VLOOKUP($S3523,References!$B$3:$C$8,2,FALSE))),"")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6"/>
        <v>0</v>
      </c>
      <c r="T3524" s="98">
        <f t="shared" si="175"/>
        <v>0</v>
      </c>
      <c r="U3524" s="99" t="str">
        <f>IFERROR(IF(#REF!="S",VLOOKUP('Raw Data'!A3524,References!#REF!,2,FALSE),(VLOOKUP($S3524,References!$B$3:$C$8,2,FALSE))),"")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6"/>
        <v>0</v>
      </c>
      <c r="T3525" s="98">
        <f t="shared" si="175"/>
        <v>0</v>
      </c>
      <c r="U3525" s="99" t="str">
        <f>IFERROR(IF(#REF!="S",VLOOKUP('Raw Data'!A3525,References!#REF!,2,FALSE),(VLOOKUP($S3525,References!$B$3:$C$8,2,FALSE))),"")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6"/>
        <v>0</v>
      </c>
      <c r="T3526" s="98">
        <f t="shared" si="175"/>
        <v>0</v>
      </c>
      <c r="U3526" s="99" t="str">
        <f>IFERROR(IF(#REF!="S",VLOOKUP('Raw Data'!A3526,References!#REF!,2,FALSE),(VLOOKUP($S3526,References!$B$3:$C$8,2,FALSE))),"")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6"/>
        <v>0</v>
      </c>
      <c r="T3527" s="98">
        <f t="shared" si="175"/>
        <v>0</v>
      </c>
      <c r="U3527" s="99" t="str">
        <f>IFERROR(IF(#REF!="S",VLOOKUP('Raw Data'!A3527,References!#REF!,2,FALSE),(VLOOKUP($S3527,References!$B$3:$C$8,2,FALSE))),"")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6"/>
        <v>0</v>
      </c>
      <c r="T3528" s="98">
        <f t="shared" si="175"/>
        <v>0</v>
      </c>
      <c r="U3528" s="99" t="str">
        <f>IFERROR(IF(#REF!="S",VLOOKUP('Raw Data'!A3528,References!#REF!,2,FALSE),(VLOOKUP($S3528,References!$B$3:$C$8,2,FALSE))),"")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6"/>
        <v>0</v>
      </c>
      <c r="T3529" s="98">
        <f t="shared" si="175"/>
        <v>0</v>
      </c>
      <c r="U3529" s="99" t="str">
        <f>IFERROR(IF(#REF!="S",VLOOKUP('Raw Data'!A3529,References!#REF!,2,FALSE),(VLOOKUP($S3529,References!$B$3:$C$8,2,FALSE))),"")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6"/>
        <v>0</v>
      </c>
      <c r="T3530" s="98">
        <f t="shared" si="175"/>
        <v>0</v>
      </c>
      <c r="U3530" s="99" t="str">
        <f>IFERROR(IF(#REF!="S",VLOOKUP('Raw Data'!A3530,References!#REF!,2,FALSE),(VLOOKUP($S3530,References!$B$3:$C$8,2,FALSE))),"")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6"/>
        <v>0</v>
      </c>
      <c r="T3531" s="98">
        <f t="shared" si="175"/>
        <v>0</v>
      </c>
      <c r="U3531" s="99" t="str">
        <f>IFERROR(IF(#REF!="S",VLOOKUP('Raw Data'!A3531,References!#REF!,2,FALSE),(VLOOKUP($S3531,References!$B$3:$C$8,2,FALSE))),"")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6"/>
        <v>0</v>
      </c>
      <c r="T3532" s="98">
        <f t="shared" si="175"/>
        <v>0</v>
      </c>
      <c r="U3532" s="99" t="str">
        <f>IFERROR(IF(#REF!="S",VLOOKUP('Raw Data'!A3532,References!#REF!,2,FALSE),(VLOOKUP($S3532,References!$B$3:$C$8,2,FALSE))),"")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6"/>
        <v>0</v>
      </c>
      <c r="T3533" s="98">
        <f t="shared" si="175"/>
        <v>0</v>
      </c>
      <c r="U3533" s="99" t="str">
        <f>IFERROR(IF(#REF!="S",VLOOKUP('Raw Data'!A3533,References!#REF!,2,FALSE),(VLOOKUP($S3533,References!$B$3:$C$8,2,FALSE))),"")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6"/>
        <v>0</v>
      </c>
      <c r="T3534" s="98">
        <f t="shared" si="175"/>
        <v>0</v>
      </c>
      <c r="U3534" s="99" t="str">
        <f>IFERROR(IF(#REF!="S",VLOOKUP('Raw Data'!A3534,References!#REF!,2,FALSE),(VLOOKUP($S3534,References!$B$3:$C$8,2,FALSE))),"")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6"/>
        <v>0</v>
      </c>
      <c r="T3535" s="98">
        <f t="shared" si="175"/>
        <v>0</v>
      </c>
      <c r="U3535" s="99" t="str">
        <f>IFERROR(IF(#REF!="S",VLOOKUP('Raw Data'!A3535,References!#REF!,2,FALSE),(VLOOKUP($S3535,References!$B$3:$C$8,2,FALSE))),"")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6"/>
        <v>0</v>
      </c>
      <c r="T3536" s="98">
        <f t="shared" ref="T3536:T3599" si="177">IF(S3536="50 - Cleaning Fee",1,HOUR($R3536)+MINUTE(R3536)/60)</f>
        <v>0</v>
      </c>
      <c r="U3536" s="99" t="str">
        <f>IFERROR(IF(#REF!="S",VLOOKUP('Raw Data'!A3536,References!#REF!,2,FALSE),(VLOOKUP($S3536,References!$B$3:$C$8,2,FALSE))),"")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6"/>
        <v>0</v>
      </c>
      <c r="T3537" s="98">
        <f t="shared" si="177"/>
        <v>0</v>
      </c>
      <c r="U3537" s="99" t="str">
        <f>IFERROR(IF(#REF!="S",VLOOKUP('Raw Data'!A3537,References!#REF!,2,FALSE),(VLOOKUP($S3537,References!$B$3:$C$8,2,FALSE))),"")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6"/>
        <v>0</v>
      </c>
      <c r="T3538" s="98">
        <f t="shared" si="177"/>
        <v>0</v>
      </c>
      <c r="U3538" s="99" t="str">
        <f>IFERROR(IF(#REF!="S",VLOOKUP('Raw Data'!A3538,References!#REF!,2,FALSE),(VLOOKUP($S3538,References!$B$3:$C$8,2,FALSE))),"")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6"/>
        <v>0</v>
      </c>
      <c r="T3539" s="98">
        <f t="shared" si="177"/>
        <v>0</v>
      </c>
      <c r="U3539" s="99" t="str">
        <f>IFERROR(IF(#REF!="S",VLOOKUP('Raw Data'!A3539,References!#REF!,2,FALSE),(VLOOKUP($S3539,References!$B$3:$C$8,2,FALSE))),"")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6"/>
        <v>0</v>
      </c>
      <c r="T3540" s="98">
        <f t="shared" si="177"/>
        <v>0</v>
      </c>
      <c r="U3540" s="99" t="str">
        <f>IFERROR(IF(#REF!="S",VLOOKUP('Raw Data'!A3540,References!#REF!,2,FALSE),(VLOOKUP($S3540,References!$B$3:$C$8,2,FALSE))),"")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6"/>
        <v>0</v>
      </c>
      <c r="T3541" s="98">
        <f t="shared" si="177"/>
        <v>0</v>
      </c>
      <c r="U3541" s="99" t="str">
        <f>IFERROR(IF(#REF!="S",VLOOKUP('Raw Data'!A3541,References!#REF!,2,FALSE),(VLOOKUP($S3541,References!$B$3:$C$8,2,FALSE))),"")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6"/>
        <v>0</v>
      </c>
      <c r="T3542" s="98">
        <f t="shared" si="177"/>
        <v>0</v>
      </c>
      <c r="U3542" s="99" t="str">
        <f>IFERROR(IF(#REF!="S",VLOOKUP('Raw Data'!A3542,References!#REF!,2,FALSE),(VLOOKUP($S3542,References!$B$3:$C$8,2,FALSE))),"")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6"/>
        <v>0</v>
      </c>
      <c r="T3543" s="98">
        <f t="shared" si="177"/>
        <v>0</v>
      </c>
      <c r="U3543" s="99" t="str">
        <f>IFERROR(IF(#REF!="S",VLOOKUP('Raw Data'!A3543,References!#REF!,2,FALSE),(VLOOKUP($S3543,References!$B$3:$C$8,2,FALSE))),"")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6"/>
        <v>0</v>
      </c>
      <c r="T3544" s="98">
        <f t="shared" si="177"/>
        <v>0</v>
      </c>
      <c r="U3544" s="99" t="str">
        <f>IFERROR(IF(#REF!="S",VLOOKUP('Raw Data'!A3544,References!#REF!,2,FALSE),(VLOOKUP($S3544,References!$B$3:$C$8,2,FALSE))),"")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6"/>
        <v>0</v>
      </c>
      <c r="T3545" s="98">
        <f t="shared" si="177"/>
        <v>0</v>
      </c>
      <c r="U3545" s="99" t="str">
        <f>IFERROR(IF(#REF!="S",VLOOKUP('Raw Data'!A3545,References!#REF!,2,FALSE),(VLOOKUP($S3545,References!$B$3:$C$8,2,FALSE))),"")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6"/>
        <v>0</v>
      </c>
      <c r="T3546" s="98">
        <f t="shared" si="177"/>
        <v>0</v>
      </c>
      <c r="U3546" s="99" t="str">
        <f>IFERROR(IF(#REF!="S",VLOOKUP('Raw Data'!A3546,References!#REF!,2,FALSE),(VLOOKUP($S3546,References!$B$3:$C$8,2,FALSE))),"")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6"/>
        <v>0</v>
      </c>
      <c r="T3547" s="98">
        <f t="shared" si="177"/>
        <v>0</v>
      </c>
      <c r="U3547" s="99" t="str">
        <f>IFERROR(IF(#REF!="S",VLOOKUP('Raw Data'!A3547,References!#REF!,2,FALSE),(VLOOKUP($S3547,References!$B$3:$C$8,2,FALSE))),"")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6"/>
        <v>0</v>
      </c>
      <c r="T3548" s="98">
        <f t="shared" si="177"/>
        <v>0</v>
      </c>
      <c r="U3548" s="99" t="str">
        <f>IFERROR(IF(#REF!="S",VLOOKUP('Raw Data'!A3548,References!#REF!,2,FALSE),(VLOOKUP($S3548,References!$B$3:$C$8,2,FALSE))),"")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6"/>
        <v>0</v>
      </c>
      <c r="T3549" s="98">
        <f t="shared" si="177"/>
        <v>0</v>
      </c>
      <c r="U3549" s="99" t="str">
        <f>IFERROR(IF(#REF!="S",VLOOKUP('Raw Data'!A3549,References!#REF!,2,FALSE),(VLOOKUP($S3549,References!$B$3:$C$8,2,FALSE))),"")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6"/>
        <v>0</v>
      </c>
      <c r="T3550" s="98">
        <f t="shared" si="177"/>
        <v>0</v>
      </c>
      <c r="U3550" s="99" t="str">
        <f>IFERROR(IF(#REF!="S",VLOOKUP('Raw Data'!A3550,References!#REF!,2,FALSE),(VLOOKUP($S3550,References!$B$3:$C$8,2,FALSE))),"")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6"/>
        <v>0</v>
      </c>
      <c r="T3551" s="98">
        <f t="shared" si="177"/>
        <v>0</v>
      </c>
      <c r="U3551" s="99" t="str">
        <f>IFERROR(IF(#REF!="S",VLOOKUP('Raw Data'!A3551,References!#REF!,2,FALSE),(VLOOKUP($S3551,References!$B$3:$C$8,2,FALSE))),"")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6"/>
        <v>0</v>
      </c>
      <c r="T3552" s="98">
        <f t="shared" si="177"/>
        <v>0</v>
      </c>
      <c r="U3552" s="99" t="str">
        <f>IFERROR(IF(#REF!="S",VLOOKUP('Raw Data'!A3552,References!#REF!,2,FALSE),(VLOOKUP($S3552,References!$B$3:$C$8,2,FALSE))),"")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6"/>
        <v>0</v>
      </c>
      <c r="T3553" s="98">
        <f t="shared" si="177"/>
        <v>0</v>
      </c>
      <c r="U3553" s="99" t="str">
        <f>IFERROR(IF(#REF!="S",VLOOKUP('Raw Data'!A3553,References!#REF!,2,FALSE),(VLOOKUP($S3553,References!$B$3:$C$8,2,FALSE))),"")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6"/>
        <v>0</v>
      </c>
      <c r="T3554" s="98">
        <f t="shared" si="177"/>
        <v>0</v>
      </c>
      <c r="U3554" s="99" t="str">
        <f>IFERROR(IF(#REF!="S",VLOOKUP('Raw Data'!A3554,References!#REF!,2,FALSE),(VLOOKUP($S3554,References!$B$3:$C$8,2,FALSE))),"")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6"/>
        <v>0</v>
      </c>
      <c r="T3555" s="98">
        <f t="shared" si="177"/>
        <v>0</v>
      </c>
      <c r="U3555" s="99" t="str">
        <f>IFERROR(IF(#REF!="S",VLOOKUP('Raw Data'!A3555,References!#REF!,2,FALSE),(VLOOKUP($S3555,References!$B$3:$C$8,2,FALSE))),"")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6"/>
        <v>0</v>
      </c>
      <c r="T3556" s="98">
        <f t="shared" si="177"/>
        <v>0</v>
      </c>
      <c r="U3556" s="99" t="str">
        <f>IFERROR(IF(#REF!="S",VLOOKUP('Raw Data'!A3556,References!#REF!,2,FALSE),(VLOOKUP($S3556,References!$B$3:$C$8,2,FALSE))),"")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6"/>
        <v>0</v>
      </c>
      <c r="T3557" s="98">
        <f t="shared" si="177"/>
        <v>0</v>
      </c>
      <c r="U3557" s="99" t="str">
        <f>IFERROR(IF(#REF!="S",VLOOKUP('Raw Data'!A3557,References!#REF!,2,FALSE),(VLOOKUP($S3557,References!$B$3:$C$8,2,FALSE))),"")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6"/>
        <v>0</v>
      </c>
      <c r="T3558" s="98">
        <f t="shared" si="177"/>
        <v>0</v>
      </c>
      <c r="U3558" s="99" t="str">
        <f>IFERROR(IF(#REF!="S",VLOOKUP('Raw Data'!A3558,References!#REF!,2,FALSE),(VLOOKUP($S3558,References!$B$3:$C$8,2,FALSE))),"")</f>
        <v/>
      </c>
      <c r="W3558" s="66" t="str">
        <f>IFERROR(VLOOKUP($O3558,'Customer List'!$A$1:$J$488,10,FALSE),"")</f>
        <v/>
      </c>
    </row>
    <row r="3559" spans="18:23">
      <c r="R3559" s="97">
        <f t="shared" si="176"/>
        <v>0</v>
      </c>
      <c r="T3559" s="98">
        <f t="shared" si="177"/>
        <v>0</v>
      </c>
      <c r="U3559" s="99" t="str">
        <f>IFERROR(IF(#REF!="S",VLOOKUP('Raw Data'!A3559,References!#REF!,2,FALSE),(VLOOKUP($S3559,References!$B$3:$C$8,2,FALSE))),"")</f>
        <v/>
      </c>
      <c r="W3559" s="66" t="str">
        <f>IFERROR(VLOOKUP($O3559,'Customer List'!$A$1:$J$488,10,FALSE),"")</f>
        <v/>
      </c>
    </row>
    <row r="3560" spans="18:23">
      <c r="R3560" s="97">
        <f t="shared" ref="R3560:R3623" si="178">L3560-K3560</f>
        <v>0</v>
      </c>
      <c r="T3560" s="98">
        <f t="shared" si="177"/>
        <v>0</v>
      </c>
      <c r="U3560" s="99" t="str">
        <f>IFERROR(IF(#REF!="S",VLOOKUP('Raw Data'!A3560,References!#REF!,2,FALSE),(VLOOKUP($S3560,References!$B$3:$C$8,2,FALSE))),"")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78"/>
        <v>0</v>
      </c>
      <c r="T3561" s="98">
        <f t="shared" si="177"/>
        <v>0</v>
      </c>
      <c r="U3561" s="99" t="str">
        <f>IFERROR(IF(#REF!="S",VLOOKUP('Raw Data'!A3561,References!#REF!,2,FALSE),(VLOOKUP($S3561,References!$B$3:$C$8,2,FALSE))),"")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78"/>
        <v>0</v>
      </c>
      <c r="T3562" s="98">
        <f t="shared" si="177"/>
        <v>0</v>
      </c>
      <c r="U3562" s="99" t="str">
        <f>IFERROR(IF(#REF!="S",VLOOKUP('Raw Data'!A3562,References!#REF!,2,FALSE),(VLOOKUP($S3562,References!$B$3:$C$8,2,FALSE))),"")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78"/>
        <v>0</v>
      </c>
      <c r="T3563" s="98">
        <f t="shared" si="177"/>
        <v>0</v>
      </c>
      <c r="U3563" s="99" t="str">
        <f>IFERROR(IF(#REF!="S",VLOOKUP('Raw Data'!A3563,References!#REF!,2,FALSE),(VLOOKUP($S3563,References!$B$3:$C$8,2,FALSE))),"")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78"/>
        <v>0</v>
      </c>
      <c r="T3564" s="98">
        <f t="shared" si="177"/>
        <v>0</v>
      </c>
      <c r="U3564" s="99" t="str">
        <f>IFERROR(IF(#REF!="S",VLOOKUP('Raw Data'!A3564,References!#REF!,2,FALSE),(VLOOKUP($S3564,References!$B$3:$C$8,2,FALSE))),"")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78"/>
        <v>0</v>
      </c>
      <c r="T3565" s="98">
        <f t="shared" si="177"/>
        <v>0</v>
      </c>
      <c r="U3565" s="99" t="str">
        <f>IFERROR(IF(#REF!="S",VLOOKUP('Raw Data'!A3565,References!#REF!,2,FALSE),(VLOOKUP($S3565,References!$B$3:$C$8,2,FALSE))),"")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78"/>
        <v>0</v>
      </c>
      <c r="T3566" s="98">
        <f t="shared" si="177"/>
        <v>0</v>
      </c>
      <c r="U3566" s="99" t="str">
        <f>IFERROR(IF(#REF!="S",VLOOKUP('Raw Data'!A3566,References!#REF!,2,FALSE),(VLOOKUP($S3566,References!$B$3:$C$8,2,FALSE))),"")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78"/>
        <v>0</v>
      </c>
      <c r="T3567" s="98">
        <f t="shared" si="177"/>
        <v>0</v>
      </c>
      <c r="U3567" s="99" t="str">
        <f>IFERROR(IF(#REF!="S",VLOOKUP('Raw Data'!A3567,References!#REF!,2,FALSE),(VLOOKUP($S3567,References!$B$3:$C$8,2,FALSE))),"")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78"/>
        <v>0</v>
      </c>
      <c r="T3568" s="98">
        <f t="shared" si="177"/>
        <v>0</v>
      </c>
      <c r="U3568" s="99" t="str">
        <f>IFERROR(IF(#REF!="S",VLOOKUP('Raw Data'!A3568,References!#REF!,2,FALSE),(VLOOKUP($S3568,References!$B$3:$C$8,2,FALSE))),"")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78"/>
        <v>0</v>
      </c>
      <c r="T3569" s="98">
        <f t="shared" si="177"/>
        <v>0</v>
      </c>
      <c r="U3569" s="99" t="str">
        <f>IFERROR(IF(#REF!="S",VLOOKUP('Raw Data'!A3569,References!#REF!,2,FALSE),(VLOOKUP($S3569,References!$B$3:$C$8,2,FALSE))),"")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78"/>
        <v>0</v>
      </c>
      <c r="T3570" s="98">
        <f t="shared" si="177"/>
        <v>0</v>
      </c>
      <c r="U3570" s="99" t="str">
        <f>IFERROR(IF(#REF!="S",VLOOKUP('Raw Data'!A3570,References!#REF!,2,FALSE),(VLOOKUP($S3570,References!$B$3:$C$8,2,FALSE))),"")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78"/>
        <v>0</v>
      </c>
      <c r="T3571" s="98">
        <f t="shared" si="177"/>
        <v>0</v>
      </c>
      <c r="U3571" s="99" t="str">
        <f>IFERROR(IF(#REF!="S",VLOOKUP('Raw Data'!A3571,References!#REF!,2,FALSE),(VLOOKUP($S3571,References!$B$3:$C$8,2,FALSE))),"")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78"/>
        <v>0</v>
      </c>
      <c r="T3572" s="98">
        <f t="shared" si="177"/>
        <v>0</v>
      </c>
      <c r="U3572" s="99" t="str">
        <f>IFERROR(IF(#REF!="S",VLOOKUP('Raw Data'!A3572,References!#REF!,2,FALSE),(VLOOKUP($S3572,References!$B$3:$C$8,2,FALSE))),"")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78"/>
        <v>0</v>
      </c>
      <c r="T3573" s="98">
        <f t="shared" si="177"/>
        <v>0</v>
      </c>
      <c r="U3573" s="99" t="str">
        <f>IFERROR(IF(#REF!="S",VLOOKUP('Raw Data'!A3573,References!#REF!,2,FALSE),(VLOOKUP($S3573,References!$B$3:$C$8,2,FALSE))),"")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78"/>
        <v>0</v>
      </c>
      <c r="T3574" s="98">
        <f t="shared" si="177"/>
        <v>0</v>
      </c>
      <c r="U3574" s="99" t="str">
        <f>IFERROR(IF(#REF!="S",VLOOKUP('Raw Data'!A3574,References!#REF!,2,FALSE),(VLOOKUP($S3574,References!$B$3:$C$8,2,FALSE))),"")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78"/>
        <v>0</v>
      </c>
      <c r="T3575" s="98">
        <f t="shared" si="177"/>
        <v>0</v>
      </c>
      <c r="U3575" s="99" t="str">
        <f>IFERROR(IF(#REF!="S",VLOOKUP('Raw Data'!A3575,References!#REF!,2,FALSE),(VLOOKUP($S3575,References!$B$3:$C$8,2,FALSE))),"")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78"/>
        <v>0</v>
      </c>
      <c r="T3576" s="98">
        <f t="shared" si="177"/>
        <v>0</v>
      </c>
      <c r="U3576" s="99" t="str">
        <f>IFERROR(IF(#REF!="S",VLOOKUP('Raw Data'!A3576,References!#REF!,2,FALSE),(VLOOKUP($S3576,References!$B$3:$C$8,2,FALSE))),"")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78"/>
        <v>0</v>
      </c>
      <c r="T3577" s="98">
        <f t="shared" si="177"/>
        <v>0</v>
      </c>
      <c r="U3577" s="99" t="str">
        <f>IFERROR(IF(#REF!="S",VLOOKUP('Raw Data'!A3577,References!#REF!,2,FALSE),(VLOOKUP($S3577,References!$B$3:$C$8,2,FALSE))),"")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78"/>
        <v>0</v>
      </c>
      <c r="T3578" s="98">
        <f t="shared" si="177"/>
        <v>0</v>
      </c>
      <c r="U3578" s="99" t="str">
        <f>IFERROR(IF(#REF!="S",VLOOKUP('Raw Data'!A3578,References!#REF!,2,FALSE),(VLOOKUP($S3578,References!$B$3:$C$8,2,FALSE))),"")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78"/>
        <v>0</v>
      </c>
      <c r="T3579" s="98">
        <f t="shared" si="177"/>
        <v>0</v>
      </c>
      <c r="U3579" s="99" t="str">
        <f>IFERROR(IF(#REF!="S",VLOOKUP('Raw Data'!A3579,References!#REF!,2,FALSE),(VLOOKUP($S3579,References!$B$3:$C$8,2,FALSE))),"")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78"/>
        <v>0</v>
      </c>
      <c r="T3580" s="98">
        <f t="shared" si="177"/>
        <v>0</v>
      </c>
      <c r="U3580" s="99" t="str">
        <f>IFERROR(IF(#REF!="S",VLOOKUP('Raw Data'!A3580,References!#REF!,2,FALSE),(VLOOKUP($S3580,References!$B$3:$C$8,2,FALSE))),"")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78"/>
        <v>0</v>
      </c>
      <c r="T3581" s="98">
        <f t="shared" si="177"/>
        <v>0</v>
      </c>
      <c r="U3581" s="99" t="str">
        <f>IFERROR(IF(#REF!="S",VLOOKUP('Raw Data'!A3581,References!#REF!,2,FALSE),(VLOOKUP($S3581,References!$B$3:$C$8,2,FALSE))),"")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78"/>
        <v>0</v>
      </c>
      <c r="T3582" s="98">
        <f t="shared" si="177"/>
        <v>0</v>
      </c>
      <c r="U3582" s="99" t="str">
        <f>IFERROR(IF(#REF!="S",VLOOKUP('Raw Data'!A3582,References!#REF!,2,FALSE),(VLOOKUP($S3582,References!$B$3:$C$8,2,FALSE))),"")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78"/>
        <v>0</v>
      </c>
      <c r="T3583" s="98">
        <f t="shared" si="177"/>
        <v>0</v>
      </c>
      <c r="U3583" s="99" t="str">
        <f>IFERROR(IF(#REF!="S",VLOOKUP('Raw Data'!A3583,References!#REF!,2,FALSE),(VLOOKUP($S3583,References!$B$3:$C$8,2,FALSE))),"")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78"/>
        <v>0</v>
      </c>
      <c r="T3584" s="98">
        <f t="shared" si="177"/>
        <v>0</v>
      </c>
      <c r="U3584" s="99" t="str">
        <f>IFERROR(IF(#REF!="S",VLOOKUP('Raw Data'!A3584,References!#REF!,2,FALSE),(VLOOKUP($S3584,References!$B$3:$C$8,2,FALSE))),"")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78"/>
        <v>0</v>
      </c>
      <c r="T3585" s="98">
        <f t="shared" si="177"/>
        <v>0</v>
      </c>
      <c r="U3585" s="99" t="str">
        <f>IFERROR(IF(#REF!="S",VLOOKUP('Raw Data'!A3585,References!#REF!,2,FALSE),(VLOOKUP($S3585,References!$B$3:$C$8,2,FALSE))),"")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78"/>
        <v>0</v>
      </c>
      <c r="T3586" s="98">
        <f t="shared" si="177"/>
        <v>0</v>
      </c>
      <c r="U3586" s="99" t="str">
        <f>IFERROR(IF(#REF!="S",VLOOKUP('Raw Data'!A3586,References!#REF!,2,FALSE),(VLOOKUP($S3586,References!$B$3:$C$8,2,FALSE))),"")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78"/>
        <v>0</v>
      </c>
      <c r="T3587" s="98">
        <f t="shared" si="177"/>
        <v>0</v>
      </c>
      <c r="U3587" s="99" t="str">
        <f>IFERROR(IF(#REF!="S",VLOOKUP('Raw Data'!A3587,References!#REF!,2,FALSE),(VLOOKUP($S3587,References!$B$3:$C$8,2,FALSE))),"")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78"/>
        <v>0</v>
      </c>
      <c r="T3588" s="98">
        <f t="shared" si="177"/>
        <v>0</v>
      </c>
      <c r="U3588" s="99" t="str">
        <f>IFERROR(IF(#REF!="S",VLOOKUP('Raw Data'!A3588,References!#REF!,2,FALSE),(VLOOKUP($S3588,References!$B$3:$C$8,2,FALSE))),"")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78"/>
        <v>0</v>
      </c>
      <c r="T3589" s="98">
        <f t="shared" si="177"/>
        <v>0</v>
      </c>
      <c r="U3589" s="99" t="str">
        <f>IFERROR(IF(#REF!="S",VLOOKUP('Raw Data'!A3589,References!#REF!,2,FALSE),(VLOOKUP($S3589,References!$B$3:$C$8,2,FALSE))),"")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78"/>
        <v>0</v>
      </c>
      <c r="T3590" s="98">
        <f t="shared" si="177"/>
        <v>0</v>
      </c>
      <c r="U3590" s="99" t="str">
        <f>IFERROR(IF(#REF!="S",VLOOKUP('Raw Data'!A3590,References!#REF!,2,FALSE),(VLOOKUP($S3590,References!$B$3:$C$8,2,FALSE))),"")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78"/>
        <v>0</v>
      </c>
      <c r="T3591" s="98">
        <f t="shared" si="177"/>
        <v>0</v>
      </c>
      <c r="U3591" s="99" t="str">
        <f>IFERROR(IF(#REF!="S",VLOOKUP('Raw Data'!A3591,References!#REF!,2,FALSE),(VLOOKUP($S3591,References!$B$3:$C$8,2,FALSE))),"")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78"/>
        <v>0</v>
      </c>
      <c r="T3592" s="98">
        <f t="shared" si="177"/>
        <v>0</v>
      </c>
      <c r="U3592" s="99" t="str">
        <f>IFERROR(IF(#REF!="S",VLOOKUP('Raw Data'!A3592,References!#REF!,2,FALSE),(VLOOKUP($S3592,References!$B$3:$C$8,2,FALSE))),"")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78"/>
        <v>0</v>
      </c>
      <c r="T3593" s="98">
        <f t="shared" si="177"/>
        <v>0</v>
      </c>
      <c r="U3593" s="99" t="str">
        <f>IFERROR(IF(#REF!="S",VLOOKUP('Raw Data'!A3593,References!#REF!,2,FALSE),(VLOOKUP($S3593,References!$B$3:$C$8,2,FALSE))),"")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78"/>
        <v>0</v>
      </c>
      <c r="T3594" s="98">
        <f t="shared" si="177"/>
        <v>0</v>
      </c>
      <c r="U3594" s="99" t="str">
        <f>IFERROR(IF(#REF!="S",VLOOKUP('Raw Data'!A3594,References!#REF!,2,FALSE),(VLOOKUP($S3594,References!$B$3:$C$8,2,FALSE))),"")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78"/>
        <v>0</v>
      </c>
      <c r="T3595" s="98">
        <f t="shared" si="177"/>
        <v>0</v>
      </c>
      <c r="U3595" s="99" t="str">
        <f>IFERROR(IF(#REF!="S",VLOOKUP('Raw Data'!A3595,References!#REF!,2,FALSE),(VLOOKUP($S3595,References!$B$3:$C$8,2,FALSE))),"")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78"/>
        <v>0</v>
      </c>
      <c r="T3596" s="98">
        <f t="shared" si="177"/>
        <v>0</v>
      </c>
      <c r="U3596" s="99" t="str">
        <f>IFERROR(IF(#REF!="S",VLOOKUP('Raw Data'!A3596,References!#REF!,2,FALSE),(VLOOKUP($S3596,References!$B$3:$C$8,2,FALSE))),"")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78"/>
        <v>0</v>
      </c>
      <c r="T3597" s="98">
        <f t="shared" si="177"/>
        <v>0</v>
      </c>
      <c r="U3597" s="99" t="str">
        <f>IFERROR(IF(#REF!="S",VLOOKUP('Raw Data'!A3597,References!#REF!,2,FALSE),(VLOOKUP($S3597,References!$B$3:$C$8,2,FALSE))),"")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78"/>
        <v>0</v>
      </c>
      <c r="T3598" s="98">
        <f t="shared" si="177"/>
        <v>0</v>
      </c>
      <c r="U3598" s="99" t="str">
        <f>IFERROR(IF(#REF!="S",VLOOKUP('Raw Data'!A3598,References!#REF!,2,FALSE),(VLOOKUP($S3598,References!$B$3:$C$8,2,FALSE))),"")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78"/>
        <v>0</v>
      </c>
      <c r="T3599" s="98">
        <f t="shared" si="177"/>
        <v>0</v>
      </c>
      <c r="U3599" s="99" t="str">
        <f>IFERROR(IF(#REF!="S",VLOOKUP('Raw Data'!A3599,References!#REF!,2,FALSE),(VLOOKUP($S3599,References!$B$3:$C$8,2,FALSE))),"")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78"/>
        <v>0</v>
      </c>
      <c r="T3600" s="98">
        <f t="shared" ref="T3600:T3663" si="179">IF(S3600="50 - Cleaning Fee",1,HOUR($R3600)+MINUTE(R3600)/60)</f>
        <v>0</v>
      </c>
      <c r="U3600" s="99" t="str">
        <f>IFERROR(IF(#REF!="S",VLOOKUP('Raw Data'!A3600,References!#REF!,2,FALSE),(VLOOKUP($S3600,References!$B$3:$C$8,2,FALSE))),"")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78"/>
        <v>0</v>
      </c>
      <c r="T3601" s="98">
        <f t="shared" si="179"/>
        <v>0</v>
      </c>
      <c r="U3601" s="99" t="str">
        <f>IFERROR(IF(#REF!="S",VLOOKUP('Raw Data'!A3601,References!#REF!,2,FALSE),(VLOOKUP($S3601,References!$B$3:$C$8,2,FALSE))),"")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78"/>
        <v>0</v>
      </c>
      <c r="T3602" s="98">
        <f t="shared" si="179"/>
        <v>0</v>
      </c>
      <c r="U3602" s="99" t="str">
        <f>IFERROR(IF(#REF!="S",VLOOKUP('Raw Data'!A3602,References!#REF!,2,FALSE),(VLOOKUP($S3602,References!$B$3:$C$8,2,FALSE))),"")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78"/>
        <v>0</v>
      </c>
      <c r="T3603" s="98">
        <f t="shared" si="179"/>
        <v>0</v>
      </c>
      <c r="U3603" s="99" t="str">
        <f>IFERROR(IF(#REF!="S",VLOOKUP('Raw Data'!A3603,References!#REF!,2,FALSE),(VLOOKUP($S3603,References!$B$3:$C$8,2,FALSE))),"")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78"/>
        <v>0</v>
      </c>
      <c r="T3604" s="98">
        <f t="shared" si="179"/>
        <v>0</v>
      </c>
      <c r="U3604" s="99" t="str">
        <f>IFERROR(IF(#REF!="S",VLOOKUP('Raw Data'!A3604,References!#REF!,2,FALSE),(VLOOKUP($S3604,References!$B$3:$C$8,2,FALSE))),"")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78"/>
        <v>0</v>
      </c>
      <c r="T3605" s="98">
        <f t="shared" si="179"/>
        <v>0</v>
      </c>
      <c r="U3605" s="99" t="str">
        <f>IFERROR(IF(#REF!="S",VLOOKUP('Raw Data'!A3605,References!#REF!,2,FALSE),(VLOOKUP($S3605,References!$B$3:$C$8,2,FALSE))),"")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78"/>
        <v>0</v>
      </c>
      <c r="T3606" s="98">
        <f t="shared" si="179"/>
        <v>0</v>
      </c>
      <c r="U3606" s="99" t="str">
        <f>IFERROR(IF(#REF!="S",VLOOKUP('Raw Data'!A3606,References!#REF!,2,FALSE),(VLOOKUP($S3606,References!$B$3:$C$8,2,FALSE))),"")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78"/>
        <v>0</v>
      </c>
      <c r="T3607" s="98">
        <f t="shared" si="179"/>
        <v>0</v>
      </c>
      <c r="U3607" s="99" t="str">
        <f>IFERROR(IF(#REF!="S",VLOOKUP('Raw Data'!A3607,References!#REF!,2,FALSE),(VLOOKUP($S3607,References!$B$3:$C$8,2,FALSE))),"")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78"/>
        <v>0</v>
      </c>
      <c r="T3608" s="98">
        <f t="shared" si="179"/>
        <v>0</v>
      </c>
      <c r="U3608" s="99" t="str">
        <f>IFERROR(IF(#REF!="S",VLOOKUP('Raw Data'!A3608,References!#REF!,2,FALSE),(VLOOKUP($S3608,References!$B$3:$C$8,2,FALSE))),"")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78"/>
        <v>0</v>
      </c>
      <c r="T3609" s="98">
        <f t="shared" si="179"/>
        <v>0</v>
      </c>
      <c r="U3609" s="99" t="str">
        <f>IFERROR(IF(#REF!="S",VLOOKUP('Raw Data'!A3609,References!#REF!,2,FALSE),(VLOOKUP($S3609,References!$B$3:$C$8,2,FALSE))),"")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78"/>
        <v>0</v>
      </c>
      <c r="T3610" s="98">
        <f t="shared" si="179"/>
        <v>0</v>
      </c>
      <c r="U3610" s="99" t="str">
        <f>IFERROR(IF(#REF!="S",VLOOKUP('Raw Data'!A3610,References!#REF!,2,FALSE),(VLOOKUP($S3610,References!$B$3:$C$8,2,FALSE))),"")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78"/>
        <v>0</v>
      </c>
      <c r="T3611" s="98">
        <f t="shared" si="179"/>
        <v>0</v>
      </c>
      <c r="U3611" s="99" t="str">
        <f>IFERROR(IF(#REF!="S",VLOOKUP('Raw Data'!A3611,References!#REF!,2,FALSE),(VLOOKUP($S3611,References!$B$3:$C$8,2,FALSE))),"")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78"/>
        <v>0</v>
      </c>
      <c r="T3612" s="98">
        <f t="shared" si="179"/>
        <v>0</v>
      </c>
      <c r="U3612" s="99" t="str">
        <f>IFERROR(IF(#REF!="S",VLOOKUP('Raw Data'!A3612,References!#REF!,2,FALSE),(VLOOKUP($S3612,References!$B$3:$C$8,2,FALSE))),"")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78"/>
        <v>0</v>
      </c>
      <c r="T3613" s="98">
        <f t="shared" si="179"/>
        <v>0</v>
      </c>
      <c r="U3613" s="99" t="str">
        <f>IFERROR(IF(#REF!="S",VLOOKUP('Raw Data'!A3613,References!#REF!,2,FALSE),(VLOOKUP($S3613,References!$B$3:$C$8,2,FALSE))),"")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78"/>
        <v>0</v>
      </c>
      <c r="T3614" s="98">
        <f t="shared" si="179"/>
        <v>0</v>
      </c>
      <c r="U3614" s="99" t="str">
        <f>IFERROR(IF(#REF!="S",VLOOKUP('Raw Data'!A3614,References!#REF!,2,FALSE),(VLOOKUP($S3614,References!$B$3:$C$8,2,FALSE))),"")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78"/>
        <v>0</v>
      </c>
      <c r="T3615" s="98">
        <f t="shared" si="179"/>
        <v>0</v>
      </c>
      <c r="U3615" s="99" t="str">
        <f>IFERROR(IF(#REF!="S",VLOOKUP('Raw Data'!A3615,References!#REF!,2,FALSE),(VLOOKUP($S3615,References!$B$3:$C$8,2,FALSE))),"")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78"/>
        <v>0</v>
      </c>
      <c r="T3616" s="98">
        <f t="shared" si="179"/>
        <v>0</v>
      </c>
      <c r="U3616" s="99" t="str">
        <f>IFERROR(IF(#REF!="S",VLOOKUP('Raw Data'!A3616,References!#REF!,2,FALSE),(VLOOKUP($S3616,References!$B$3:$C$8,2,FALSE))),"")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78"/>
        <v>0</v>
      </c>
      <c r="T3617" s="98">
        <f t="shared" si="179"/>
        <v>0</v>
      </c>
      <c r="U3617" s="99" t="str">
        <f>IFERROR(IF(#REF!="S",VLOOKUP('Raw Data'!A3617,References!#REF!,2,FALSE),(VLOOKUP($S3617,References!$B$3:$C$8,2,FALSE))),"")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78"/>
        <v>0</v>
      </c>
      <c r="T3618" s="98">
        <f t="shared" si="179"/>
        <v>0</v>
      </c>
      <c r="U3618" s="99" t="str">
        <f>IFERROR(IF(#REF!="S",VLOOKUP('Raw Data'!A3618,References!#REF!,2,FALSE),(VLOOKUP($S3618,References!$B$3:$C$8,2,FALSE))),"")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78"/>
        <v>0</v>
      </c>
      <c r="T3619" s="98">
        <f t="shared" si="179"/>
        <v>0</v>
      </c>
      <c r="U3619" s="99" t="str">
        <f>IFERROR(IF(#REF!="S",VLOOKUP('Raw Data'!A3619,References!#REF!,2,FALSE),(VLOOKUP($S3619,References!$B$3:$C$8,2,FALSE))),"")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78"/>
        <v>0</v>
      </c>
      <c r="T3620" s="98">
        <f t="shared" si="179"/>
        <v>0</v>
      </c>
      <c r="U3620" s="99" t="str">
        <f>IFERROR(IF(#REF!="S",VLOOKUP('Raw Data'!A3620,References!#REF!,2,FALSE),(VLOOKUP($S3620,References!$B$3:$C$8,2,FALSE))),"")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78"/>
        <v>0</v>
      </c>
      <c r="T3621" s="98">
        <f t="shared" si="179"/>
        <v>0</v>
      </c>
      <c r="U3621" s="99" t="str">
        <f>IFERROR(IF(#REF!="S",VLOOKUP('Raw Data'!A3621,References!#REF!,2,FALSE),(VLOOKUP($S3621,References!$B$3:$C$8,2,FALSE))),"")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78"/>
        <v>0</v>
      </c>
      <c r="T3622" s="98">
        <f t="shared" si="179"/>
        <v>0</v>
      </c>
      <c r="U3622" s="99" t="str">
        <f>IFERROR(IF(#REF!="S",VLOOKUP('Raw Data'!A3622,References!#REF!,2,FALSE),(VLOOKUP($S3622,References!$B$3:$C$8,2,FALSE))),"")</f>
        <v/>
      </c>
      <c r="W3622" s="66" t="str">
        <f>IFERROR(VLOOKUP($O3622,'Customer List'!$A$1:$J$488,10,FALSE),"")</f>
        <v/>
      </c>
    </row>
    <row r="3623" spans="18:23">
      <c r="R3623" s="97">
        <f t="shared" si="178"/>
        <v>0</v>
      </c>
      <c r="T3623" s="98">
        <f t="shared" si="179"/>
        <v>0</v>
      </c>
      <c r="U3623" s="99" t="str">
        <f>IFERROR(IF(#REF!="S",VLOOKUP('Raw Data'!A3623,References!#REF!,2,FALSE),(VLOOKUP($S3623,References!$B$3:$C$8,2,FALSE))),"")</f>
        <v/>
      </c>
      <c r="W3623" s="66" t="str">
        <f>IFERROR(VLOOKUP($O3623,'Customer List'!$A$1:$J$488,10,FALSE),"")</f>
        <v/>
      </c>
    </row>
    <row r="3624" spans="18:23">
      <c r="R3624" s="97">
        <f t="shared" ref="R3624:R3687" si="180">L3624-K3624</f>
        <v>0</v>
      </c>
      <c r="T3624" s="98">
        <f t="shared" si="179"/>
        <v>0</v>
      </c>
      <c r="U3624" s="99" t="str">
        <f>IFERROR(IF(#REF!="S",VLOOKUP('Raw Data'!A3624,References!#REF!,2,FALSE),(VLOOKUP($S3624,References!$B$3:$C$8,2,FALSE))),"")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0"/>
        <v>0</v>
      </c>
      <c r="T3625" s="98">
        <f t="shared" si="179"/>
        <v>0</v>
      </c>
      <c r="U3625" s="99" t="str">
        <f>IFERROR(IF(#REF!="S",VLOOKUP('Raw Data'!A3625,References!#REF!,2,FALSE),(VLOOKUP($S3625,References!$B$3:$C$8,2,FALSE))),"")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0"/>
        <v>0</v>
      </c>
      <c r="T3626" s="98">
        <f t="shared" si="179"/>
        <v>0</v>
      </c>
      <c r="U3626" s="99" t="str">
        <f>IFERROR(IF(#REF!="S",VLOOKUP('Raw Data'!A3626,References!#REF!,2,FALSE),(VLOOKUP($S3626,References!$B$3:$C$8,2,FALSE))),"")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0"/>
        <v>0</v>
      </c>
      <c r="T3627" s="98">
        <f t="shared" si="179"/>
        <v>0</v>
      </c>
      <c r="U3627" s="99" t="str">
        <f>IFERROR(IF(#REF!="S",VLOOKUP('Raw Data'!A3627,References!#REF!,2,FALSE),(VLOOKUP($S3627,References!$B$3:$C$8,2,FALSE))),"")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0"/>
        <v>0</v>
      </c>
      <c r="T3628" s="98">
        <f t="shared" si="179"/>
        <v>0</v>
      </c>
      <c r="U3628" s="99" t="str">
        <f>IFERROR(IF(#REF!="S",VLOOKUP('Raw Data'!A3628,References!#REF!,2,FALSE),(VLOOKUP($S3628,References!$B$3:$C$8,2,FALSE))),"")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0"/>
        <v>0</v>
      </c>
      <c r="T3629" s="98">
        <f t="shared" si="179"/>
        <v>0</v>
      </c>
      <c r="U3629" s="99" t="str">
        <f>IFERROR(IF(#REF!="S",VLOOKUP('Raw Data'!A3629,References!#REF!,2,FALSE),(VLOOKUP($S3629,References!$B$3:$C$8,2,FALSE))),"")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0"/>
        <v>0</v>
      </c>
      <c r="T3630" s="98">
        <f t="shared" si="179"/>
        <v>0</v>
      </c>
      <c r="U3630" s="99" t="str">
        <f>IFERROR(IF(#REF!="S",VLOOKUP('Raw Data'!A3630,References!#REF!,2,FALSE),(VLOOKUP($S3630,References!$B$3:$C$8,2,FALSE))),"")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0"/>
        <v>0</v>
      </c>
      <c r="T3631" s="98">
        <f t="shared" si="179"/>
        <v>0</v>
      </c>
      <c r="U3631" s="99" t="str">
        <f>IFERROR(IF(#REF!="S",VLOOKUP('Raw Data'!A3631,References!#REF!,2,FALSE),(VLOOKUP($S3631,References!$B$3:$C$8,2,FALSE))),"")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0"/>
        <v>0</v>
      </c>
      <c r="T3632" s="98">
        <f t="shared" si="179"/>
        <v>0</v>
      </c>
      <c r="U3632" s="99" t="str">
        <f>IFERROR(IF(#REF!="S",VLOOKUP('Raw Data'!A3632,References!#REF!,2,FALSE),(VLOOKUP($S3632,References!$B$3:$C$8,2,FALSE))),"")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0"/>
        <v>0</v>
      </c>
      <c r="T3633" s="98">
        <f t="shared" si="179"/>
        <v>0</v>
      </c>
      <c r="U3633" s="99" t="str">
        <f>IFERROR(IF(#REF!="S",VLOOKUP('Raw Data'!A3633,References!#REF!,2,FALSE),(VLOOKUP($S3633,References!$B$3:$C$8,2,FALSE))),"")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0"/>
        <v>0</v>
      </c>
      <c r="T3634" s="98">
        <f t="shared" si="179"/>
        <v>0</v>
      </c>
      <c r="U3634" s="99" t="str">
        <f>IFERROR(IF(#REF!="S",VLOOKUP('Raw Data'!A3634,References!#REF!,2,FALSE),(VLOOKUP($S3634,References!$B$3:$C$8,2,FALSE))),"")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0"/>
        <v>0</v>
      </c>
      <c r="T3635" s="98">
        <f t="shared" si="179"/>
        <v>0</v>
      </c>
      <c r="U3635" s="99" t="str">
        <f>IFERROR(IF(#REF!="S",VLOOKUP('Raw Data'!A3635,References!#REF!,2,FALSE),(VLOOKUP($S3635,References!$B$3:$C$8,2,FALSE))),"")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0"/>
        <v>0</v>
      </c>
      <c r="T3636" s="98">
        <f t="shared" si="179"/>
        <v>0</v>
      </c>
      <c r="U3636" s="99" t="str">
        <f>IFERROR(IF(#REF!="S",VLOOKUP('Raw Data'!A3636,References!#REF!,2,FALSE),(VLOOKUP($S3636,References!$B$3:$C$8,2,FALSE))),"")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0"/>
        <v>0</v>
      </c>
      <c r="T3637" s="98">
        <f t="shared" si="179"/>
        <v>0</v>
      </c>
      <c r="U3637" s="99" t="str">
        <f>IFERROR(IF(#REF!="S",VLOOKUP('Raw Data'!A3637,References!#REF!,2,FALSE),(VLOOKUP($S3637,References!$B$3:$C$8,2,FALSE))),"")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0"/>
        <v>0</v>
      </c>
      <c r="T3638" s="98">
        <f t="shared" si="179"/>
        <v>0</v>
      </c>
      <c r="U3638" s="99" t="str">
        <f>IFERROR(IF(#REF!="S",VLOOKUP('Raw Data'!A3638,References!#REF!,2,FALSE),(VLOOKUP($S3638,References!$B$3:$C$8,2,FALSE))),"")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0"/>
        <v>0</v>
      </c>
      <c r="T3639" s="98">
        <f t="shared" si="179"/>
        <v>0</v>
      </c>
      <c r="U3639" s="99" t="str">
        <f>IFERROR(IF(#REF!="S",VLOOKUP('Raw Data'!A3639,References!#REF!,2,FALSE),(VLOOKUP($S3639,References!$B$3:$C$8,2,FALSE))),"")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0"/>
        <v>0</v>
      </c>
      <c r="T3640" s="98">
        <f t="shared" si="179"/>
        <v>0</v>
      </c>
      <c r="U3640" s="99" t="str">
        <f>IFERROR(IF(#REF!="S",VLOOKUP('Raw Data'!A3640,References!#REF!,2,FALSE),(VLOOKUP($S3640,References!$B$3:$C$8,2,FALSE))),"")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0"/>
        <v>0</v>
      </c>
      <c r="T3641" s="98">
        <f t="shared" si="179"/>
        <v>0</v>
      </c>
      <c r="U3641" s="99" t="str">
        <f>IFERROR(IF(#REF!="S",VLOOKUP('Raw Data'!A3641,References!#REF!,2,FALSE),(VLOOKUP($S3641,References!$B$3:$C$8,2,FALSE))),"")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0"/>
        <v>0</v>
      </c>
      <c r="T3642" s="98">
        <f t="shared" si="179"/>
        <v>0</v>
      </c>
      <c r="U3642" s="99" t="str">
        <f>IFERROR(IF(#REF!="S",VLOOKUP('Raw Data'!A3642,References!#REF!,2,FALSE),(VLOOKUP($S3642,References!$B$3:$C$8,2,FALSE))),"")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0"/>
        <v>0</v>
      </c>
      <c r="T3643" s="98">
        <f t="shared" si="179"/>
        <v>0</v>
      </c>
      <c r="U3643" s="99" t="str">
        <f>IFERROR(IF(#REF!="S",VLOOKUP('Raw Data'!A3643,References!#REF!,2,FALSE),(VLOOKUP($S3643,References!$B$3:$C$8,2,FALSE))),"")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0"/>
        <v>0</v>
      </c>
      <c r="T3644" s="98">
        <f t="shared" si="179"/>
        <v>0</v>
      </c>
      <c r="U3644" s="99" t="str">
        <f>IFERROR(IF(#REF!="S",VLOOKUP('Raw Data'!A3644,References!#REF!,2,FALSE),(VLOOKUP($S3644,References!$B$3:$C$8,2,FALSE))),"")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0"/>
        <v>0</v>
      </c>
      <c r="T3645" s="98">
        <f t="shared" si="179"/>
        <v>0</v>
      </c>
      <c r="U3645" s="99" t="str">
        <f>IFERROR(IF(#REF!="S",VLOOKUP('Raw Data'!A3645,References!#REF!,2,FALSE),(VLOOKUP($S3645,References!$B$3:$C$8,2,FALSE))),"")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0"/>
        <v>0</v>
      </c>
      <c r="T3646" s="98">
        <f t="shared" si="179"/>
        <v>0</v>
      </c>
      <c r="U3646" s="99" t="str">
        <f>IFERROR(IF(#REF!="S",VLOOKUP('Raw Data'!A3646,References!#REF!,2,FALSE),(VLOOKUP($S3646,References!$B$3:$C$8,2,FALSE))),"")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0"/>
        <v>0</v>
      </c>
      <c r="T3647" s="98">
        <f t="shared" si="179"/>
        <v>0</v>
      </c>
      <c r="U3647" s="99" t="str">
        <f>IFERROR(IF(#REF!="S",VLOOKUP('Raw Data'!A3647,References!#REF!,2,FALSE),(VLOOKUP($S3647,References!$B$3:$C$8,2,FALSE))),"")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0"/>
        <v>0</v>
      </c>
      <c r="T3648" s="98">
        <f t="shared" si="179"/>
        <v>0</v>
      </c>
      <c r="U3648" s="99" t="str">
        <f>IFERROR(IF(#REF!="S",VLOOKUP('Raw Data'!A3648,References!#REF!,2,FALSE),(VLOOKUP($S3648,References!$B$3:$C$8,2,FALSE))),"")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0"/>
        <v>0</v>
      </c>
      <c r="T3649" s="98">
        <f t="shared" si="179"/>
        <v>0</v>
      </c>
      <c r="U3649" s="99" t="str">
        <f>IFERROR(IF(#REF!="S",VLOOKUP('Raw Data'!A3649,References!#REF!,2,FALSE),(VLOOKUP($S3649,References!$B$3:$C$8,2,FALSE))),"")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0"/>
        <v>0</v>
      </c>
      <c r="T3650" s="98">
        <f t="shared" si="179"/>
        <v>0</v>
      </c>
      <c r="U3650" s="99" t="str">
        <f>IFERROR(IF(#REF!="S",VLOOKUP('Raw Data'!A3650,References!#REF!,2,FALSE),(VLOOKUP($S3650,References!$B$3:$C$8,2,FALSE))),"")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0"/>
        <v>0</v>
      </c>
      <c r="T3651" s="98">
        <f t="shared" si="179"/>
        <v>0</v>
      </c>
      <c r="U3651" s="99" t="str">
        <f>IFERROR(IF(#REF!="S",VLOOKUP('Raw Data'!A3651,References!#REF!,2,FALSE),(VLOOKUP($S3651,References!$B$3:$C$8,2,FALSE))),"")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0"/>
        <v>0</v>
      </c>
      <c r="T3652" s="98">
        <f t="shared" si="179"/>
        <v>0</v>
      </c>
      <c r="U3652" s="99" t="str">
        <f>IFERROR(IF(#REF!="S",VLOOKUP('Raw Data'!A3652,References!#REF!,2,FALSE),(VLOOKUP($S3652,References!$B$3:$C$8,2,FALSE))),"")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0"/>
        <v>0</v>
      </c>
      <c r="T3653" s="98">
        <f t="shared" si="179"/>
        <v>0</v>
      </c>
      <c r="U3653" s="99" t="str">
        <f>IFERROR(IF(#REF!="S",VLOOKUP('Raw Data'!A3653,References!#REF!,2,FALSE),(VLOOKUP($S3653,References!$B$3:$C$8,2,FALSE))),"")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0"/>
        <v>0</v>
      </c>
      <c r="T3654" s="98">
        <f t="shared" si="179"/>
        <v>0</v>
      </c>
      <c r="U3654" s="99" t="str">
        <f>IFERROR(IF(#REF!="S",VLOOKUP('Raw Data'!A3654,References!#REF!,2,FALSE),(VLOOKUP($S3654,References!$B$3:$C$8,2,FALSE))),"")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0"/>
        <v>0</v>
      </c>
      <c r="T3655" s="98">
        <f t="shared" si="179"/>
        <v>0</v>
      </c>
      <c r="U3655" s="99" t="str">
        <f>IFERROR(IF(#REF!="S",VLOOKUP('Raw Data'!A3655,References!#REF!,2,FALSE),(VLOOKUP($S3655,References!$B$3:$C$8,2,FALSE))),"")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0"/>
        <v>0</v>
      </c>
      <c r="T3656" s="98">
        <f t="shared" si="179"/>
        <v>0</v>
      </c>
      <c r="U3656" s="99" t="str">
        <f>IFERROR(IF(#REF!="S",VLOOKUP('Raw Data'!A3656,References!#REF!,2,FALSE),(VLOOKUP($S3656,References!$B$3:$C$8,2,FALSE))),"")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0"/>
        <v>0</v>
      </c>
      <c r="T3657" s="98">
        <f t="shared" si="179"/>
        <v>0</v>
      </c>
      <c r="U3657" s="99" t="str">
        <f>IFERROR(IF(#REF!="S",VLOOKUP('Raw Data'!A3657,References!#REF!,2,FALSE),(VLOOKUP($S3657,References!$B$3:$C$8,2,FALSE))),"")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0"/>
        <v>0</v>
      </c>
      <c r="T3658" s="98">
        <f t="shared" si="179"/>
        <v>0</v>
      </c>
      <c r="U3658" s="99" t="str">
        <f>IFERROR(IF(#REF!="S",VLOOKUP('Raw Data'!A3658,References!#REF!,2,FALSE),(VLOOKUP($S3658,References!$B$3:$C$8,2,FALSE))),"")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0"/>
        <v>0</v>
      </c>
      <c r="T3659" s="98">
        <f t="shared" si="179"/>
        <v>0</v>
      </c>
      <c r="U3659" s="99" t="str">
        <f>IFERROR(IF(#REF!="S",VLOOKUP('Raw Data'!A3659,References!#REF!,2,FALSE),(VLOOKUP($S3659,References!$B$3:$C$8,2,FALSE))),"")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0"/>
        <v>0</v>
      </c>
      <c r="T3660" s="98">
        <f t="shared" si="179"/>
        <v>0</v>
      </c>
      <c r="U3660" s="99" t="str">
        <f>IFERROR(IF(#REF!="S",VLOOKUP('Raw Data'!A3660,References!#REF!,2,FALSE),(VLOOKUP($S3660,References!$B$3:$C$8,2,FALSE))),"")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0"/>
        <v>0</v>
      </c>
      <c r="T3661" s="98">
        <f t="shared" si="179"/>
        <v>0</v>
      </c>
      <c r="U3661" s="99" t="str">
        <f>IFERROR(IF(#REF!="S",VLOOKUP('Raw Data'!A3661,References!#REF!,2,FALSE),(VLOOKUP($S3661,References!$B$3:$C$8,2,FALSE))),"")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0"/>
        <v>0</v>
      </c>
      <c r="T3662" s="98">
        <f t="shared" si="179"/>
        <v>0</v>
      </c>
      <c r="U3662" s="99" t="str">
        <f>IFERROR(IF(#REF!="S",VLOOKUP('Raw Data'!A3662,References!#REF!,2,FALSE),(VLOOKUP($S3662,References!$B$3:$C$8,2,FALSE))),"")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0"/>
        <v>0</v>
      </c>
      <c r="T3663" s="98">
        <f t="shared" si="179"/>
        <v>0</v>
      </c>
      <c r="U3663" s="99" t="str">
        <f>IFERROR(IF(#REF!="S",VLOOKUP('Raw Data'!A3663,References!#REF!,2,FALSE),(VLOOKUP($S3663,References!$B$3:$C$8,2,FALSE))),"")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0"/>
        <v>0</v>
      </c>
      <c r="T3664" s="98">
        <f t="shared" ref="T3664:T3727" si="181">IF(S3664="50 - Cleaning Fee",1,HOUR($R3664)+MINUTE(R3664)/60)</f>
        <v>0</v>
      </c>
      <c r="U3664" s="99" t="str">
        <f>IFERROR(IF(#REF!="S",VLOOKUP('Raw Data'!A3664,References!#REF!,2,FALSE),(VLOOKUP($S3664,References!$B$3:$C$8,2,FALSE))),"")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0"/>
        <v>0</v>
      </c>
      <c r="T3665" s="98">
        <f t="shared" si="181"/>
        <v>0</v>
      </c>
      <c r="U3665" s="99" t="str">
        <f>IFERROR(IF(#REF!="S",VLOOKUP('Raw Data'!A3665,References!#REF!,2,FALSE),(VLOOKUP($S3665,References!$B$3:$C$8,2,FALSE))),"")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0"/>
        <v>0</v>
      </c>
      <c r="T3666" s="98">
        <f t="shared" si="181"/>
        <v>0</v>
      </c>
      <c r="U3666" s="99" t="str">
        <f>IFERROR(IF(#REF!="S",VLOOKUP('Raw Data'!A3666,References!#REF!,2,FALSE),(VLOOKUP($S3666,References!$B$3:$C$8,2,FALSE))),"")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0"/>
        <v>0</v>
      </c>
      <c r="T3667" s="98">
        <f t="shared" si="181"/>
        <v>0</v>
      </c>
      <c r="U3667" s="99" t="str">
        <f>IFERROR(IF(#REF!="S",VLOOKUP('Raw Data'!A3667,References!#REF!,2,FALSE),(VLOOKUP($S3667,References!$B$3:$C$8,2,FALSE))),"")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0"/>
        <v>0</v>
      </c>
      <c r="T3668" s="98">
        <f t="shared" si="181"/>
        <v>0</v>
      </c>
      <c r="U3668" s="99" t="str">
        <f>IFERROR(IF(#REF!="S",VLOOKUP('Raw Data'!A3668,References!#REF!,2,FALSE),(VLOOKUP($S3668,References!$B$3:$C$8,2,FALSE))),"")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0"/>
        <v>0</v>
      </c>
      <c r="T3669" s="98">
        <f t="shared" si="181"/>
        <v>0</v>
      </c>
      <c r="U3669" s="99" t="str">
        <f>IFERROR(IF(#REF!="S",VLOOKUP('Raw Data'!A3669,References!#REF!,2,FALSE),(VLOOKUP($S3669,References!$B$3:$C$8,2,FALSE))),"")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0"/>
        <v>0</v>
      </c>
      <c r="T3670" s="98">
        <f t="shared" si="181"/>
        <v>0</v>
      </c>
      <c r="U3670" s="99" t="str">
        <f>IFERROR(IF(#REF!="S",VLOOKUP('Raw Data'!A3670,References!#REF!,2,FALSE),(VLOOKUP($S3670,References!$B$3:$C$8,2,FALSE))),"")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0"/>
        <v>0</v>
      </c>
      <c r="T3671" s="98">
        <f t="shared" si="181"/>
        <v>0</v>
      </c>
      <c r="U3671" s="99" t="str">
        <f>IFERROR(IF(#REF!="S",VLOOKUP('Raw Data'!A3671,References!#REF!,2,FALSE),(VLOOKUP($S3671,References!$B$3:$C$8,2,FALSE))),"")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0"/>
        <v>0</v>
      </c>
      <c r="T3672" s="98">
        <f t="shared" si="181"/>
        <v>0</v>
      </c>
      <c r="U3672" s="99" t="str">
        <f>IFERROR(IF(#REF!="S",VLOOKUP('Raw Data'!A3672,References!#REF!,2,FALSE),(VLOOKUP($S3672,References!$B$3:$C$8,2,FALSE))),"")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0"/>
        <v>0</v>
      </c>
      <c r="T3673" s="98">
        <f t="shared" si="181"/>
        <v>0</v>
      </c>
      <c r="U3673" s="99" t="str">
        <f>IFERROR(IF(#REF!="S",VLOOKUP('Raw Data'!A3673,References!#REF!,2,FALSE),(VLOOKUP($S3673,References!$B$3:$C$8,2,FALSE))),"")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0"/>
        <v>0</v>
      </c>
      <c r="T3674" s="98">
        <f t="shared" si="181"/>
        <v>0</v>
      </c>
      <c r="U3674" s="99" t="str">
        <f>IFERROR(IF(#REF!="S",VLOOKUP('Raw Data'!A3674,References!#REF!,2,FALSE),(VLOOKUP($S3674,References!$B$3:$C$8,2,FALSE))),"")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0"/>
        <v>0</v>
      </c>
      <c r="T3675" s="98">
        <f t="shared" si="181"/>
        <v>0</v>
      </c>
      <c r="U3675" s="99" t="str">
        <f>IFERROR(IF(#REF!="S",VLOOKUP('Raw Data'!A3675,References!#REF!,2,FALSE),(VLOOKUP($S3675,References!$B$3:$C$8,2,FALSE))),"")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0"/>
        <v>0</v>
      </c>
      <c r="T3676" s="98">
        <f t="shared" si="181"/>
        <v>0</v>
      </c>
      <c r="U3676" s="99" t="str">
        <f>IFERROR(IF(#REF!="S",VLOOKUP('Raw Data'!A3676,References!#REF!,2,FALSE),(VLOOKUP($S3676,References!$B$3:$C$8,2,FALSE))),"")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0"/>
        <v>0</v>
      </c>
      <c r="T3677" s="98">
        <f t="shared" si="181"/>
        <v>0</v>
      </c>
      <c r="U3677" s="99" t="str">
        <f>IFERROR(IF(#REF!="S",VLOOKUP('Raw Data'!A3677,References!#REF!,2,FALSE),(VLOOKUP($S3677,References!$B$3:$C$8,2,FALSE))),"")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0"/>
        <v>0</v>
      </c>
      <c r="T3678" s="98">
        <f t="shared" si="181"/>
        <v>0</v>
      </c>
      <c r="U3678" s="99" t="str">
        <f>IFERROR(IF(#REF!="S",VLOOKUP('Raw Data'!A3678,References!#REF!,2,FALSE),(VLOOKUP($S3678,References!$B$3:$C$8,2,FALSE))),"")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0"/>
        <v>0</v>
      </c>
      <c r="T3679" s="98">
        <f t="shared" si="181"/>
        <v>0</v>
      </c>
      <c r="U3679" s="99" t="str">
        <f>IFERROR(IF(#REF!="S",VLOOKUP('Raw Data'!A3679,References!#REF!,2,FALSE),(VLOOKUP($S3679,References!$B$3:$C$8,2,FALSE))),"")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0"/>
        <v>0</v>
      </c>
      <c r="T3680" s="98">
        <f t="shared" si="181"/>
        <v>0</v>
      </c>
      <c r="U3680" s="99" t="str">
        <f>IFERROR(IF(#REF!="S",VLOOKUP('Raw Data'!A3680,References!#REF!,2,FALSE),(VLOOKUP($S3680,References!$B$3:$C$8,2,FALSE))),"")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0"/>
        <v>0</v>
      </c>
      <c r="T3681" s="98">
        <f t="shared" si="181"/>
        <v>0</v>
      </c>
      <c r="U3681" s="99" t="str">
        <f>IFERROR(IF(#REF!="S",VLOOKUP('Raw Data'!A3681,References!#REF!,2,FALSE),(VLOOKUP($S3681,References!$B$3:$C$8,2,FALSE))),"")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0"/>
        <v>0</v>
      </c>
      <c r="T3682" s="98">
        <f t="shared" si="181"/>
        <v>0</v>
      </c>
      <c r="U3682" s="99" t="str">
        <f>IFERROR(IF(#REF!="S",VLOOKUP('Raw Data'!A3682,References!#REF!,2,FALSE),(VLOOKUP($S3682,References!$B$3:$C$8,2,FALSE))),"")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0"/>
        <v>0</v>
      </c>
      <c r="T3683" s="98">
        <f t="shared" si="181"/>
        <v>0</v>
      </c>
      <c r="U3683" s="99" t="str">
        <f>IFERROR(IF(#REF!="S",VLOOKUP('Raw Data'!A3683,References!#REF!,2,FALSE),(VLOOKUP($S3683,References!$B$3:$C$8,2,FALSE))),"")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0"/>
        <v>0</v>
      </c>
      <c r="T3684" s="98">
        <f t="shared" si="181"/>
        <v>0</v>
      </c>
      <c r="U3684" s="99" t="str">
        <f>IFERROR(IF(#REF!="S",VLOOKUP('Raw Data'!A3684,References!#REF!,2,FALSE),(VLOOKUP($S3684,References!$B$3:$C$8,2,FALSE))),"")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0"/>
        <v>0</v>
      </c>
      <c r="T3685" s="98">
        <f t="shared" si="181"/>
        <v>0</v>
      </c>
      <c r="U3685" s="99" t="str">
        <f>IFERROR(IF(#REF!="S",VLOOKUP('Raw Data'!A3685,References!#REF!,2,FALSE),(VLOOKUP($S3685,References!$B$3:$C$8,2,FALSE))),"")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0"/>
        <v>0</v>
      </c>
      <c r="T3686" s="98">
        <f t="shared" si="181"/>
        <v>0</v>
      </c>
      <c r="U3686" s="99" t="str">
        <f>IFERROR(IF(#REF!="S",VLOOKUP('Raw Data'!A3686,References!#REF!,2,FALSE),(VLOOKUP($S3686,References!$B$3:$C$8,2,FALSE))),"")</f>
        <v/>
      </c>
      <c r="W3686" s="66" t="str">
        <f>IFERROR(VLOOKUP($O3686,'Customer List'!$A$1:$J$488,10,FALSE),"")</f>
        <v/>
      </c>
    </row>
    <row r="3687" spans="18:23">
      <c r="R3687" s="97">
        <f t="shared" si="180"/>
        <v>0</v>
      </c>
      <c r="T3687" s="98">
        <f t="shared" si="181"/>
        <v>0</v>
      </c>
      <c r="U3687" s="99" t="str">
        <f>IFERROR(IF(#REF!="S",VLOOKUP('Raw Data'!A3687,References!#REF!,2,FALSE),(VLOOKUP($S3687,References!$B$3:$C$8,2,FALSE))),"")</f>
        <v/>
      </c>
      <c r="W3687" s="66" t="str">
        <f>IFERROR(VLOOKUP($O3687,'Customer List'!$A$1:$J$488,10,FALSE),"")</f>
        <v/>
      </c>
    </row>
    <row r="3688" spans="18:23">
      <c r="R3688" s="97">
        <f t="shared" ref="R3688:R3751" si="182">L3688-K3688</f>
        <v>0</v>
      </c>
      <c r="T3688" s="98">
        <f t="shared" si="181"/>
        <v>0</v>
      </c>
      <c r="U3688" s="99" t="str">
        <f>IFERROR(IF(#REF!="S",VLOOKUP('Raw Data'!A3688,References!#REF!,2,FALSE),(VLOOKUP($S3688,References!$B$3:$C$8,2,FALSE))),"")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2"/>
        <v>0</v>
      </c>
      <c r="T3689" s="98">
        <f t="shared" si="181"/>
        <v>0</v>
      </c>
      <c r="U3689" s="99" t="str">
        <f>IFERROR(IF(#REF!="S",VLOOKUP('Raw Data'!A3689,References!#REF!,2,FALSE),(VLOOKUP($S3689,References!$B$3:$C$8,2,FALSE))),"")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2"/>
        <v>0</v>
      </c>
      <c r="T3690" s="98">
        <f t="shared" si="181"/>
        <v>0</v>
      </c>
      <c r="U3690" s="99" t="str">
        <f>IFERROR(IF(#REF!="S",VLOOKUP('Raw Data'!A3690,References!#REF!,2,FALSE),(VLOOKUP($S3690,References!$B$3:$C$8,2,FALSE))),"")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2"/>
        <v>0</v>
      </c>
      <c r="T3691" s="98">
        <f t="shared" si="181"/>
        <v>0</v>
      </c>
      <c r="U3691" s="99" t="str">
        <f>IFERROR(IF(#REF!="S",VLOOKUP('Raw Data'!A3691,References!#REF!,2,FALSE),(VLOOKUP($S3691,References!$B$3:$C$8,2,FALSE))),"")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2"/>
        <v>0</v>
      </c>
      <c r="T3692" s="98">
        <f t="shared" si="181"/>
        <v>0</v>
      </c>
      <c r="U3692" s="99" t="str">
        <f>IFERROR(IF(#REF!="S",VLOOKUP('Raw Data'!A3692,References!#REF!,2,FALSE),(VLOOKUP($S3692,References!$B$3:$C$8,2,FALSE))),"")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2"/>
        <v>0</v>
      </c>
      <c r="T3693" s="98">
        <f t="shared" si="181"/>
        <v>0</v>
      </c>
      <c r="U3693" s="99" t="str">
        <f>IFERROR(IF(#REF!="S",VLOOKUP('Raw Data'!A3693,References!#REF!,2,FALSE),(VLOOKUP($S3693,References!$B$3:$C$8,2,FALSE))),"")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2"/>
        <v>0</v>
      </c>
      <c r="T3694" s="98">
        <f t="shared" si="181"/>
        <v>0</v>
      </c>
      <c r="U3694" s="99" t="str">
        <f>IFERROR(IF(#REF!="S",VLOOKUP('Raw Data'!A3694,References!#REF!,2,FALSE),(VLOOKUP($S3694,References!$B$3:$C$8,2,FALSE))),"")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2"/>
        <v>0</v>
      </c>
      <c r="T3695" s="98">
        <f t="shared" si="181"/>
        <v>0</v>
      </c>
      <c r="U3695" s="99" t="str">
        <f>IFERROR(IF(#REF!="S",VLOOKUP('Raw Data'!A3695,References!#REF!,2,FALSE),(VLOOKUP($S3695,References!$B$3:$C$8,2,FALSE))),"")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2"/>
        <v>0</v>
      </c>
      <c r="T3696" s="98">
        <f t="shared" si="181"/>
        <v>0</v>
      </c>
      <c r="U3696" s="99" t="str">
        <f>IFERROR(IF(#REF!="S",VLOOKUP('Raw Data'!A3696,References!#REF!,2,FALSE),(VLOOKUP($S3696,References!$B$3:$C$8,2,FALSE))),"")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2"/>
        <v>0</v>
      </c>
      <c r="T3697" s="98">
        <f t="shared" si="181"/>
        <v>0</v>
      </c>
      <c r="U3697" s="99" t="str">
        <f>IFERROR(IF(#REF!="S",VLOOKUP('Raw Data'!A3697,References!#REF!,2,FALSE),(VLOOKUP($S3697,References!$B$3:$C$8,2,FALSE))),"")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2"/>
        <v>0</v>
      </c>
      <c r="T3698" s="98">
        <f t="shared" si="181"/>
        <v>0</v>
      </c>
      <c r="U3698" s="99" t="str">
        <f>IFERROR(IF(#REF!="S",VLOOKUP('Raw Data'!A3698,References!#REF!,2,FALSE),(VLOOKUP($S3698,References!$B$3:$C$8,2,FALSE))),"")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2"/>
        <v>0</v>
      </c>
      <c r="T3699" s="98">
        <f t="shared" si="181"/>
        <v>0</v>
      </c>
      <c r="U3699" s="99" t="str">
        <f>IFERROR(IF(#REF!="S",VLOOKUP('Raw Data'!A3699,References!#REF!,2,FALSE),(VLOOKUP($S3699,References!$B$3:$C$8,2,FALSE))),"")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2"/>
        <v>0</v>
      </c>
      <c r="T3700" s="98">
        <f t="shared" si="181"/>
        <v>0</v>
      </c>
      <c r="U3700" s="99" t="str">
        <f>IFERROR(IF(#REF!="S",VLOOKUP('Raw Data'!A3700,References!#REF!,2,FALSE),(VLOOKUP($S3700,References!$B$3:$C$8,2,FALSE))),"")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2"/>
        <v>0</v>
      </c>
      <c r="T3701" s="98">
        <f t="shared" si="181"/>
        <v>0</v>
      </c>
      <c r="U3701" s="99" t="str">
        <f>IFERROR(IF(#REF!="S",VLOOKUP('Raw Data'!A3701,References!#REF!,2,FALSE),(VLOOKUP($S3701,References!$B$3:$C$8,2,FALSE))),"")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2"/>
        <v>0</v>
      </c>
      <c r="T3702" s="98">
        <f t="shared" si="181"/>
        <v>0</v>
      </c>
      <c r="U3702" s="99" t="str">
        <f>IFERROR(IF(#REF!="S",VLOOKUP('Raw Data'!A3702,References!#REF!,2,FALSE),(VLOOKUP($S3702,References!$B$3:$C$8,2,FALSE))),"")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2"/>
        <v>0</v>
      </c>
      <c r="T3703" s="98">
        <f t="shared" si="181"/>
        <v>0</v>
      </c>
      <c r="U3703" s="99" t="str">
        <f>IFERROR(IF(#REF!="S",VLOOKUP('Raw Data'!A3703,References!#REF!,2,FALSE),(VLOOKUP($S3703,References!$B$3:$C$8,2,FALSE))),"")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2"/>
        <v>0</v>
      </c>
      <c r="T3704" s="98">
        <f t="shared" si="181"/>
        <v>0</v>
      </c>
      <c r="U3704" s="99" t="str">
        <f>IFERROR(IF(#REF!="S",VLOOKUP('Raw Data'!A3704,References!#REF!,2,FALSE),(VLOOKUP($S3704,References!$B$3:$C$8,2,FALSE))),"")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2"/>
        <v>0</v>
      </c>
      <c r="T3705" s="98">
        <f t="shared" si="181"/>
        <v>0</v>
      </c>
      <c r="U3705" s="99" t="str">
        <f>IFERROR(IF(#REF!="S",VLOOKUP('Raw Data'!A3705,References!#REF!,2,FALSE),(VLOOKUP($S3705,References!$B$3:$C$8,2,FALSE))),"")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2"/>
        <v>0</v>
      </c>
      <c r="T3706" s="98">
        <f t="shared" si="181"/>
        <v>0</v>
      </c>
      <c r="U3706" s="99" t="str">
        <f>IFERROR(IF(#REF!="S",VLOOKUP('Raw Data'!A3706,References!#REF!,2,FALSE),(VLOOKUP($S3706,References!$B$3:$C$8,2,FALSE))),"")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2"/>
        <v>0</v>
      </c>
      <c r="T3707" s="98">
        <f t="shared" si="181"/>
        <v>0</v>
      </c>
      <c r="U3707" s="99" t="str">
        <f>IFERROR(IF(#REF!="S",VLOOKUP('Raw Data'!A3707,References!#REF!,2,FALSE),(VLOOKUP($S3707,References!$B$3:$C$8,2,FALSE))),"")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2"/>
        <v>0</v>
      </c>
      <c r="T3708" s="98">
        <f t="shared" si="181"/>
        <v>0</v>
      </c>
      <c r="U3708" s="99" t="str">
        <f>IFERROR(IF(#REF!="S",VLOOKUP('Raw Data'!A3708,References!#REF!,2,FALSE),(VLOOKUP($S3708,References!$B$3:$C$8,2,FALSE))),"")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2"/>
        <v>0</v>
      </c>
      <c r="T3709" s="98">
        <f t="shared" si="181"/>
        <v>0</v>
      </c>
      <c r="U3709" s="99" t="str">
        <f>IFERROR(IF(#REF!="S",VLOOKUP('Raw Data'!A3709,References!#REF!,2,FALSE),(VLOOKUP($S3709,References!$B$3:$C$8,2,FALSE))),"")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2"/>
        <v>0</v>
      </c>
      <c r="T3710" s="98">
        <f t="shared" si="181"/>
        <v>0</v>
      </c>
      <c r="U3710" s="99" t="str">
        <f>IFERROR(IF(#REF!="S",VLOOKUP('Raw Data'!A3710,References!#REF!,2,FALSE),(VLOOKUP($S3710,References!$B$3:$C$8,2,FALSE))),"")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2"/>
        <v>0</v>
      </c>
      <c r="T3711" s="98">
        <f t="shared" si="181"/>
        <v>0</v>
      </c>
      <c r="U3711" s="99" t="str">
        <f>IFERROR(IF(#REF!="S",VLOOKUP('Raw Data'!A3711,References!#REF!,2,FALSE),(VLOOKUP($S3711,References!$B$3:$C$8,2,FALSE))),"")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2"/>
        <v>0</v>
      </c>
      <c r="T3712" s="98">
        <f t="shared" si="181"/>
        <v>0</v>
      </c>
      <c r="U3712" s="99" t="str">
        <f>IFERROR(IF(#REF!="S",VLOOKUP('Raw Data'!A3712,References!#REF!,2,FALSE),(VLOOKUP($S3712,References!$B$3:$C$8,2,FALSE))),"")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2"/>
        <v>0</v>
      </c>
      <c r="T3713" s="98">
        <f t="shared" si="181"/>
        <v>0</v>
      </c>
      <c r="U3713" s="99" t="str">
        <f>IFERROR(IF(#REF!="S",VLOOKUP('Raw Data'!A3713,References!#REF!,2,FALSE),(VLOOKUP($S3713,References!$B$3:$C$8,2,FALSE))),"")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2"/>
        <v>0</v>
      </c>
      <c r="T3714" s="98">
        <f t="shared" si="181"/>
        <v>0</v>
      </c>
      <c r="U3714" s="99" t="str">
        <f>IFERROR(IF(#REF!="S",VLOOKUP('Raw Data'!A3714,References!#REF!,2,FALSE),(VLOOKUP($S3714,References!$B$3:$C$8,2,FALSE))),"")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2"/>
        <v>0</v>
      </c>
      <c r="T3715" s="98">
        <f t="shared" si="181"/>
        <v>0</v>
      </c>
      <c r="U3715" s="99" t="str">
        <f>IFERROR(IF(#REF!="S",VLOOKUP('Raw Data'!A3715,References!#REF!,2,FALSE),(VLOOKUP($S3715,References!$B$3:$C$8,2,FALSE))),"")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2"/>
        <v>0</v>
      </c>
      <c r="T3716" s="98">
        <f t="shared" si="181"/>
        <v>0</v>
      </c>
      <c r="U3716" s="99" t="str">
        <f>IFERROR(IF(#REF!="S",VLOOKUP('Raw Data'!A3716,References!#REF!,2,FALSE),(VLOOKUP($S3716,References!$B$3:$C$8,2,FALSE))),"")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2"/>
        <v>0</v>
      </c>
      <c r="T3717" s="98">
        <f t="shared" si="181"/>
        <v>0</v>
      </c>
      <c r="U3717" s="99" t="str">
        <f>IFERROR(IF(#REF!="S",VLOOKUP('Raw Data'!A3717,References!#REF!,2,FALSE),(VLOOKUP($S3717,References!$B$3:$C$8,2,FALSE))),"")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2"/>
        <v>0</v>
      </c>
      <c r="T3718" s="98">
        <f t="shared" si="181"/>
        <v>0</v>
      </c>
      <c r="U3718" s="99" t="str">
        <f>IFERROR(IF(#REF!="S",VLOOKUP('Raw Data'!A3718,References!#REF!,2,FALSE),(VLOOKUP($S3718,References!$B$3:$C$8,2,FALSE))),"")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2"/>
        <v>0</v>
      </c>
      <c r="T3719" s="98">
        <f t="shared" si="181"/>
        <v>0</v>
      </c>
      <c r="U3719" s="99" t="str">
        <f>IFERROR(IF(#REF!="S",VLOOKUP('Raw Data'!A3719,References!#REF!,2,FALSE),(VLOOKUP($S3719,References!$B$3:$C$8,2,FALSE))),"")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2"/>
        <v>0</v>
      </c>
      <c r="T3720" s="98">
        <f t="shared" si="181"/>
        <v>0</v>
      </c>
      <c r="U3720" s="99" t="str">
        <f>IFERROR(IF(#REF!="S",VLOOKUP('Raw Data'!A3720,References!#REF!,2,FALSE),(VLOOKUP($S3720,References!$B$3:$C$8,2,FALSE))),"")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2"/>
        <v>0</v>
      </c>
      <c r="T3721" s="98">
        <f t="shared" si="181"/>
        <v>0</v>
      </c>
      <c r="U3721" s="99" t="str">
        <f>IFERROR(IF(#REF!="S",VLOOKUP('Raw Data'!A3721,References!#REF!,2,FALSE),(VLOOKUP($S3721,References!$B$3:$C$8,2,FALSE))),"")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2"/>
        <v>0</v>
      </c>
      <c r="T3722" s="98">
        <f t="shared" si="181"/>
        <v>0</v>
      </c>
      <c r="U3722" s="99" t="str">
        <f>IFERROR(IF(#REF!="S",VLOOKUP('Raw Data'!A3722,References!#REF!,2,FALSE),(VLOOKUP($S3722,References!$B$3:$C$8,2,FALSE))),"")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2"/>
        <v>0</v>
      </c>
      <c r="T3723" s="98">
        <f t="shared" si="181"/>
        <v>0</v>
      </c>
      <c r="U3723" s="99" t="str">
        <f>IFERROR(IF(#REF!="S",VLOOKUP('Raw Data'!A3723,References!#REF!,2,FALSE),(VLOOKUP($S3723,References!$B$3:$C$8,2,FALSE))),"")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2"/>
        <v>0</v>
      </c>
      <c r="T3724" s="98">
        <f t="shared" si="181"/>
        <v>0</v>
      </c>
      <c r="U3724" s="99" t="str">
        <f>IFERROR(IF(#REF!="S",VLOOKUP('Raw Data'!A3724,References!#REF!,2,FALSE),(VLOOKUP($S3724,References!$B$3:$C$8,2,FALSE))),"")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2"/>
        <v>0</v>
      </c>
      <c r="T3725" s="98">
        <f t="shared" si="181"/>
        <v>0</v>
      </c>
      <c r="U3725" s="99" t="str">
        <f>IFERROR(IF(#REF!="S",VLOOKUP('Raw Data'!A3725,References!#REF!,2,FALSE),(VLOOKUP($S3725,References!$B$3:$C$8,2,FALSE))),"")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2"/>
        <v>0</v>
      </c>
      <c r="T3726" s="98">
        <f t="shared" si="181"/>
        <v>0</v>
      </c>
      <c r="U3726" s="99" t="str">
        <f>IFERROR(IF(#REF!="S",VLOOKUP('Raw Data'!A3726,References!#REF!,2,FALSE),(VLOOKUP($S3726,References!$B$3:$C$8,2,FALSE))),"")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2"/>
        <v>0</v>
      </c>
      <c r="T3727" s="98">
        <f t="shared" si="181"/>
        <v>0</v>
      </c>
      <c r="U3727" s="99" t="str">
        <f>IFERROR(IF(#REF!="S",VLOOKUP('Raw Data'!A3727,References!#REF!,2,FALSE),(VLOOKUP($S3727,References!$B$3:$C$8,2,FALSE))),"")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2"/>
        <v>0</v>
      </c>
      <c r="T3728" s="98">
        <f t="shared" ref="T3728:T3791" si="183">IF(S3728="50 - Cleaning Fee",1,HOUR($R3728)+MINUTE(R3728)/60)</f>
        <v>0</v>
      </c>
      <c r="U3728" s="99" t="str">
        <f>IFERROR(IF(#REF!="S",VLOOKUP('Raw Data'!A3728,References!#REF!,2,FALSE),(VLOOKUP($S3728,References!$B$3:$C$8,2,FALSE))),"")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2"/>
        <v>0</v>
      </c>
      <c r="T3729" s="98">
        <f t="shared" si="183"/>
        <v>0</v>
      </c>
      <c r="U3729" s="99" t="str">
        <f>IFERROR(IF(#REF!="S",VLOOKUP('Raw Data'!A3729,References!#REF!,2,FALSE),(VLOOKUP($S3729,References!$B$3:$C$8,2,FALSE))),"")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2"/>
        <v>0</v>
      </c>
      <c r="T3730" s="98">
        <f t="shared" si="183"/>
        <v>0</v>
      </c>
      <c r="U3730" s="99" t="str">
        <f>IFERROR(IF(#REF!="S",VLOOKUP('Raw Data'!A3730,References!#REF!,2,FALSE),(VLOOKUP($S3730,References!$B$3:$C$8,2,FALSE))),"")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2"/>
        <v>0</v>
      </c>
      <c r="T3731" s="98">
        <f t="shared" si="183"/>
        <v>0</v>
      </c>
      <c r="U3731" s="99" t="str">
        <f>IFERROR(IF(#REF!="S",VLOOKUP('Raw Data'!A3731,References!#REF!,2,FALSE),(VLOOKUP($S3731,References!$B$3:$C$8,2,FALSE))),"")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2"/>
        <v>0</v>
      </c>
      <c r="T3732" s="98">
        <f t="shared" si="183"/>
        <v>0</v>
      </c>
      <c r="U3732" s="99" t="str">
        <f>IFERROR(IF(#REF!="S",VLOOKUP('Raw Data'!A3732,References!#REF!,2,FALSE),(VLOOKUP($S3732,References!$B$3:$C$8,2,FALSE))),"")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2"/>
        <v>0</v>
      </c>
      <c r="T3733" s="98">
        <f t="shared" si="183"/>
        <v>0</v>
      </c>
      <c r="U3733" s="99" t="str">
        <f>IFERROR(IF(#REF!="S",VLOOKUP('Raw Data'!A3733,References!#REF!,2,FALSE),(VLOOKUP($S3733,References!$B$3:$C$8,2,FALSE))),"")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2"/>
        <v>0</v>
      </c>
      <c r="T3734" s="98">
        <f t="shared" si="183"/>
        <v>0</v>
      </c>
      <c r="U3734" s="99" t="str">
        <f>IFERROR(IF(#REF!="S",VLOOKUP('Raw Data'!A3734,References!#REF!,2,FALSE),(VLOOKUP($S3734,References!$B$3:$C$8,2,FALSE))),"")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2"/>
        <v>0</v>
      </c>
      <c r="T3735" s="98">
        <f t="shared" si="183"/>
        <v>0</v>
      </c>
      <c r="U3735" s="99" t="str">
        <f>IFERROR(IF(#REF!="S",VLOOKUP('Raw Data'!A3735,References!#REF!,2,FALSE),(VLOOKUP($S3735,References!$B$3:$C$8,2,FALSE))),"")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2"/>
        <v>0</v>
      </c>
      <c r="T3736" s="98">
        <f t="shared" si="183"/>
        <v>0</v>
      </c>
      <c r="U3736" s="99" t="str">
        <f>IFERROR(IF(#REF!="S",VLOOKUP('Raw Data'!A3736,References!#REF!,2,FALSE),(VLOOKUP($S3736,References!$B$3:$C$8,2,FALSE))),"")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2"/>
        <v>0</v>
      </c>
      <c r="T3737" s="98">
        <f t="shared" si="183"/>
        <v>0</v>
      </c>
      <c r="U3737" s="99" t="str">
        <f>IFERROR(IF(#REF!="S",VLOOKUP('Raw Data'!A3737,References!#REF!,2,FALSE),(VLOOKUP($S3737,References!$B$3:$C$8,2,FALSE))),"")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2"/>
        <v>0</v>
      </c>
      <c r="T3738" s="98">
        <f t="shared" si="183"/>
        <v>0</v>
      </c>
      <c r="U3738" s="99" t="str">
        <f>IFERROR(IF(#REF!="S",VLOOKUP('Raw Data'!A3738,References!#REF!,2,FALSE),(VLOOKUP($S3738,References!$B$3:$C$8,2,FALSE))),"")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2"/>
        <v>0</v>
      </c>
      <c r="T3739" s="98">
        <f t="shared" si="183"/>
        <v>0</v>
      </c>
      <c r="U3739" s="99" t="str">
        <f>IFERROR(IF(#REF!="S",VLOOKUP('Raw Data'!A3739,References!#REF!,2,FALSE),(VLOOKUP($S3739,References!$B$3:$C$8,2,FALSE))),"")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2"/>
        <v>0</v>
      </c>
      <c r="T3740" s="98">
        <f t="shared" si="183"/>
        <v>0</v>
      </c>
      <c r="U3740" s="99" t="str">
        <f>IFERROR(IF(#REF!="S",VLOOKUP('Raw Data'!A3740,References!#REF!,2,FALSE),(VLOOKUP($S3740,References!$B$3:$C$8,2,FALSE))),"")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2"/>
        <v>0</v>
      </c>
      <c r="T3741" s="98">
        <f t="shared" si="183"/>
        <v>0</v>
      </c>
      <c r="U3741" s="99" t="str">
        <f>IFERROR(IF(#REF!="S",VLOOKUP('Raw Data'!A3741,References!#REF!,2,FALSE),(VLOOKUP($S3741,References!$B$3:$C$8,2,FALSE))),"")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2"/>
        <v>0</v>
      </c>
      <c r="T3742" s="98">
        <f t="shared" si="183"/>
        <v>0</v>
      </c>
      <c r="U3742" s="99" t="str">
        <f>IFERROR(IF(#REF!="S",VLOOKUP('Raw Data'!A3742,References!#REF!,2,FALSE),(VLOOKUP($S3742,References!$B$3:$C$8,2,FALSE))),"")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2"/>
        <v>0</v>
      </c>
      <c r="T3743" s="98">
        <f t="shared" si="183"/>
        <v>0</v>
      </c>
      <c r="U3743" s="99" t="str">
        <f>IFERROR(IF(#REF!="S",VLOOKUP('Raw Data'!A3743,References!#REF!,2,FALSE),(VLOOKUP($S3743,References!$B$3:$C$8,2,FALSE))),"")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2"/>
        <v>0</v>
      </c>
      <c r="T3744" s="98">
        <f t="shared" si="183"/>
        <v>0</v>
      </c>
      <c r="U3744" s="99" t="str">
        <f>IFERROR(IF(#REF!="S",VLOOKUP('Raw Data'!A3744,References!#REF!,2,FALSE),(VLOOKUP($S3744,References!$B$3:$C$8,2,FALSE))),"")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2"/>
        <v>0</v>
      </c>
      <c r="T3745" s="98">
        <f t="shared" si="183"/>
        <v>0</v>
      </c>
      <c r="U3745" s="99" t="str">
        <f>IFERROR(IF(#REF!="S",VLOOKUP('Raw Data'!A3745,References!#REF!,2,FALSE),(VLOOKUP($S3745,References!$B$3:$C$8,2,FALSE))),"")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2"/>
        <v>0</v>
      </c>
      <c r="T3746" s="98">
        <f t="shared" si="183"/>
        <v>0</v>
      </c>
      <c r="U3746" s="99" t="str">
        <f>IFERROR(IF(#REF!="S",VLOOKUP('Raw Data'!A3746,References!#REF!,2,FALSE),(VLOOKUP($S3746,References!$B$3:$C$8,2,FALSE))),"")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2"/>
        <v>0</v>
      </c>
      <c r="T3747" s="98">
        <f t="shared" si="183"/>
        <v>0</v>
      </c>
      <c r="U3747" s="99" t="str">
        <f>IFERROR(IF(#REF!="S",VLOOKUP('Raw Data'!A3747,References!#REF!,2,FALSE),(VLOOKUP($S3747,References!$B$3:$C$8,2,FALSE))),"")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2"/>
        <v>0</v>
      </c>
      <c r="T3748" s="98">
        <f t="shared" si="183"/>
        <v>0</v>
      </c>
      <c r="U3748" s="99" t="str">
        <f>IFERROR(IF(#REF!="S",VLOOKUP('Raw Data'!A3748,References!#REF!,2,FALSE),(VLOOKUP($S3748,References!$B$3:$C$8,2,FALSE))),"")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2"/>
        <v>0</v>
      </c>
      <c r="T3749" s="98">
        <f t="shared" si="183"/>
        <v>0</v>
      </c>
      <c r="U3749" s="99" t="str">
        <f>IFERROR(IF(#REF!="S",VLOOKUP('Raw Data'!A3749,References!#REF!,2,FALSE),(VLOOKUP($S3749,References!$B$3:$C$8,2,FALSE))),"")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2"/>
        <v>0</v>
      </c>
      <c r="T3750" s="98">
        <f t="shared" si="183"/>
        <v>0</v>
      </c>
      <c r="U3750" s="99" t="str">
        <f>IFERROR(IF(#REF!="S",VLOOKUP('Raw Data'!A3750,References!#REF!,2,FALSE),(VLOOKUP($S3750,References!$B$3:$C$8,2,FALSE))),"")</f>
        <v/>
      </c>
      <c r="W3750" s="66" t="str">
        <f>IFERROR(VLOOKUP($O3750,'Customer List'!$A$1:$J$488,10,FALSE),"")</f>
        <v/>
      </c>
    </row>
    <row r="3751" spans="18:23">
      <c r="R3751" s="97">
        <f t="shared" si="182"/>
        <v>0</v>
      </c>
      <c r="T3751" s="98">
        <f t="shared" si="183"/>
        <v>0</v>
      </c>
      <c r="U3751" s="99" t="str">
        <f>IFERROR(IF(#REF!="S",VLOOKUP('Raw Data'!A3751,References!#REF!,2,FALSE),(VLOOKUP($S3751,References!$B$3:$C$8,2,FALSE))),"")</f>
        <v/>
      </c>
      <c r="W3751" s="66" t="str">
        <f>IFERROR(VLOOKUP($O3751,'Customer List'!$A$1:$J$488,10,FALSE),"")</f>
        <v/>
      </c>
    </row>
    <row r="3752" spans="18:23">
      <c r="R3752" s="97">
        <f t="shared" ref="R3752:R3815" si="184">L3752-K3752</f>
        <v>0</v>
      </c>
      <c r="T3752" s="98">
        <f t="shared" si="183"/>
        <v>0</v>
      </c>
      <c r="U3752" s="99" t="str">
        <f>IFERROR(IF(#REF!="S",VLOOKUP('Raw Data'!A3752,References!#REF!,2,FALSE),(VLOOKUP($S3752,References!$B$3:$C$8,2,FALSE))),"")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4"/>
        <v>0</v>
      </c>
      <c r="T3753" s="98">
        <f t="shared" si="183"/>
        <v>0</v>
      </c>
      <c r="U3753" s="99" t="str">
        <f>IFERROR(IF(#REF!="S",VLOOKUP('Raw Data'!A3753,References!#REF!,2,FALSE),(VLOOKUP($S3753,References!$B$3:$C$8,2,FALSE))),"")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4"/>
        <v>0</v>
      </c>
      <c r="T3754" s="98">
        <f t="shared" si="183"/>
        <v>0</v>
      </c>
      <c r="U3754" s="99" t="str">
        <f>IFERROR(IF(#REF!="S",VLOOKUP('Raw Data'!A3754,References!#REF!,2,FALSE),(VLOOKUP($S3754,References!$B$3:$C$8,2,FALSE))),"")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4"/>
        <v>0</v>
      </c>
      <c r="T3755" s="98">
        <f t="shared" si="183"/>
        <v>0</v>
      </c>
      <c r="U3755" s="99" t="str">
        <f>IFERROR(IF(#REF!="S",VLOOKUP('Raw Data'!A3755,References!#REF!,2,FALSE),(VLOOKUP($S3755,References!$B$3:$C$8,2,FALSE))),"")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4"/>
        <v>0</v>
      </c>
      <c r="T3756" s="98">
        <f t="shared" si="183"/>
        <v>0</v>
      </c>
      <c r="U3756" s="99" t="str">
        <f>IFERROR(IF(#REF!="S",VLOOKUP('Raw Data'!A3756,References!#REF!,2,FALSE),(VLOOKUP($S3756,References!$B$3:$C$8,2,FALSE))),"")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4"/>
        <v>0</v>
      </c>
      <c r="T3757" s="98">
        <f t="shared" si="183"/>
        <v>0</v>
      </c>
      <c r="U3757" s="99" t="str">
        <f>IFERROR(IF(#REF!="S",VLOOKUP('Raw Data'!A3757,References!#REF!,2,FALSE),(VLOOKUP($S3757,References!$B$3:$C$8,2,FALSE))),"")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4"/>
        <v>0</v>
      </c>
      <c r="T3758" s="98">
        <f t="shared" si="183"/>
        <v>0</v>
      </c>
      <c r="U3758" s="99" t="str">
        <f>IFERROR(IF(#REF!="S",VLOOKUP('Raw Data'!A3758,References!#REF!,2,FALSE),(VLOOKUP($S3758,References!$B$3:$C$8,2,FALSE))),"")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4"/>
        <v>0</v>
      </c>
      <c r="T3759" s="98">
        <f t="shared" si="183"/>
        <v>0</v>
      </c>
      <c r="U3759" s="99" t="str">
        <f>IFERROR(IF(#REF!="S",VLOOKUP('Raw Data'!A3759,References!#REF!,2,FALSE),(VLOOKUP($S3759,References!$B$3:$C$8,2,FALSE))),"")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4"/>
        <v>0</v>
      </c>
      <c r="T3760" s="98">
        <f t="shared" si="183"/>
        <v>0</v>
      </c>
      <c r="U3760" s="99" t="str">
        <f>IFERROR(IF(#REF!="S",VLOOKUP('Raw Data'!A3760,References!#REF!,2,FALSE),(VLOOKUP($S3760,References!$B$3:$C$8,2,FALSE))),"")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4"/>
        <v>0</v>
      </c>
      <c r="T3761" s="98">
        <f t="shared" si="183"/>
        <v>0</v>
      </c>
      <c r="U3761" s="99" t="str">
        <f>IFERROR(IF(#REF!="S",VLOOKUP('Raw Data'!A3761,References!#REF!,2,FALSE),(VLOOKUP($S3761,References!$B$3:$C$8,2,FALSE))),"")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4"/>
        <v>0</v>
      </c>
      <c r="T3762" s="98">
        <f t="shared" si="183"/>
        <v>0</v>
      </c>
      <c r="U3762" s="99" t="str">
        <f>IFERROR(IF(#REF!="S",VLOOKUP('Raw Data'!A3762,References!#REF!,2,FALSE),(VLOOKUP($S3762,References!$B$3:$C$8,2,FALSE))),"")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4"/>
        <v>0</v>
      </c>
      <c r="T3763" s="98">
        <f t="shared" si="183"/>
        <v>0</v>
      </c>
      <c r="U3763" s="99" t="str">
        <f>IFERROR(IF(#REF!="S",VLOOKUP('Raw Data'!A3763,References!#REF!,2,FALSE),(VLOOKUP($S3763,References!$B$3:$C$8,2,FALSE))),"")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4"/>
        <v>0</v>
      </c>
      <c r="T3764" s="98">
        <f t="shared" si="183"/>
        <v>0</v>
      </c>
      <c r="U3764" s="99" t="str">
        <f>IFERROR(IF(#REF!="S",VLOOKUP('Raw Data'!A3764,References!#REF!,2,FALSE),(VLOOKUP($S3764,References!$B$3:$C$8,2,FALSE))),"")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4"/>
        <v>0</v>
      </c>
      <c r="T3765" s="98">
        <f t="shared" si="183"/>
        <v>0</v>
      </c>
      <c r="U3765" s="99" t="str">
        <f>IFERROR(IF(#REF!="S",VLOOKUP('Raw Data'!A3765,References!#REF!,2,FALSE),(VLOOKUP($S3765,References!$B$3:$C$8,2,FALSE))),"")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4"/>
        <v>0</v>
      </c>
      <c r="T3766" s="98">
        <f t="shared" si="183"/>
        <v>0</v>
      </c>
      <c r="U3766" s="99" t="str">
        <f>IFERROR(IF(#REF!="S",VLOOKUP('Raw Data'!A3766,References!#REF!,2,FALSE),(VLOOKUP($S3766,References!$B$3:$C$8,2,FALSE))),"")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4"/>
        <v>0</v>
      </c>
      <c r="T3767" s="98">
        <f t="shared" si="183"/>
        <v>0</v>
      </c>
      <c r="U3767" s="99" t="str">
        <f>IFERROR(IF(#REF!="S",VLOOKUP('Raw Data'!A3767,References!#REF!,2,FALSE),(VLOOKUP($S3767,References!$B$3:$C$8,2,FALSE))),"")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4"/>
        <v>0</v>
      </c>
      <c r="T3768" s="98">
        <f t="shared" si="183"/>
        <v>0</v>
      </c>
      <c r="U3768" s="99" t="str">
        <f>IFERROR(IF(#REF!="S",VLOOKUP('Raw Data'!A3768,References!#REF!,2,FALSE),(VLOOKUP($S3768,References!$B$3:$C$8,2,FALSE))),"")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4"/>
        <v>0</v>
      </c>
      <c r="T3769" s="98">
        <f t="shared" si="183"/>
        <v>0</v>
      </c>
      <c r="U3769" s="99" t="str">
        <f>IFERROR(IF(#REF!="S",VLOOKUP('Raw Data'!A3769,References!#REF!,2,FALSE),(VLOOKUP($S3769,References!$B$3:$C$8,2,FALSE))),"")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4"/>
        <v>0</v>
      </c>
      <c r="T3770" s="98">
        <f t="shared" si="183"/>
        <v>0</v>
      </c>
      <c r="U3770" s="99" t="str">
        <f>IFERROR(IF(#REF!="S",VLOOKUP('Raw Data'!A3770,References!#REF!,2,FALSE),(VLOOKUP($S3770,References!$B$3:$C$8,2,FALSE))),"")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4"/>
        <v>0</v>
      </c>
      <c r="T3771" s="98">
        <f t="shared" si="183"/>
        <v>0</v>
      </c>
      <c r="U3771" s="99" t="str">
        <f>IFERROR(IF(#REF!="S",VLOOKUP('Raw Data'!A3771,References!#REF!,2,FALSE),(VLOOKUP($S3771,References!$B$3:$C$8,2,FALSE))),"")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4"/>
        <v>0</v>
      </c>
      <c r="T3772" s="98">
        <f t="shared" si="183"/>
        <v>0</v>
      </c>
      <c r="U3772" s="99" t="str">
        <f>IFERROR(IF(#REF!="S",VLOOKUP('Raw Data'!A3772,References!#REF!,2,FALSE),(VLOOKUP($S3772,References!$B$3:$C$8,2,FALSE))),"")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4"/>
        <v>0</v>
      </c>
      <c r="T3773" s="98">
        <f t="shared" si="183"/>
        <v>0</v>
      </c>
      <c r="U3773" s="99" t="str">
        <f>IFERROR(IF(#REF!="S",VLOOKUP('Raw Data'!A3773,References!#REF!,2,FALSE),(VLOOKUP($S3773,References!$B$3:$C$8,2,FALSE))),"")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4"/>
        <v>0</v>
      </c>
      <c r="T3774" s="98">
        <f t="shared" si="183"/>
        <v>0</v>
      </c>
      <c r="U3774" s="99" t="str">
        <f>IFERROR(IF(#REF!="S",VLOOKUP('Raw Data'!A3774,References!#REF!,2,FALSE),(VLOOKUP($S3774,References!$B$3:$C$8,2,FALSE))),"")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4"/>
        <v>0</v>
      </c>
      <c r="T3775" s="98">
        <f t="shared" si="183"/>
        <v>0</v>
      </c>
      <c r="U3775" s="99" t="str">
        <f>IFERROR(IF(#REF!="S",VLOOKUP('Raw Data'!A3775,References!#REF!,2,FALSE),(VLOOKUP($S3775,References!$B$3:$C$8,2,FALSE))),"")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4"/>
        <v>0</v>
      </c>
      <c r="T3776" s="98">
        <f t="shared" si="183"/>
        <v>0</v>
      </c>
      <c r="U3776" s="99" t="str">
        <f>IFERROR(IF(#REF!="S",VLOOKUP('Raw Data'!A3776,References!#REF!,2,FALSE),(VLOOKUP($S3776,References!$B$3:$C$8,2,FALSE))),"")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4"/>
        <v>0</v>
      </c>
      <c r="T3777" s="98">
        <f t="shared" si="183"/>
        <v>0</v>
      </c>
      <c r="U3777" s="99" t="str">
        <f>IFERROR(IF(#REF!="S",VLOOKUP('Raw Data'!A3777,References!#REF!,2,FALSE),(VLOOKUP($S3777,References!$B$3:$C$8,2,FALSE))),"")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4"/>
        <v>0</v>
      </c>
      <c r="T3778" s="98">
        <f t="shared" si="183"/>
        <v>0</v>
      </c>
      <c r="U3778" s="99" t="str">
        <f>IFERROR(IF(#REF!="S",VLOOKUP('Raw Data'!A3778,References!#REF!,2,FALSE),(VLOOKUP($S3778,References!$B$3:$C$8,2,FALSE))),"")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4"/>
        <v>0</v>
      </c>
      <c r="T3779" s="98">
        <f t="shared" si="183"/>
        <v>0</v>
      </c>
      <c r="U3779" s="99" t="str">
        <f>IFERROR(IF(#REF!="S",VLOOKUP('Raw Data'!A3779,References!#REF!,2,FALSE),(VLOOKUP($S3779,References!$B$3:$C$8,2,FALSE))),"")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4"/>
        <v>0</v>
      </c>
      <c r="T3780" s="98">
        <f t="shared" si="183"/>
        <v>0</v>
      </c>
      <c r="U3780" s="99" t="str">
        <f>IFERROR(IF(#REF!="S",VLOOKUP('Raw Data'!A3780,References!#REF!,2,FALSE),(VLOOKUP($S3780,References!$B$3:$C$8,2,FALSE))),"")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4"/>
        <v>0</v>
      </c>
      <c r="T3781" s="98">
        <f t="shared" si="183"/>
        <v>0</v>
      </c>
      <c r="U3781" s="99" t="str">
        <f>IFERROR(IF(#REF!="S",VLOOKUP('Raw Data'!A3781,References!#REF!,2,FALSE),(VLOOKUP($S3781,References!$B$3:$C$8,2,FALSE))),"")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4"/>
        <v>0</v>
      </c>
      <c r="T3782" s="98">
        <f t="shared" si="183"/>
        <v>0</v>
      </c>
      <c r="U3782" s="99" t="str">
        <f>IFERROR(IF(#REF!="S",VLOOKUP('Raw Data'!A3782,References!#REF!,2,FALSE),(VLOOKUP($S3782,References!$B$3:$C$8,2,FALSE))),"")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4"/>
        <v>0</v>
      </c>
      <c r="T3783" s="98">
        <f t="shared" si="183"/>
        <v>0</v>
      </c>
      <c r="U3783" s="99" t="str">
        <f>IFERROR(IF(#REF!="S",VLOOKUP('Raw Data'!A3783,References!#REF!,2,FALSE),(VLOOKUP($S3783,References!$B$3:$C$8,2,FALSE))),"")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4"/>
        <v>0</v>
      </c>
      <c r="T3784" s="98">
        <f t="shared" si="183"/>
        <v>0</v>
      </c>
      <c r="U3784" s="99" t="str">
        <f>IFERROR(IF(#REF!="S",VLOOKUP('Raw Data'!A3784,References!#REF!,2,FALSE),(VLOOKUP($S3784,References!$B$3:$C$8,2,FALSE))),"")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4"/>
        <v>0</v>
      </c>
      <c r="T3785" s="98">
        <f t="shared" si="183"/>
        <v>0</v>
      </c>
      <c r="U3785" s="99" t="str">
        <f>IFERROR(IF(#REF!="S",VLOOKUP('Raw Data'!A3785,References!#REF!,2,FALSE),(VLOOKUP($S3785,References!$B$3:$C$8,2,FALSE))),"")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4"/>
        <v>0</v>
      </c>
      <c r="T3786" s="98">
        <f t="shared" si="183"/>
        <v>0</v>
      </c>
      <c r="U3786" s="99" t="str">
        <f>IFERROR(IF(#REF!="S",VLOOKUP('Raw Data'!A3786,References!#REF!,2,FALSE),(VLOOKUP($S3786,References!$B$3:$C$8,2,FALSE))),"")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4"/>
        <v>0</v>
      </c>
      <c r="T3787" s="98">
        <f t="shared" si="183"/>
        <v>0</v>
      </c>
      <c r="U3787" s="99" t="str">
        <f>IFERROR(IF(#REF!="S",VLOOKUP('Raw Data'!A3787,References!#REF!,2,FALSE),(VLOOKUP($S3787,References!$B$3:$C$8,2,FALSE))),"")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4"/>
        <v>0</v>
      </c>
      <c r="T3788" s="98">
        <f t="shared" si="183"/>
        <v>0</v>
      </c>
      <c r="U3788" s="99" t="str">
        <f>IFERROR(IF(#REF!="S",VLOOKUP('Raw Data'!A3788,References!#REF!,2,FALSE),(VLOOKUP($S3788,References!$B$3:$C$8,2,FALSE))),"")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4"/>
        <v>0</v>
      </c>
      <c r="T3789" s="98">
        <f t="shared" si="183"/>
        <v>0</v>
      </c>
      <c r="U3789" s="99" t="str">
        <f>IFERROR(IF(#REF!="S",VLOOKUP('Raw Data'!A3789,References!#REF!,2,FALSE),(VLOOKUP($S3789,References!$B$3:$C$8,2,FALSE))),"")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4"/>
        <v>0</v>
      </c>
      <c r="T3790" s="98">
        <f t="shared" si="183"/>
        <v>0</v>
      </c>
      <c r="U3790" s="99" t="str">
        <f>IFERROR(IF(#REF!="S",VLOOKUP('Raw Data'!A3790,References!#REF!,2,FALSE),(VLOOKUP($S3790,References!$B$3:$C$8,2,FALSE))),"")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4"/>
        <v>0</v>
      </c>
      <c r="T3791" s="98">
        <f t="shared" si="183"/>
        <v>0</v>
      </c>
      <c r="U3791" s="99" t="str">
        <f>IFERROR(IF(#REF!="S",VLOOKUP('Raw Data'!A3791,References!#REF!,2,FALSE),(VLOOKUP($S3791,References!$B$3:$C$8,2,FALSE))),"")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4"/>
        <v>0</v>
      </c>
      <c r="T3792" s="98">
        <f t="shared" ref="T3792:T3855" si="185">IF(S3792="50 - Cleaning Fee",1,HOUR($R3792)+MINUTE(R3792)/60)</f>
        <v>0</v>
      </c>
      <c r="U3792" s="99" t="str">
        <f>IFERROR(IF(#REF!="S",VLOOKUP('Raw Data'!A3792,References!#REF!,2,FALSE),(VLOOKUP($S3792,References!$B$3:$C$8,2,FALSE))),"")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4"/>
        <v>0</v>
      </c>
      <c r="T3793" s="98">
        <f t="shared" si="185"/>
        <v>0</v>
      </c>
      <c r="U3793" s="99" t="str">
        <f>IFERROR(IF(#REF!="S",VLOOKUP('Raw Data'!A3793,References!#REF!,2,FALSE),(VLOOKUP($S3793,References!$B$3:$C$8,2,FALSE))),"")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4"/>
        <v>0</v>
      </c>
      <c r="T3794" s="98">
        <f t="shared" si="185"/>
        <v>0</v>
      </c>
      <c r="U3794" s="99" t="str">
        <f>IFERROR(IF(#REF!="S",VLOOKUP('Raw Data'!A3794,References!#REF!,2,FALSE),(VLOOKUP($S3794,References!$B$3:$C$8,2,FALSE))),"")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4"/>
        <v>0</v>
      </c>
      <c r="T3795" s="98">
        <f t="shared" si="185"/>
        <v>0</v>
      </c>
      <c r="U3795" s="99" t="str">
        <f>IFERROR(IF(#REF!="S",VLOOKUP('Raw Data'!A3795,References!#REF!,2,FALSE),(VLOOKUP($S3795,References!$B$3:$C$8,2,FALSE))),"")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4"/>
        <v>0</v>
      </c>
      <c r="T3796" s="98">
        <f t="shared" si="185"/>
        <v>0</v>
      </c>
      <c r="U3796" s="99" t="str">
        <f>IFERROR(IF(#REF!="S",VLOOKUP('Raw Data'!A3796,References!#REF!,2,FALSE),(VLOOKUP($S3796,References!$B$3:$C$8,2,FALSE))),"")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4"/>
        <v>0</v>
      </c>
      <c r="T3797" s="98">
        <f t="shared" si="185"/>
        <v>0</v>
      </c>
      <c r="U3797" s="99" t="str">
        <f>IFERROR(IF(#REF!="S",VLOOKUP('Raw Data'!A3797,References!#REF!,2,FALSE),(VLOOKUP($S3797,References!$B$3:$C$8,2,FALSE))),"")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4"/>
        <v>0</v>
      </c>
      <c r="T3798" s="98">
        <f t="shared" si="185"/>
        <v>0</v>
      </c>
      <c r="U3798" s="99" t="str">
        <f>IFERROR(IF(#REF!="S",VLOOKUP('Raw Data'!A3798,References!#REF!,2,FALSE),(VLOOKUP($S3798,References!$B$3:$C$8,2,FALSE))),"")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4"/>
        <v>0</v>
      </c>
      <c r="T3799" s="98">
        <f t="shared" si="185"/>
        <v>0</v>
      </c>
      <c r="U3799" s="99" t="str">
        <f>IFERROR(IF(#REF!="S",VLOOKUP('Raw Data'!A3799,References!#REF!,2,FALSE),(VLOOKUP($S3799,References!$B$3:$C$8,2,FALSE))),"")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4"/>
        <v>0</v>
      </c>
      <c r="T3800" s="98">
        <f t="shared" si="185"/>
        <v>0</v>
      </c>
      <c r="U3800" s="99" t="str">
        <f>IFERROR(IF(#REF!="S",VLOOKUP('Raw Data'!A3800,References!#REF!,2,FALSE),(VLOOKUP($S3800,References!$B$3:$C$8,2,FALSE))),"")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4"/>
        <v>0</v>
      </c>
      <c r="T3801" s="98">
        <f t="shared" si="185"/>
        <v>0</v>
      </c>
      <c r="U3801" s="99" t="str">
        <f>IFERROR(IF(#REF!="S",VLOOKUP('Raw Data'!A3801,References!#REF!,2,FALSE),(VLOOKUP($S3801,References!$B$3:$C$8,2,FALSE))),"")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4"/>
        <v>0</v>
      </c>
      <c r="T3802" s="98">
        <f t="shared" si="185"/>
        <v>0</v>
      </c>
      <c r="U3802" s="99" t="str">
        <f>IFERROR(IF(#REF!="S",VLOOKUP('Raw Data'!A3802,References!#REF!,2,FALSE),(VLOOKUP($S3802,References!$B$3:$C$8,2,FALSE))),"")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4"/>
        <v>0</v>
      </c>
      <c r="T3803" s="98">
        <f t="shared" si="185"/>
        <v>0</v>
      </c>
      <c r="U3803" s="99" t="str">
        <f>IFERROR(IF(#REF!="S",VLOOKUP('Raw Data'!A3803,References!#REF!,2,FALSE),(VLOOKUP($S3803,References!$B$3:$C$8,2,FALSE))),"")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4"/>
        <v>0</v>
      </c>
      <c r="T3804" s="98">
        <f t="shared" si="185"/>
        <v>0</v>
      </c>
      <c r="U3804" s="99" t="str">
        <f>IFERROR(IF(#REF!="S",VLOOKUP('Raw Data'!A3804,References!#REF!,2,FALSE),(VLOOKUP($S3804,References!$B$3:$C$8,2,FALSE))),"")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4"/>
        <v>0</v>
      </c>
      <c r="T3805" s="98">
        <f t="shared" si="185"/>
        <v>0</v>
      </c>
      <c r="U3805" s="99" t="str">
        <f>IFERROR(IF(#REF!="S",VLOOKUP('Raw Data'!A3805,References!#REF!,2,FALSE),(VLOOKUP($S3805,References!$B$3:$C$8,2,FALSE))),"")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4"/>
        <v>0</v>
      </c>
      <c r="T3806" s="98">
        <f t="shared" si="185"/>
        <v>0</v>
      </c>
      <c r="U3806" s="99" t="str">
        <f>IFERROR(IF(#REF!="S",VLOOKUP('Raw Data'!A3806,References!#REF!,2,FALSE),(VLOOKUP($S3806,References!$B$3:$C$8,2,FALSE))),"")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4"/>
        <v>0</v>
      </c>
      <c r="T3807" s="98">
        <f t="shared" si="185"/>
        <v>0</v>
      </c>
      <c r="U3807" s="99" t="str">
        <f>IFERROR(IF(#REF!="S",VLOOKUP('Raw Data'!A3807,References!#REF!,2,FALSE),(VLOOKUP($S3807,References!$B$3:$C$8,2,FALSE))),"")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4"/>
        <v>0</v>
      </c>
      <c r="T3808" s="98">
        <f t="shared" si="185"/>
        <v>0</v>
      </c>
      <c r="U3808" s="99" t="str">
        <f>IFERROR(IF(#REF!="S",VLOOKUP('Raw Data'!A3808,References!#REF!,2,FALSE),(VLOOKUP($S3808,References!$B$3:$C$8,2,FALSE))),"")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4"/>
        <v>0</v>
      </c>
      <c r="T3809" s="98">
        <f t="shared" si="185"/>
        <v>0</v>
      </c>
      <c r="U3809" s="99" t="str">
        <f>IFERROR(IF(#REF!="S",VLOOKUP('Raw Data'!A3809,References!#REF!,2,FALSE),(VLOOKUP($S3809,References!$B$3:$C$8,2,FALSE))),"")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4"/>
        <v>0</v>
      </c>
      <c r="T3810" s="98">
        <f t="shared" si="185"/>
        <v>0</v>
      </c>
      <c r="U3810" s="99" t="str">
        <f>IFERROR(IF(#REF!="S",VLOOKUP('Raw Data'!A3810,References!#REF!,2,FALSE),(VLOOKUP($S3810,References!$B$3:$C$8,2,FALSE))),"")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4"/>
        <v>0</v>
      </c>
      <c r="T3811" s="98">
        <f t="shared" si="185"/>
        <v>0</v>
      </c>
      <c r="U3811" s="99" t="str">
        <f>IFERROR(IF(#REF!="S",VLOOKUP('Raw Data'!A3811,References!#REF!,2,FALSE),(VLOOKUP($S3811,References!$B$3:$C$8,2,FALSE))),"")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4"/>
        <v>0</v>
      </c>
      <c r="T3812" s="98">
        <f t="shared" si="185"/>
        <v>0</v>
      </c>
      <c r="U3812" s="99" t="str">
        <f>IFERROR(IF(#REF!="S",VLOOKUP('Raw Data'!A3812,References!#REF!,2,FALSE),(VLOOKUP($S3812,References!$B$3:$C$8,2,FALSE))),"")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4"/>
        <v>0</v>
      </c>
      <c r="T3813" s="98">
        <f t="shared" si="185"/>
        <v>0</v>
      </c>
      <c r="U3813" s="99" t="str">
        <f>IFERROR(IF(#REF!="S",VLOOKUP('Raw Data'!A3813,References!#REF!,2,FALSE),(VLOOKUP($S3813,References!$B$3:$C$8,2,FALSE))),"")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4"/>
        <v>0</v>
      </c>
      <c r="T3814" s="98">
        <f t="shared" si="185"/>
        <v>0</v>
      </c>
      <c r="U3814" s="99" t="str">
        <f>IFERROR(IF(#REF!="S",VLOOKUP('Raw Data'!A3814,References!#REF!,2,FALSE),(VLOOKUP($S3814,References!$B$3:$C$8,2,FALSE))),"")</f>
        <v/>
      </c>
      <c r="W3814" s="66" t="str">
        <f>IFERROR(VLOOKUP($O3814,'Customer List'!$A$1:$J$488,10,FALSE),"")</f>
        <v/>
      </c>
    </row>
    <row r="3815" spans="18:23">
      <c r="R3815" s="97">
        <f t="shared" si="184"/>
        <v>0</v>
      </c>
      <c r="T3815" s="98">
        <f t="shared" si="185"/>
        <v>0</v>
      </c>
      <c r="U3815" s="99" t="str">
        <f>IFERROR(IF(#REF!="S",VLOOKUP('Raw Data'!A3815,References!#REF!,2,FALSE),(VLOOKUP($S3815,References!$B$3:$C$8,2,FALSE))),"")</f>
        <v/>
      </c>
      <c r="W3815" s="66" t="str">
        <f>IFERROR(VLOOKUP($O3815,'Customer List'!$A$1:$J$488,10,FALSE),"")</f>
        <v/>
      </c>
    </row>
    <row r="3816" spans="18:23">
      <c r="R3816" s="97">
        <f t="shared" ref="R3816:R3879" si="186">L3816-K3816</f>
        <v>0</v>
      </c>
      <c r="T3816" s="98">
        <f t="shared" si="185"/>
        <v>0</v>
      </c>
      <c r="U3816" s="99" t="str">
        <f>IFERROR(IF(#REF!="S",VLOOKUP('Raw Data'!A3816,References!#REF!,2,FALSE),(VLOOKUP($S3816,References!$B$3:$C$8,2,FALSE))),"")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6"/>
        <v>0</v>
      </c>
      <c r="T3817" s="98">
        <f t="shared" si="185"/>
        <v>0</v>
      </c>
      <c r="U3817" s="99" t="str">
        <f>IFERROR(IF(#REF!="S",VLOOKUP('Raw Data'!A3817,References!#REF!,2,FALSE),(VLOOKUP($S3817,References!$B$3:$C$8,2,FALSE))),"")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6"/>
        <v>0</v>
      </c>
      <c r="T3818" s="98">
        <f t="shared" si="185"/>
        <v>0</v>
      </c>
      <c r="U3818" s="99" t="str">
        <f>IFERROR(IF(#REF!="S",VLOOKUP('Raw Data'!A3818,References!#REF!,2,FALSE),(VLOOKUP($S3818,References!$B$3:$C$8,2,FALSE))),"")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6"/>
        <v>0</v>
      </c>
      <c r="T3819" s="98">
        <f t="shared" si="185"/>
        <v>0</v>
      </c>
      <c r="U3819" s="99" t="str">
        <f>IFERROR(IF(#REF!="S",VLOOKUP('Raw Data'!A3819,References!#REF!,2,FALSE),(VLOOKUP($S3819,References!$B$3:$C$8,2,FALSE))),"")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6"/>
        <v>0</v>
      </c>
      <c r="T3820" s="98">
        <f t="shared" si="185"/>
        <v>0</v>
      </c>
      <c r="U3820" s="99" t="str">
        <f>IFERROR(IF(#REF!="S",VLOOKUP('Raw Data'!A3820,References!#REF!,2,FALSE),(VLOOKUP($S3820,References!$B$3:$C$8,2,FALSE))),"")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6"/>
        <v>0</v>
      </c>
      <c r="T3821" s="98">
        <f t="shared" si="185"/>
        <v>0</v>
      </c>
      <c r="U3821" s="99" t="str">
        <f>IFERROR(IF(#REF!="S",VLOOKUP('Raw Data'!A3821,References!#REF!,2,FALSE),(VLOOKUP($S3821,References!$B$3:$C$8,2,FALSE))),"")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6"/>
        <v>0</v>
      </c>
      <c r="T3822" s="98">
        <f t="shared" si="185"/>
        <v>0</v>
      </c>
      <c r="U3822" s="99" t="str">
        <f>IFERROR(IF(#REF!="S",VLOOKUP('Raw Data'!A3822,References!#REF!,2,FALSE),(VLOOKUP($S3822,References!$B$3:$C$8,2,FALSE))),"")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6"/>
        <v>0</v>
      </c>
      <c r="T3823" s="98">
        <f t="shared" si="185"/>
        <v>0</v>
      </c>
      <c r="U3823" s="99" t="str">
        <f>IFERROR(IF(#REF!="S",VLOOKUP('Raw Data'!A3823,References!#REF!,2,FALSE),(VLOOKUP($S3823,References!$B$3:$C$8,2,FALSE))),"")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6"/>
        <v>0</v>
      </c>
      <c r="T3824" s="98">
        <f t="shared" si="185"/>
        <v>0</v>
      </c>
      <c r="U3824" s="99" t="str">
        <f>IFERROR(IF(#REF!="S",VLOOKUP('Raw Data'!A3824,References!#REF!,2,FALSE),(VLOOKUP($S3824,References!$B$3:$C$8,2,FALSE))),"")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6"/>
        <v>0</v>
      </c>
      <c r="T3825" s="98">
        <f t="shared" si="185"/>
        <v>0</v>
      </c>
      <c r="U3825" s="99" t="str">
        <f>IFERROR(IF(#REF!="S",VLOOKUP('Raw Data'!A3825,References!#REF!,2,FALSE),(VLOOKUP($S3825,References!$B$3:$C$8,2,FALSE))),"")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6"/>
        <v>0</v>
      </c>
      <c r="T3826" s="98">
        <f t="shared" si="185"/>
        <v>0</v>
      </c>
      <c r="U3826" s="99" t="str">
        <f>IFERROR(IF(#REF!="S",VLOOKUP('Raw Data'!A3826,References!#REF!,2,FALSE),(VLOOKUP($S3826,References!$B$3:$C$8,2,FALSE))),"")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6"/>
        <v>0</v>
      </c>
      <c r="T3827" s="98">
        <f t="shared" si="185"/>
        <v>0</v>
      </c>
      <c r="U3827" s="99" t="str">
        <f>IFERROR(IF(#REF!="S",VLOOKUP('Raw Data'!A3827,References!#REF!,2,FALSE),(VLOOKUP($S3827,References!$B$3:$C$8,2,FALSE))),"")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6"/>
        <v>0</v>
      </c>
      <c r="T3828" s="98">
        <f t="shared" si="185"/>
        <v>0</v>
      </c>
      <c r="U3828" s="99" t="str">
        <f>IFERROR(IF(#REF!="S",VLOOKUP('Raw Data'!A3828,References!#REF!,2,FALSE),(VLOOKUP($S3828,References!$B$3:$C$8,2,FALSE))),"")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6"/>
        <v>0</v>
      </c>
      <c r="T3829" s="98">
        <f t="shared" si="185"/>
        <v>0</v>
      </c>
      <c r="U3829" s="99" t="str">
        <f>IFERROR(IF(#REF!="S",VLOOKUP('Raw Data'!A3829,References!#REF!,2,FALSE),(VLOOKUP($S3829,References!$B$3:$C$8,2,FALSE))),"")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6"/>
        <v>0</v>
      </c>
      <c r="T3830" s="98">
        <f t="shared" si="185"/>
        <v>0</v>
      </c>
      <c r="U3830" s="99" t="str">
        <f>IFERROR(IF(#REF!="S",VLOOKUP('Raw Data'!A3830,References!#REF!,2,FALSE),(VLOOKUP($S3830,References!$B$3:$C$8,2,FALSE))),"")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6"/>
        <v>0</v>
      </c>
      <c r="T3831" s="98">
        <f t="shared" si="185"/>
        <v>0</v>
      </c>
      <c r="U3831" s="99" t="str">
        <f>IFERROR(IF(#REF!="S",VLOOKUP('Raw Data'!A3831,References!#REF!,2,FALSE),(VLOOKUP($S3831,References!$B$3:$C$8,2,FALSE))),"")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6"/>
        <v>0</v>
      </c>
      <c r="T3832" s="98">
        <f t="shared" si="185"/>
        <v>0</v>
      </c>
      <c r="U3832" s="99" t="str">
        <f>IFERROR(IF(#REF!="S",VLOOKUP('Raw Data'!A3832,References!#REF!,2,FALSE),(VLOOKUP($S3832,References!$B$3:$C$8,2,FALSE))),"")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6"/>
        <v>0</v>
      </c>
      <c r="T3833" s="98">
        <f t="shared" si="185"/>
        <v>0</v>
      </c>
      <c r="U3833" s="99" t="str">
        <f>IFERROR(IF(#REF!="S",VLOOKUP('Raw Data'!A3833,References!#REF!,2,FALSE),(VLOOKUP($S3833,References!$B$3:$C$8,2,FALSE))),"")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6"/>
        <v>0</v>
      </c>
      <c r="T3834" s="98">
        <f t="shared" si="185"/>
        <v>0</v>
      </c>
      <c r="U3834" s="99" t="str">
        <f>IFERROR(IF(#REF!="S",VLOOKUP('Raw Data'!A3834,References!#REF!,2,FALSE),(VLOOKUP($S3834,References!$B$3:$C$8,2,FALSE))),"")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6"/>
        <v>0</v>
      </c>
      <c r="T3835" s="98">
        <f t="shared" si="185"/>
        <v>0</v>
      </c>
      <c r="U3835" s="99" t="str">
        <f>IFERROR(IF(#REF!="S",VLOOKUP('Raw Data'!A3835,References!#REF!,2,FALSE),(VLOOKUP($S3835,References!$B$3:$C$8,2,FALSE))),"")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6"/>
        <v>0</v>
      </c>
      <c r="T3836" s="98">
        <f t="shared" si="185"/>
        <v>0</v>
      </c>
      <c r="U3836" s="99" t="str">
        <f>IFERROR(IF(#REF!="S",VLOOKUP('Raw Data'!A3836,References!#REF!,2,FALSE),(VLOOKUP($S3836,References!$B$3:$C$8,2,FALSE))),"")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6"/>
        <v>0</v>
      </c>
      <c r="T3837" s="98">
        <f t="shared" si="185"/>
        <v>0</v>
      </c>
      <c r="U3837" s="99" t="str">
        <f>IFERROR(IF(#REF!="S",VLOOKUP('Raw Data'!A3837,References!#REF!,2,FALSE),(VLOOKUP($S3837,References!$B$3:$C$8,2,FALSE))),"")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6"/>
        <v>0</v>
      </c>
      <c r="T3838" s="98">
        <f t="shared" si="185"/>
        <v>0</v>
      </c>
      <c r="U3838" s="99" t="str">
        <f>IFERROR(IF(#REF!="S",VLOOKUP('Raw Data'!A3838,References!#REF!,2,FALSE),(VLOOKUP($S3838,References!$B$3:$C$8,2,FALSE))),"")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6"/>
        <v>0</v>
      </c>
      <c r="T3839" s="98">
        <f t="shared" si="185"/>
        <v>0</v>
      </c>
      <c r="U3839" s="99" t="str">
        <f>IFERROR(IF(#REF!="S",VLOOKUP('Raw Data'!A3839,References!#REF!,2,FALSE),(VLOOKUP($S3839,References!$B$3:$C$8,2,FALSE))),"")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6"/>
        <v>0</v>
      </c>
      <c r="T3840" s="98">
        <f t="shared" si="185"/>
        <v>0</v>
      </c>
      <c r="U3840" s="99" t="str">
        <f>IFERROR(IF(#REF!="S",VLOOKUP('Raw Data'!A3840,References!#REF!,2,FALSE),(VLOOKUP($S3840,References!$B$3:$C$8,2,FALSE))),"")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6"/>
        <v>0</v>
      </c>
      <c r="T3841" s="98">
        <f t="shared" si="185"/>
        <v>0</v>
      </c>
      <c r="U3841" s="99" t="str">
        <f>IFERROR(IF(#REF!="S",VLOOKUP('Raw Data'!A3841,References!#REF!,2,FALSE),(VLOOKUP($S3841,References!$B$3:$C$8,2,FALSE))),"")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6"/>
        <v>0</v>
      </c>
      <c r="T3842" s="98">
        <f t="shared" si="185"/>
        <v>0</v>
      </c>
      <c r="U3842" s="99" t="str">
        <f>IFERROR(IF(#REF!="S",VLOOKUP('Raw Data'!A3842,References!#REF!,2,FALSE),(VLOOKUP($S3842,References!$B$3:$C$8,2,FALSE))),"")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6"/>
        <v>0</v>
      </c>
      <c r="T3843" s="98">
        <f t="shared" si="185"/>
        <v>0</v>
      </c>
      <c r="U3843" s="99" t="str">
        <f>IFERROR(IF(#REF!="S",VLOOKUP('Raw Data'!A3843,References!#REF!,2,FALSE),(VLOOKUP($S3843,References!$B$3:$C$8,2,FALSE))),"")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6"/>
        <v>0</v>
      </c>
      <c r="T3844" s="98">
        <f t="shared" si="185"/>
        <v>0</v>
      </c>
      <c r="U3844" s="99" t="str">
        <f>IFERROR(IF(#REF!="S",VLOOKUP('Raw Data'!A3844,References!#REF!,2,FALSE),(VLOOKUP($S3844,References!$B$3:$C$8,2,FALSE))),"")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6"/>
        <v>0</v>
      </c>
      <c r="T3845" s="98">
        <f t="shared" si="185"/>
        <v>0</v>
      </c>
      <c r="U3845" s="99" t="str">
        <f>IFERROR(IF(#REF!="S",VLOOKUP('Raw Data'!A3845,References!#REF!,2,FALSE),(VLOOKUP($S3845,References!$B$3:$C$8,2,FALSE))),"")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6"/>
        <v>0</v>
      </c>
      <c r="T3846" s="98">
        <f t="shared" si="185"/>
        <v>0</v>
      </c>
      <c r="U3846" s="99" t="str">
        <f>IFERROR(IF(#REF!="S",VLOOKUP('Raw Data'!A3846,References!#REF!,2,FALSE),(VLOOKUP($S3846,References!$B$3:$C$8,2,FALSE))),"")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6"/>
        <v>0</v>
      </c>
      <c r="T3847" s="98">
        <f t="shared" si="185"/>
        <v>0</v>
      </c>
      <c r="U3847" s="99" t="str">
        <f>IFERROR(IF(#REF!="S",VLOOKUP('Raw Data'!A3847,References!#REF!,2,FALSE),(VLOOKUP($S3847,References!$B$3:$C$8,2,FALSE))),"")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6"/>
        <v>0</v>
      </c>
      <c r="T3848" s="98">
        <f t="shared" si="185"/>
        <v>0</v>
      </c>
      <c r="U3848" s="99" t="str">
        <f>IFERROR(IF(#REF!="S",VLOOKUP('Raw Data'!A3848,References!#REF!,2,FALSE),(VLOOKUP($S3848,References!$B$3:$C$8,2,FALSE))),"")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6"/>
        <v>0</v>
      </c>
      <c r="T3849" s="98">
        <f t="shared" si="185"/>
        <v>0</v>
      </c>
      <c r="U3849" s="99" t="str">
        <f>IFERROR(IF(#REF!="S",VLOOKUP('Raw Data'!A3849,References!#REF!,2,FALSE),(VLOOKUP($S3849,References!$B$3:$C$8,2,FALSE))),"")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6"/>
        <v>0</v>
      </c>
      <c r="T3850" s="98">
        <f t="shared" si="185"/>
        <v>0</v>
      </c>
      <c r="U3850" s="99" t="str">
        <f>IFERROR(IF(#REF!="S",VLOOKUP('Raw Data'!A3850,References!#REF!,2,FALSE),(VLOOKUP($S3850,References!$B$3:$C$8,2,FALSE))),"")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6"/>
        <v>0</v>
      </c>
      <c r="T3851" s="98">
        <f t="shared" si="185"/>
        <v>0</v>
      </c>
      <c r="U3851" s="99" t="str">
        <f>IFERROR(IF(#REF!="S",VLOOKUP('Raw Data'!A3851,References!#REF!,2,FALSE),(VLOOKUP($S3851,References!$B$3:$C$8,2,FALSE))),"")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6"/>
        <v>0</v>
      </c>
      <c r="T3852" s="98">
        <f t="shared" si="185"/>
        <v>0</v>
      </c>
      <c r="U3852" s="99" t="str">
        <f>IFERROR(IF(#REF!="S",VLOOKUP('Raw Data'!A3852,References!#REF!,2,FALSE),(VLOOKUP($S3852,References!$B$3:$C$8,2,FALSE))),"")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6"/>
        <v>0</v>
      </c>
      <c r="T3853" s="98">
        <f t="shared" si="185"/>
        <v>0</v>
      </c>
      <c r="U3853" s="99" t="str">
        <f>IFERROR(IF(#REF!="S",VLOOKUP('Raw Data'!A3853,References!#REF!,2,FALSE),(VLOOKUP($S3853,References!$B$3:$C$8,2,FALSE))),"")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6"/>
        <v>0</v>
      </c>
      <c r="T3854" s="98">
        <f t="shared" si="185"/>
        <v>0</v>
      </c>
      <c r="U3854" s="99" t="str">
        <f>IFERROR(IF(#REF!="S",VLOOKUP('Raw Data'!A3854,References!#REF!,2,FALSE),(VLOOKUP($S3854,References!$B$3:$C$8,2,FALSE))),"")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6"/>
        <v>0</v>
      </c>
      <c r="T3855" s="98">
        <f t="shared" si="185"/>
        <v>0</v>
      </c>
      <c r="U3855" s="99" t="str">
        <f>IFERROR(IF(#REF!="S",VLOOKUP('Raw Data'!A3855,References!#REF!,2,FALSE),(VLOOKUP($S3855,References!$B$3:$C$8,2,FALSE))),"")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6"/>
        <v>0</v>
      </c>
      <c r="T3856" s="98">
        <f t="shared" ref="T3856:T3919" si="187">IF(S3856="50 - Cleaning Fee",1,HOUR($R3856)+MINUTE(R3856)/60)</f>
        <v>0</v>
      </c>
      <c r="U3856" s="99" t="str">
        <f>IFERROR(IF(#REF!="S",VLOOKUP('Raw Data'!A3856,References!#REF!,2,FALSE),(VLOOKUP($S3856,References!$B$3:$C$8,2,FALSE))),"")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6"/>
        <v>0</v>
      </c>
      <c r="T3857" s="98">
        <f t="shared" si="187"/>
        <v>0</v>
      </c>
      <c r="U3857" s="99" t="str">
        <f>IFERROR(IF(#REF!="S",VLOOKUP('Raw Data'!A3857,References!#REF!,2,FALSE),(VLOOKUP($S3857,References!$B$3:$C$8,2,FALSE))),"")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6"/>
        <v>0</v>
      </c>
      <c r="T3858" s="98">
        <f t="shared" si="187"/>
        <v>0</v>
      </c>
      <c r="U3858" s="99" t="str">
        <f>IFERROR(IF(#REF!="S",VLOOKUP('Raw Data'!A3858,References!#REF!,2,FALSE),(VLOOKUP($S3858,References!$B$3:$C$8,2,FALSE))),"")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6"/>
        <v>0</v>
      </c>
      <c r="T3859" s="98">
        <f t="shared" si="187"/>
        <v>0</v>
      </c>
      <c r="U3859" s="99" t="str">
        <f>IFERROR(IF(#REF!="S",VLOOKUP('Raw Data'!A3859,References!#REF!,2,FALSE),(VLOOKUP($S3859,References!$B$3:$C$8,2,FALSE))),"")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6"/>
        <v>0</v>
      </c>
      <c r="T3860" s="98">
        <f t="shared" si="187"/>
        <v>0</v>
      </c>
      <c r="U3860" s="99" t="str">
        <f>IFERROR(IF(#REF!="S",VLOOKUP('Raw Data'!A3860,References!#REF!,2,FALSE),(VLOOKUP($S3860,References!$B$3:$C$8,2,FALSE))),"")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6"/>
        <v>0</v>
      </c>
      <c r="T3861" s="98">
        <f t="shared" si="187"/>
        <v>0</v>
      </c>
      <c r="U3861" s="99" t="str">
        <f>IFERROR(IF(#REF!="S",VLOOKUP('Raw Data'!A3861,References!#REF!,2,FALSE),(VLOOKUP($S3861,References!$B$3:$C$8,2,FALSE))),"")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6"/>
        <v>0</v>
      </c>
      <c r="T3862" s="98">
        <f t="shared" si="187"/>
        <v>0</v>
      </c>
      <c r="U3862" s="99" t="str">
        <f>IFERROR(IF(#REF!="S",VLOOKUP('Raw Data'!A3862,References!#REF!,2,FALSE),(VLOOKUP($S3862,References!$B$3:$C$8,2,FALSE))),"")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6"/>
        <v>0</v>
      </c>
      <c r="T3863" s="98">
        <f t="shared" si="187"/>
        <v>0</v>
      </c>
      <c r="U3863" s="99" t="str">
        <f>IFERROR(IF(#REF!="S",VLOOKUP('Raw Data'!A3863,References!#REF!,2,FALSE),(VLOOKUP($S3863,References!$B$3:$C$8,2,FALSE))),"")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6"/>
        <v>0</v>
      </c>
      <c r="T3864" s="98">
        <f t="shared" si="187"/>
        <v>0</v>
      </c>
      <c r="U3864" s="99" t="str">
        <f>IFERROR(IF(#REF!="S",VLOOKUP('Raw Data'!A3864,References!#REF!,2,FALSE),(VLOOKUP($S3864,References!$B$3:$C$8,2,FALSE))),"")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6"/>
        <v>0</v>
      </c>
      <c r="T3865" s="98">
        <f t="shared" si="187"/>
        <v>0</v>
      </c>
      <c r="U3865" s="99" t="str">
        <f>IFERROR(IF(#REF!="S",VLOOKUP('Raw Data'!A3865,References!#REF!,2,FALSE),(VLOOKUP($S3865,References!$B$3:$C$8,2,FALSE))),"")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6"/>
        <v>0</v>
      </c>
      <c r="T3866" s="98">
        <f t="shared" si="187"/>
        <v>0</v>
      </c>
      <c r="U3866" s="99" t="str">
        <f>IFERROR(IF(#REF!="S",VLOOKUP('Raw Data'!A3866,References!#REF!,2,FALSE),(VLOOKUP($S3866,References!$B$3:$C$8,2,FALSE))),"")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6"/>
        <v>0</v>
      </c>
      <c r="T3867" s="98">
        <f t="shared" si="187"/>
        <v>0</v>
      </c>
      <c r="U3867" s="99" t="str">
        <f>IFERROR(IF(#REF!="S",VLOOKUP('Raw Data'!A3867,References!#REF!,2,FALSE),(VLOOKUP($S3867,References!$B$3:$C$8,2,FALSE))),"")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6"/>
        <v>0</v>
      </c>
      <c r="T3868" s="98">
        <f t="shared" si="187"/>
        <v>0</v>
      </c>
      <c r="U3868" s="99" t="str">
        <f>IFERROR(IF(#REF!="S",VLOOKUP('Raw Data'!A3868,References!#REF!,2,FALSE),(VLOOKUP($S3868,References!$B$3:$C$8,2,FALSE))),"")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6"/>
        <v>0</v>
      </c>
      <c r="T3869" s="98">
        <f t="shared" si="187"/>
        <v>0</v>
      </c>
      <c r="U3869" s="99" t="str">
        <f>IFERROR(IF(#REF!="S",VLOOKUP('Raw Data'!A3869,References!#REF!,2,FALSE),(VLOOKUP($S3869,References!$B$3:$C$8,2,FALSE))),"")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6"/>
        <v>0</v>
      </c>
      <c r="T3870" s="98">
        <f t="shared" si="187"/>
        <v>0</v>
      </c>
      <c r="U3870" s="99" t="str">
        <f>IFERROR(IF(#REF!="S",VLOOKUP('Raw Data'!A3870,References!#REF!,2,FALSE),(VLOOKUP($S3870,References!$B$3:$C$8,2,FALSE))),"")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6"/>
        <v>0</v>
      </c>
      <c r="T3871" s="98">
        <f t="shared" si="187"/>
        <v>0</v>
      </c>
      <c r="U3871" s="99" t="str">
        <f>IFERROR(IF(#REF!="S",VLOOKUP('Raw Data'!A3871,References!#REF!,2,FALSE),(VLOOKUP($S3871,References!$B$3:$C$8,2,FALSE))),"")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6"/>
        <v>0</v>
      </c>
      <c r="T3872" s="98">
        <f t="shared" si="187"/>
        <v>0</v>
      </c>
      <c r="U3872" s="99" t="str">
        <f>IFERROR(IF(#REF!="S",VLOOKUP('Raw Data'!A3872,References!#REF!,2,FALSE),(VLOOKUP($S3872,References!$B$3:$C$8,2,FALSE))),"")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6"/>
        <v>0</v>
      </c>
      <c r="T3873" s="98">
        <f t="shared" si="187"/>
        <v>0</v>
      </c>
      <c r="U3873" s="99" t="str">
        <f>IFERROR(IF(#REF!="S",VLOOKUP('Raw Data'!A3873,References!#REF!,2,FALSE),(VLOOKUP($S3873,References!$B$3:$C$8,2,FALSE))),"")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6"/>
        <v>0</v>
      </c>
      <c r="T3874" s="98">
        <f t="shared" si="187"/>
        <v>0</v>
      </c>
      <c r="U3874" s="99" t="str">
        <f>IFERROR(IF(#REF!="S",VLOOKUP('Raw Data'!A3874,References!#REF!,2,FALSE),(VLOOKUP($S3874,References!$B$3:$C$8,2,FALSE))),"")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6"/>
        <v>0</v>
      </c>
      <c r="T3875" s="98">
        <f t="shared" si="187"/>
        <v>0</v>
      </c>
      <c r="U3875" s="99" t="str">
        <f>IFERROR(IF(#REF!="S",VLOOKUP('Raw Data'!A3875,References!#REF!,2,FALSE),(VLOOKUP($S3875,References!$B$3:$C$8,2,FALSE))),"")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6"/>
        <v>0</v>
      </c>
      <c r="T3876" s="98">
        <f t="shared" si="187"/>
        <v>0</v>
      </c>
      <c r="U3876" s="99" t="str">
        <f>IFERROR(IF(#REF!="S",VLOOKUP('Raw Data'!A3876,References!#REF!,2,FALSE),(VLOOKUP($S3876,References!$B$3:$C$8,2,FALSE))),"")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6"/>
        <v>0</v>
      </c>
      <c r="T3877" s="98">
        <f t="shared" si="187"/>
        <v>0</v>
      </c>
      <c r="U3877" s="99" t="str">
        <f>IFERROR(IF(#REF!="S",VLOOKUP('Raw Data'!A3877,References!#REF!,2,FALSE),(VLOOKUP($S3877,References!$B$3:$C$8,2,FALSE))),"")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6"/>
        <v>0</v>
      </c>
      <c r="T3878" s="98">
        <f t="shared" si="187"/>
        <v>0</v>
      </c>
      <c r="U3878" s="99" t="str">
        <f>IFERROR(IF(#REF!="S",VLOOKUP('Raw Data'!A3878,References!#REF!,2,FALSE),(VLOOKUP($S3878,References!$B$3:$C$8,2,FALSE))),"")</f>
        <v/>
      </c>
      <c r="W3878" s="66" t="str">
        <f>IFERROR(VLOOKUP($O3878,'Customer List'!$A$1:$J$488,10,FALSE),"")</f>
        <v/>
      </c>
    </row>
    <row r="3879" spans="18:23">
      <c r="R3879" s="97">
        <f t="shared" si="186"/>
        <v>0</v>
      </c>
      <c r="T3879" s="98">
        <f t="shared" si="187"/>
        <v>0</v>
      </c>
      <c r="U3879" s="99" t="str">
        <f>IFERROR(IF(#REF!="S",VLOOKUP('Raw Data'!A3879,References!#REF!,2,FALSE),(VLOOKUP($S3879,References!$B$3:$C$8,2,FALSE))),"")</f>
        <v/>
      </c>
      <c r="W3879" s="66" t="str">
        <f>IFERROR(VLOOKUP($O3879,'Customer List'!$A$1:$J$488,10,FALSE),"")</f>
        <v/>
      </c>
    </row>
    <row r="3880" spans="18:23">
      <c r="R3880" s="97">
        <f t="shared" ref="R3880:R3943" si="188">L3880-K3880</f>
        <v>0</v>
      </c>
      <c r="T3880" s="98">
        <f t="shared" si="187"/>
        <v>0</v>
      </c>
      <c r="U3880" s="99" t="str">
        <f>IFERROR(IF(#REF!="S",VLOOKUP('Raw Data'!A3880,References!#REF!,2,FALSE),(VLOOKUP($S3880,References!$B$3:$C$8,2,FALSE))),"")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88"/>
        <v>0</v>
      </c>
      <c r="T3881" s="98">
        <f t="shared" si="187"/>
        <v>0</v>
      </c>
      <c r="U3881" s="99" t="str">
        <f>IFERROR(IF(#REF!="S",VLOOKUP('Raw Data'!A3881,References!#REF!,2,FALSE),(VLOOKUP($S3881,References!$B$3:$C$8,2,FALSE))),"")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88"/>
        <v>0</v>
      </c>
      <c r="T3882" s="98">
        <f t="shared" si="187"/>
        <v>0</v>
      </c>
      <c r="U3882" s="99" t="str">
        <f>IFERROR(IF(#REF!="S",VLOOKUP('Raw Data'!A3882,References!#REF!,2,FALSE),(VLOOKUP($S3882,References!$B$3:$C$8,2,FALSE))),"")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88"/>
        <v>0</v>
      </c>
      <c r="T3883" s="98">
        <f t="shared" si="187"/>
        <v>0</v>
      </c>
      <c r="U3883" s="99" t="str">
        <f>IFERROR(IF(#REF!="S",VLOOKUP('Raw Data'!A3883,References!#REF!,2,FALSE),(VLOOKUP($S3883,References!$B$3:$C$8,2,FALSE))),"")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88"/>
        <v>0</v>
      </c>
      <c r="T3884" s="98">
        <f t="shared" si="187"/>
        <v>0</v>
      </c>
      <c r="U3884" s="99" t="str">
        <f>IFERROR(IF(#REF!="S",VLOOKUP('Raw Data'!A3884,References!#REF!,2,FALSE),(VLOOKUP($S3884,References!$B$3:$C$8,2,FALSE))),"")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88"/>
        <v>0</v>
      </c>
      <c r="T3885" s="98">
        <f t="shared" si="187"/>
        <v>0</v>
      </c>
      <c r="U3885" s="99" t="str">
        <f>IFERROR(IF(#REF!="S",VLOOKUP('Raw Data'!A3885,References!#REF!,2,FALSE),(VLOOKUP($S3885,References!$B$3:$C$8,2,FALSE))),"")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88"/>
        <v>0</v>
      </c>
      <c r="T3886" s="98">
        <f t="shared" si="187"/>
        <v>0</v>
      </c>
      <c r="U3886" s="99" t="str">
        <f>IFERROR(IF(#REF!="S",VLOOKUP('Raw Data'!A3886,References!#REF!,2,FALSE),(VLOOKUP($S3886,References!$B$3:$C$8,2,FALSE))),"")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88"/>
        <v>0</v>
      </c>
      <c r="T3887" s="98">
        <f t="shared" si="187"/>
        <v>0</v>
      </c>
      <c r="U3887" s="99" t="str">
        <f>IFERROR(IF(#REF!="S",VLOOKUP('Raw Data'!A3887,References!#REF!,2,FALSE),(VLOOKUP($S3887,References!$B$3:$C$8,2,FALSE))),"")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88"/>
        <v>0</v>
      </c>
      <c r="T3888" s="98">
        <f t="shared" si="187"/>
        <v>0</v>
      </c>
      <c r="U3888" s="99" t="str">
        <f>IFERROR(IF(#REF!="S",VLOOKUP('Raw Data'!A3888,References!#REF!,2,FALSE),(VLOOKUP($S3888,References!$B$3:$C$8,2,FALSE))),"")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88"/>
        <v>0</v>
      </c>
      <c r="T3889" s="98">
        <f t="shared" si="187"/>
        <v>0</v>
      </c>
      <c r="U3889" s="99" t="str">
        <f>IFERROR(IF(#REF!="S",VLOOKUP('Raw Data'!A3889,References!#REF!,2,FALSE),(VLOOKUP($S3889,References!$B$3:$C$8,2,FALSE))),"")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88"/>
        <v>0</v>
      </c>
      <c r="T3890" s="98">
        <f t="shared" si="187"/>
        <v>0</v>
      </c>
      <c r="U3890" s="99" t="str">
        <f>IFERROR(IF(#REF!="S",VLOOKUP('Raw Data'!A3890,References!#REF!,2,FALSE),(VLOOKUP($S3890,References!$B$3:$C$8,2,FALSE))),"")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88"/>
        <v>0</v>
      </c>
      <c r="T3891" s="98">
        <f t="shared" si="187"/>
        <v>0</v>
      </c>
      <c r="U3891" s="99" t="str">
        <f>IFERROR(IF(#REF!="S",VLOOKUP('Raw Data'!A3891,References!#REF!,2,FALSE),(VLOOKUP($S3891,References!$B$3:$C$8,2,FALSE))),"")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88"/>
        <v>0</v>
      </c>
      <c r="T3892" s="98">
        <f t="shared" si="187"/>
        <v>0</v>
      </c>
      <c r="U3892" s="99" t="str">
        <f>IFERROR(IF(#REF!="S",VLOOKUP('Raw Data'!A3892,References!#REF!,2,FALSE),(VLOOKUP($S3892,References!$B$3:$C$8,2,FALSE))),"")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88"/>
        <v>0</v>
      </c>
      <c r="T3893" s="98">
        <f t="shared" si="187"/>
        <v>0</v>
      </c>
      <c r="U3893" s="99" t="str">
        <f>IFERROR(IF(#REF!="S",VLOOKUP('Raw Data'!A3893,References!#REF!,2,FALSE),(VLOOKUP($S3893,References!$B$3:$C$8,2,FALSE))),"")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88"/>
        <v>0</v>
      </c>
      <c r="T3894" s="98">
        <f t="shared" si="187"/>
        <v>0</v>
      </c>
      <c r="U3894" s="99" t="str">
        <f>IFERROR(IF(#REF!="S",VLOOKUP('Raw Data'!A3894,References!#REF!,2,FALSE),(VLOOKUP($S3894,References!$B$3:$C$8,2,FALSE))),"")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88"/>
        <v>0</v>
      </c>
      <c r="T3895" s="98">
        <f t="shared" si="187"/>
        <v>0</v>
      </c>
      <c r="U3895" s="99" t="str">
        <f>IFERROR(IF(#REF!="S",VLOOKUP('Raw Data'!A3895,References!#REF!,2,FALSE),(VLOOKUP($S3895,References!$B$3:$C$8,2,FALSE))),"")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88"/>
        <v>0</v>
      </c>
      <c r="T3896" s="98">
        <f t="shared" si="187"/>
        <v>0</v>
      </c>
      <c r="U3896" s="99" t="str">
        <f>IFERROR(IF(#REF!="S",VLOOKUP('Raw Data'!A3896,References!#REF!,2,FALSE),(VLOOKUP($S3896,References!$B$3:$C$8,2,FALSE))),"")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88"/>
        <v>0</v>
      </c>
      <c r="T3897" s="98">
        <f t="shared" si="187"/>
        <v>0</v>
      </c>
      <c r="U3897" s="99" t="str">
        <f>IFERROR(IF(#REF!="S",VLOOKUP('Raw Data'!A3897,References!#REF!,2,FALSE),(VLOOKUP($S3897,References!$B$3:$C$8,2,FALSE))),"")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88"/>
        <v>0</v>
      </c>
      <c r="T3898" s="98">
        <f t="shared" si="187"/>
        <v>0</v>
      </c>
      <c r="U3898" s="99" t="str">
        <f>IFERROR(IF(#REF!="S",VLOOKUP('Raw Data'!A3898,References!#REF!,2,FALSE),(VLOOKUP($S3898,References!$B$3:$C$8,2,FALSE))),"")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88"/>
        <v>0</v>
      </c>
      <c r="T3899" s="98">
        <f t="shared" si="187"/>
        <v>0</v>
      </c>
      <c r="U3899" s="99" t="str">
        <f>IFERROR(IF(#REF!="S",VLOOKUP('Raw Data'!A3899,References!#REF!,2,FALSE),(VLOOKUP($S3899,References!$B$3:$C$8,2,FALSE))),"")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88"/>
        <v>0</v>
      </c>
      <c r="T3900" s="98">
        <f t="shared" si="187"/>
        <v>0</v>
      </c>
      <c r="U3900" s="99" t="str">
        <f>IFERROR(IF(#REF!="S",VLOOKUP('Raw Data'!A3900,References!#REF!,2,FALSE),(VLOOKUP($S3900,References!$B$3:$C$8,2,FALSE))),"")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88"/>
        <v>0</v>
      </c>
      <c r="T3901" s="98">
        <f t="shared" si="187"/>
        <v>0</v>
      </c>
      <c r="U3901" s="99" t="str">
        <f>IFERROR(IF(#REF!="S",VLOOKUP('Raw Data'!A3901,References!#REF!,2,FALSE),(VLOOKUP($S3901,References!$B$3:$C$8,2,FALSE))),"")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88"/>
        <v>0</v>
      </c>
      <c r="T3902" s="98">
        <f t="shared" si="187"/>
        <v>0</v>
      </c>
      <c r="U3902" s="99" t="str">
        <f>IFERROR(IF(#REF!="S",VLOOKUP('Raw Data'!A3902,References!#REF!,2,FALSE),(VLOOKUP($S3902,References!$B$3:$C$8,2,FALSE))),"")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88"/>
        <v>0</v>
      </c>
      <c r="T3903" s="98">
        <f t="shared" si="187"/>
        <v>0</v>
      </c>
      <c r="U3903" s="99" t="str">
        <f>IFERROR(IF(#REF!="S",VLOOKUP('Raw Data'!A3903,References!#REF!,2,FALSE),(VLOOKUP($S3903,References!$B$3:$C$8,2,FALSE))),"")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88"/>
        <v>0</v>
      </c>
      <c r="T3904" s="98">
        <f t="shared" si="187"/>
        <v>0</v>
      </c>
      <c r="U3904" s="99" t="str">
        <f>IFERROR(IF(#REF!="S",VLOOKUP('Raw Data'!A3904,References!#REF!,2,FALSE),(VLOOKUP($S3904,References!$B$3:$C$8,2,FALSE))),"")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88"/>
        <v>0</v>
      </c>
      <c r="T3905" s="98">
        <f t="shared" si="187"/>
        <v>0</v>
      </c>
      <c r="U3905" s="99" t="str">
        <f>IFERROR(IF(#REF!="S",VLOOKUP('Raw Data'!A3905,References!#REF!,2,FALSE),(VLOOKUP($S3905,References!$B$3:$C$8,2,FALSE))),"")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88"/>
        <v>0</v>
      </c>
      <c r="T3906" s="98">
        <f t="shared" si="187"/>
        <v>0</v>
      </c>
      <c r="U3906" s="99" t="str">
        <f>IFERROR(IF(#REF!="S",VLOOKUP('Raw Data'!A3906,References!#REF!,2,FALSE),(VLOOKUP($S3906,References!$B$3:$C$8,2,FALSE))),"")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88"/>
        <v>0</v>
      </c>
      <c r="T3907" s="98">
        <f t="shared" si="187"/>
        <v>0</v>
      </c>
      <c r="U3907" s="99" t="str">
        <f>IFERROR(IF(#REF!="S",VLOOKUP('Raw Data'!A3907,References!#REF!,2,FALSE),(VLOOKUP($S3907,References!$B$3:$C$8,2,FALSE))),"")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88"/>
        <v>0</v>
      </c>
      <c r="T3908" s="98">
        <f t="shared" si="187"/>
        <v>0</v>
      </c>
      <c r="U3908" s="99" t="str">
        <f>IFERROR(IF(#REF!="S",VLOOKUP('Raw Data'!A3908,References!#REF!,2,FALSE),(VLOOKUP($S3908,References!$B$3:$C$8,2,FALSE))),"")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88"/>
        <v>0</v>
      </c>
      <c r="T3909" s="98">
        <f t="shared" si="187"/>
        <v>0</v>
      </c>
      <c r="U3909" s="99" t="str">
        <f>IFERROR(IF(#REF!="S",VLOOKUP('Raw Data'!A3909,References!#REF!,2,FALSE),(VLOOKUP($S3909,References!$B$3:$C$8,2,FALSE))),"")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88"/>
        <v>0</v>
      </c>
      <c r="T3910" s="98">
        <f t="shared" si="187"/>
        <v>0</v>
      </c>
      <c r="U3910" s="99" t="str">
        <f>IFERROR(IF(#REF!="S",VLOOKUP('Raw Data'!A3910,References!#REF!,2,FALSE),(VLOOKUP($S3910,References!$B$3:$C$8,2,FALSE))),"")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88"/>
        <v>0</v>
      </c>
      <c r="T3911" s="98">
        <f t="shared" si="187"/>
        <v>0</v>
      </c>
      <c r="U3911" s="99" t="str">
        <f>IFERROR(IF(#REF!="S",VLOOKUP('Raw Data'!A3911,References!#REF!,2,FALSE),(VLOOKUP($S3911,References!$B$3:$C$8,2,FALSE))),"")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88"/>
        <v>0</v>
      </c>
      <c r="T3912" s="98">
        <f t="shared" si="187"/>
        <v>0</v>
      </c>
      <c r="U3912" s="99" t="str">
        <f>IFERROR(IF(#REF!="S",VLOOKUP('Raw Data'!A3912,References!#REF!,2,FALSE),(VLOOKUP($S3912,References!$B$3:$C$8,2,FALSE))),"")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88"/>
        <v>0</v>
      </c>
      <c r="T3913" s="98">
        <f t="shared" si="187"/>
        <v>0</v>
      </c>
      <c r="U3913" s="99" t="str">
        <f>IFERROR(IF(#REF!="S",VLOOKUP('Raw Data'!A3913,References!#REF!,2,FALSE),(VLOOKUP($S3913,References!$B$3:$C$8,2,FALSE))),"")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88"/>
        <v>0</v>
      </c>
      <c r="T3914" s="98">
        <f t="shared" si="187"/>
        <v>0</v>
      </c>
      <c r="U3914" s="99" t="str">
        <f>IFERROR(IF(#REF!="S",VLOOKUP('Raw Data'!A3914,References!#REF!,2,FALSE),(VLOOKUP($S3914,References!$B$3:$C$8,2,FALSE))),"")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88"/>
        <v>0</v>
      </c>
      <c r="T3915" s="98">
        <f t="shared" si="187"/>
        <v>0</v>
      </c>
      <c r="U3915" s="99" t="str">
        <f>IFERROR(IF(#REF!="S",VLOOKUP('Raw Data'!A3915,References!#REF!,2,FALSE),(VLOOKUP($S3915,References!$B$3:$C$8,2,FALSE))),"")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88"/>
        <v>0</v>
      </c>
      <c r="T3916" s="98">
        <f t="shared" si="187"/>
        <v>0</v>
      </c>
      <c r="U3916" s="99" t="str">
        <f>IFERROR(IF(#REF!="S",VLOOKUP('Raw Data'!A3916,References!#REF!,2,FALSE),(VLOOKUP($S3916,References!$B$3:$C$8,2,FALSE))),"")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88"/>
        <v>0</v>
      </c>
      <c r="T3917" s="98">
        <f t="shared" si="187"/>
        <v>0</v>
      </c>
      <c r="U3917" s="99" t="str">
        <f>IFERROR(IF(#REF!="S",VLOOKUP('Raw Data'!A3917,References!#REF!,2,FALSE),(VLOOKUP($S3917,References!$B$3:$C$8,2,FALSE))),"")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88"/>
        <v>0</v>
      </c>
      <c r="T3918" s="98">
        <f t="shared" si="187"/>
        <v>0</v>
      </c>
      <c r="U3918" s="99" t="str">
        <f>IFERROR(IF(#REF!="S",VLOOKUP('Raw Data'!A3918,References!#REF!,2,FALSE),(VLOOKUP($S3918,References!$B$3:$C$8,2,FALSE))),"")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88"/>
        <v>0</v>
      </c>
      <c r="T3919" s="98">
        <f t="shared" si="187"/>
        <v>0</v>
      </c>
      <c r="U3919" s="99" t="str">
        <f>IFERROR(IF(#REF!="S",VLOOKUP('Raw Data'!A3919,References!#REF!,2,FALSE),(VLOOKUP($S3919,References!$B$3:$C$8,2,FALSE))),"")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88"/>
        <v>0</v>
      </c>
      <c r="T3920" s="98">
        <f t="shared" ref="T3920:T3983" si="189">IF(S3920="50 - Cleaning Fee",1,HOUR($R3920)+MINUTE(R3920)/60)</f>
        <v>0</v>
      </c>
      <c r="U3920" s="99" t="str">
        <f>IFERROR(IF(#REF!="S",VLOOKUP('Raw Data'!A3920,References!#REF!,2,FALSE),(VLOOKUP($S3920,References!$B$3:$C$8,2,FALSE))),"")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88"/>
        <v>0</v>
      </c>
      <c r="T3921" s="98">
        <f t="shared" si="189"/>
        <v>0</v>
      </c>
      <c r="U3921" s="99" t="str">
        <f>IFERROR(IF(#REF!="S",VLOOKUP('Raw Data'!A3921,References!#REF!,2,FALSE),(VLOOKUP($S3921,References!$B$3:$C$8,2,FALSE))),"")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88"/>
        <v>0</v>
      </c>
      <c r="T3922" s="98">
        <f t="shared" si="189"/>
        <v>0</v>
      </c>
      <c r="U3922" s="99" t="str">
        <f>IFERROR(IF(#REF!="S",VLOOKUP('Raw Data'!A3922,References!#REF!,2,FALSE),(VLOOKUP($S3922,References!$B$3:$C$8,2,FALSE))),"")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88"/>
        <v>0</v>
      </c>
      <c r="T3923" s="98">
        <f t="shared" si="189"/>
        <v>0</v>
      </c>
      <c r="U3923" s="99" t="str">
        <f>IFERROR(IF(#REF!="S",VLOOKUP('Raw Data'!A3923,References!#REF!,2,FALSE),(VLOOKUP($S3923,References!$B$3:$C$8,2,FALSE))),"")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88"/>
        <v>0</v>
      </c>
      <c r="T3924" s="98">
        <f t="shared" si="189"/>
        <v>0</v>
      </c>
      <c r="U3924" s="99" t="str">
        <f>IFERROR(IF(#REF!="S",VLOOKUP('Raw Data'!A3924,References!#REF!,2,FALSE),(VLOOKUP($S3924,References!$B$3:$C$8,2,FALSE))),"")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88"/>
        <v>0</v>
      </c>
      <c r="T3925" s="98">
        <f t="shared" si="189"/>
        <v>0</v>
      </c>
      <c r="U3925" s="99" t="str">
        <f>IFERROR(IF(#REF!="S",VLOOKUP('Raw Data'!A3925,References!#REF!,2,FALSE),(VLOOKUP($S3925,References!$B$3:$C$8,2,FALSE))),"")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88"/>
        <v>0</v>
      </c>
      <c r="T3926" s="98">
        <f t="shared" si="189"/>
        <v>0</v>
      </c>
      <c r="U3926" s="99" t="str">
        <f>IFERROR(IF(#REF!="S",VLOOKUP('Raw Data'!A3926,References!#REF!,2,FALSE),(VLOOKUP($S3926,References!$B$3:$C$8,2,FALSE))),"")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88"/>
        <v>0</v>
      </c>
      <c r="T3927" s="98">
        <f t="shared" si="189"/>
        <v>0</v>
      </c>
      <c r="U3927" s="99" t="str">
        <f>IFERROR(IF(#REF!="S",VLOOKUP('Raw Data'!A3927,References!#REF!,2,FALSE),(VLOOKUP($S3927,References!$B$3:$C$8,2,FALSE))),"")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88"/>
        <v>0</v>
      </c>
      <c r="T3928" s="98">
        <f t="shared" si="189"/>
        <v>0</v>
      </c>
      <c r="U3928" s="99" t="str">
        <f>IFERROR(IF(#REF!="S",VLOOKUP('Raw Data'!A3928,References!#REF!,2,FALSE),(VLOOKUP($S3928,References!$B$3:$C$8,2,FALSE))),"")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88"/>
        <v>0</v>
      </c>
      <c r="T3929" s="98">
        <f t="shared" si="189"/>
        <v>0</v>
      </c>
      <c r="U3929" s="99" t="str">
        <f>IFERROR(IF(#REF!="S",VLOOKUP('Raw Data'!A3929,References!#REF!,2,FALSE),(VLOOKUP($S3929,References!$B$3:$C$8,2,FALSE))),"")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88"/>
        <v>0</v>
      </c>
      <c r="T3930" s="98">
        <f t="shared" si="189"/>
        <v>0</v>
      </c>
      <c r="U3930" s="99" t="str">
        <f>IFERROR(IF(#REF!="S",VLOOKUP('Raw Data'!A3930,References!#REF!,2,FALSE),(VLOOKUP($S3930,References!$B$3:$C$8,2,FALSE))),"")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88"/>
        <v>0</v>
      </c>
      <c r="T3931" s="98">
        <f t="shared" si="189"/>
        <v>0</v>
      </c>
      <c r="U3931" s="99" t="str">
        <f>IFERROR(IF(#REF!="S",VLOOKUP('Raw Data'!A3931,References!#REF!,2,FALSE),(VLOOKUP($S3931,References!$B$3:$C$8,2,FALSE))),"")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88"/>
        <v>0</v>
      </c>
      <c r="T3932" s="98">
        <f t="shared" si="189"/>
        <v>0</v>
      </c>
      <c r="U3932" s="99" t="str">
        <f>IFERROR(IF(#REF!="S",VLOOKUP('Raw Data'!A3932,References!#REF!,2,FALSE),(VLOOKUP($S3932,References!$B$3:$C$8,2,FALSE))),"")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88"/>
        <v>0</v>
      </c>
      <c r="T3933" s="98">
        <f t="shared" si="189"/>
        <v>0</v>
      </c>
      <c r="U3933" s="99" t="str">
        <f>IFERROR(IF(#REF!="S",VLOOKUP('Raw Data'!A3933,References!#REF!,2,FALSE),(VLOOKUP($S3933,References!$B$3:$C$8,2,FALSE))),"")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88"/>
        <v>0</v>
      </c>
      <c r="T3934" s="98">
        <f t="shared" si="189"/>
        <v>0</v>
      </c>
      <c r="U3934" s="99" t="str">
        <f>IFERROR(IF(#REF!="S",VLOOKUP('Raw Data'!A3934,References!#REF!,2,FALSE),(VLOOKUP($S3934,References!$B$3:$C$8,2,FALSE))),"")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88"/>
        <v>0</v>
      </c>
      <c r="T3935" s="98">
        <f t="shared" si="189"/>
        <v>0</v>
      </c>
      <c r="U3935" s="99" t="str">
        <f>IFERROR(IF(#REF!="S",VLOOKUP('Raw Data'!A3935,References!#REF!,2,FALSE),(VLOOKUP($S3935,References!$B$3:$C$8,2,FALSE))),"")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88"/>
        <v>0</v>
      </c>
      <c r="T3936" s="98">
        <f t="shared" si="189"/>
        <v>0</v>
      </c>
      <c r="U3936" s="99" t="str">
        <f>IFERROR(IF(#REF!="S",VLOOKUP('Raw Data'!A3936,References!#REF!,2,FALSE),(VLOOKUP($S3936,References!$B$3:$C$8,2,FALSE))),"")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88"/>
        <v>0</v>
      </c>
      <c r="T3937" s="98">
        <f t="shared" si="189"/>
        <v>0</v>
      </c>
      <c r="U3937" s="99" t="str">
        <f>IFERROR(IF(#REF!="S",VLOOKUP('Raw Data'!A3937,References!#REF!,2,FALSE),(VLOOKUP($S3937,References!$B$3:$C$8,2,FALSE))),"")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88"/>
        <v>0</v>
      </c>
      <c r="T3938" s="98">
        <f t="shared" si="189"/>
        <v>0</v>
      </c>
      <c r="U3938" s="99" t="str">
        <f>IFERROR(IF(#REF!="S",VLOOKUP('Raw Data'!A3938,References!#REF!,2,FALSE),(VLOOKUP($S3938,References!$B$3:$C$8,2,FALSE))),"")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88"/>
        <v>0</v>
      </c>
      <c r="T3939" s="98">
        <f t="shared" si="189"/>
        <v>0</v>
      </c>
      <c r="U3939" s="99" t="str">
        <f>IFERROR(IF(#REF!="S",VLOOKUP('Raw Data'!A3939,References!#REF!,2,FALSE),(VLOOKUP($S3939,References!$B$3:$C$8,2,FALSE))),"")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88"/>
        <v>0</v>
      </c>
      <c r="T3940" s="98">
        <f t="shared" si="189"/>
        <v>0</v>
      </c>
      <c r="U3940" s="99" t="str">
        <f>IFERROR(IF(#REF!="S",VLOOKUP('Raw Data'!A3940,References!#REF!,2,FALSE),(VLOOKUP($S3940,References!$B$3:$C$8,2,FALSE))),"")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88"/>
        <v>0</v>
      </c>
      <c r="T3941" s="98">
        <f t="shared" si="189"/>
        <v>0</v>
      </c>
      <c r="U3941" s="99" t="str">
        <f>IFERROR(IF(#REF!="S",VLOOKUP('Raw Data'!A3941,References!#REF!,2,FALSE),(VLOOKUP($S3941,References!$B$3:$C$8,2,FALSE))),"")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88"/>
        <v>0</v>
      </c>
      <c r="T3942" s="98">
        <f t="shared" si="189"/>
        <v>0</v>
      </c>
      <c r="U3942" s="99" t="str">
        <f>IFERROR(IF(#REF!="S",VLOOKUP('Raw Data'!A3942,References!#REF!,2,FALSE),(VLOOKUP($S3942,References!$B$3:$C$8,2,FALSE))),"")</f>
        <v/>
      </c>
      <c r="W3942" s="66" t="str">
        <f>IFERROR(VLOOKUP($O3942,'Customer List'!$A$1:$J$488,10,FALSE),"")</f>
        <v/>
      </c>
    </row>
    <row r="3943" spans="18:23">
      <c r="R3943" s="97">
        <f t="shared" si="188"/>
        <v>0</v>
      </c>
      <c r="T3943" s="98">
        <f t="shared" si="189"/>
        <v>0</v>
      </c>
      <c r="U3943" s="99" t="str">
        <f>IFERROR(IF(#REF!="S",VLOOKUP('Raw Data'!A3943,References!#REF!,2,FALSE),(VLOOKUP($S3943,References!$B$3:$C$8,2,FALSE))),"")</f>
        <v/>
      </c>
      <c r="W3943" s="66" t="str">
        <f>IFERROR(VLOOKUP($O3943,'Customer List'!$A$1:$J$488,10,FALSE),"")</f>
        <v/>
      </c>
    </row>
    <row r="3944" spans="18:23">
      <c r="R3944" s="97">
        <f t="shared" ref="R3944:R4007" si="190">L3944-K3944</f>
        <v>0</v>
      </c>
      <c r="T3944" s="98">
        <f t="shared" si="189"/>
        <v>0</v>
      </c>
      <c r="U3944" s="99" t="str">
        <f>IFERROR(IF(#REF!="S",VLOOKUP('Raw Data'!A3944,References!#REF!,2,FALSE),(VLOOKUP($S3944,References!$B$3:$C$8,2,FALSE))),"")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0"/>
        <v>0</v>
      </c>
      <c r="T3945" s="98">
        <f t="shared" si="189"/>
        <v>0</v>
      </c>
      <c r="U3945" s="99" t="str">
        <f>IFERROR(IF(#REF!="S",VLOOKUP('Raw Data'!A3945,References!#REF!,2,FALSE),(VLOOKUP($S3945,References!$B$3:$C$8,2,FALSE))),"")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0"/>
        <v>0</v>
      </c>
      <c r="T3946" s="98">
        <f t="shared" si="189"/>
        <v>0</v>
      </c>
      <c r="U3946" s="99" t="str">
        <f>IFERROR(IF(#REF!="S",VLOOKUP('Raw Data'!A3946,References!#REF!,2,FALSE),(VLOOKUP($S3946,References!$B$3:$C$8,2,FALSE))),"")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0"/>
        <v>0</v>
      </c>
      <c r="T3947" s="98">
        <f t="shared" si="189"/>
        <v>0</v>
      </c>
      <c r="U3947" s="99" t="str">
        <f>IFERROR(IF(#REF!="S",VLOOKUP('Raw Data'!A3947,References!#REF!,2,FALSE),(VLOOKUP($S3947,References!$B$3:$C$8,2,FALSE))),"")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0"/>
        <v>0</v>
      </c>
      <c r="T3948" s="98">
        <f t="shared" si="189"/>
        <v>0</v>
      </c>
      <c r="U3948" s="99" t="str">
        <f>IFERROR(IF(#REF!="S",VLOOKUP('Raw Data'!A3948,References!#REF!,2,FALSE),(VLOOKUP($S3948,References!$B$3:$C$8,2,FALSE))),"")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0"/>
        <v>0</v>
      </c>
      <c r="T3949" s="98">
        <f t="shared" si="189"/>
        <v>0</v>
      </c>
      <c r="U3949" s="99" t="str">
        <f>IFERROR(IF(#REF!="S",VLOOKUP('Raw Data'!A3949,References!#REF!,2,FALSE),(VLOOKUP($S3949,References!$B$3:$C$8,2,FALSE))),"")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0"/>
        <v>0</v>
      </c>
      <c r="T3950" s="98">
        <f t="shared" si="189"/>
        <v>0</v>
      </c>
      <c r="U3950" s="99" t="str">
        <f>IFERROR(IF(#REF!="S",VLOOKUP('Raw Data'!A3950,References!#REF!,2,FALSE),(VLOOKUP($S3950,References!$B$3:$C$8,2,FALSE))),"")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0"/>
        <v>0</v>
      </c>
      <c r="T3951" s="98">
        <f t="shared" si="189"/>
        <v>0</v>
      </c>
      <c r="U3951" s="99" t="str">
        <f>IFERROR(IF(#REF!="S",VLOOKUP('Raw Data'!A3951,References!#REF!,2,FALSE),(VLOOKUP($S3951,References!$B$3:$C$8,2,FALSE))),"")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0"/>
        <v>0</v>
      </c>
      <c r="T3952" s="98">
        <f t="shared" si="189"/>
        <v>0</v>
      </c>
      <c r="U3952" s="99" t="str">
        <f>IFERROR(IF(#REF!="S",VLOOKUP('Raw Data'!A3952,References!#REF!,2,FALSE),(VLOOKUP($S3952,References!$B$3:$C$8,2,FALSE))),"")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0"/>
        <v>0</v>
      </c>
      <c r="T3953" s="98">
        <f t="shared" si="189"/>
        <v>0</v>
      </c>
      <c r="U3953" s="99" t="str">
        <f>IFERROR(IF(#REF!="S",VLOOKUP('Raw Data'!A3953,References!#REF!,2,FALSE),(VLOOKUP($S3953,References!$B$3:$C$8,2,FALSE))),"")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0"/>
        <v>0</v>
      </c>
      <c r="T3954" s="98">
        <f t="shared" si="189"/>
        <v>0</v>
      </c>
      <c r="U3954" s="99" t="str">
        <f>IFERROR(IF(#REF!="S",VLOOKUP('Raw Data'!A3954,References!#REF!,2,FALSE),(VLOOKUP($S3954,References!$B$3:$C$8,2,FALSE))),"")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0"/>
        <v>0</v>
      </c>
      <c r="T3955" s="98">
        <f t="shared" si="189"/>
        <v>0</v>
      </c>
      <c r="U3955" s="99" t="str">
        <f>IFERROR(IF(#REF!="S",VLOOKUP('Raw Data'!A3955,References!#REF!,2,FALSE),(VLOOKUP($S3955,References!$B$3:$C$8,2,FALSE))),"")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0"/>
        <v>0</v>
      </c>
      <c r="T3956" s="98">
        <f t="shared" si="189"/>
        <v>0</v>
      </c>
      <c r="U3956" s="99" t="str">
        <f>IFERROR(IF(#REF!="S",VLOOKUP('Raw Data'!A3956,References!#REF!,2,FALSE),(VLOOKUP($S3956,References!$B$3:$C$8,2,FALSE))),"")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0"/>
        <v>0</v>
      </c>
      <c r="T3957" s="98">
        <f t="shared" si="189"/>
        <v>0</v>
      </c>
      <c r="U3957" s="99" t="str">
        <f>IFERROR(IF(#REF!="S",VLOOKUP('Raw Data'!A3957,References!#REF!,2,FALSE),(VLOOKUP($S3957,References!$B$3:$C$8,2,FALSE))),"")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0"/>
        <v>0</v>
      </c>
      <c r="T3958" s="98">
        <f t="shared" si="189"/>
        <v>0</v>
      </c>
      <c r="U3958" s="99" t="str">
        <f>IFERROR(IF(#REF!="S",VLOOKUP('Raw Data'!A3958,References!#REF!,2,FALSE),(VLOOKUP($S3958,References!$B$3:$C$8,2,FALSE))),"")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0"/>
        <v>0</v>
      </c>
      <c r="T3959" s="98">
        <f t="shared" si="189"/>
        <v>0</v>
      </c>
      <c r="U3959" s="99" t="str">
        <f>IFERROR(IF(#REF!="S",VLOOKUP('Raw Data'!A3959,References!#REF!,2,FALSE),(VLOOKUP($S3959,References!$B$3:$C$8,2,FALSE))),"")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0"/>
        <v>0</v>
      </c>
      <c r="T3960" s="98">
        <f t="shared" si="189"/>
        <v>0</v>
      </c>
      <c r="U3960" s="99" t="str">
        <f>IFERROR(IF(#REF!="S",VLOOKUP('Raw Data'!A3960,References!#REF!,2,FALSE),(VLOOKUP($S3960,References!$B$3:$C$8,2,FALSE))),"")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0"/>
        <v>0</v>
      </c>
      <c r="T3961" s="98">
        <f t="shared" si="189"/>
        <v>0</v>
      </c>
      <c r="U3961" s="99" t="str">
        <f>IFERROR(IF(#REF!="S",VLOOKUP('Raw Data'!A3961,References!#REF!,2,FALSE),(VLOOKUP($S3961,References!$B$3:$C$8,2,FALSE))),"")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0"/>
        <v>0</v>
      </c>
      <c r="T3962" s="98">
        <f t="shared" si="189"/>
        <v>0</v>
      </c>
      <c r="U3962" s="99" t="str">
        <f>IFERROR(IF(#REF!="S",VLOOKUP('Raw Data'!A3962,References!#REF!,2,FALSE),(VLOOKUP($S3962,References!$B$3:$C$8,2,FALSE))),"")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0"/>
        <v>0</v>
      </c>
      <c r="T3963" s="98">
        <f t="shared" si="189"/>
        <v>0</v>
      </c>
      <c r="U3963" s="99" t="str">
        <f>IFERROR(IF(#REF!="S",VLOOKUP('Raw Data'!A3963,References!#REF!,2,FALSE),(VLOOKUP($S3963,References!$B$3:$C$8,2,FALSE))),"")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0"/>
        <v>0</v>
      </c>
      <c r="T3964" s="98">
        <f t="shared" si="189"/>
        <v>0</v>
      </c>
      <c r="U3964" s="99" t="str">
        <f>IFERROR(IF(#REF!="S",VLOOKUP('Raw Data'!A3964,References!#REF!,2,FALSE),(VLOOKUP($S3964,References!$B$3:$C$8,2,FALSE))),"")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0"/>
        <v>0</v>
      </c>
      <c r="T3965" s="98">
        <f t="shared" si="189"/>
        <v>0</v>
      </c>
      <c r="U3965" s="99" t="str">
        <f>IFERROR(IF(#REF!="S",VLOOKUP('Raw Data'!A3965,References!#REF!,2,FALSE),(VLOOKUP($S3965,References!$B$3:$C$8,2,FALSE))),"")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0"/>
        <v>0</v>
      </c>
      <c r="T3966" s="98">
        <f t="shared" si="189"/>
        <v>0</v>
      </c>
      <c r="U3966" s="99" t="str">
        <f>IFERROR(IF(#REF!="S",VLOOKUP('Raw Data'!A3966,References!#REF!,2,FALSE),(VLOOKUP($S3966,References!$B$3:$C$8,2,FALSE))),"")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0"/>
        <v>0</v>
      </c>
      <c r="T3967" s="98">
        <f t="shared" si="189"/>
        <v>0</v>
      </c>
      <c r="U3967" s="99" t="str">
        <f>IFERROR(IF(#REF!="S",VLOOKUP('Raw Data'!A3967,References!#REF!,2,FALSE),(VLOOKUP($S3967,References!$B$3:$C$8,2,FALSE))),"")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0"/>
        <v>0</v>
      </c>
      <c r="T3968" s="98">
        <f t="shared" si="189"/>
        <v>0</v>
      </c>
      <c r="U3968" s="99" t="str">
        <f>IFERROR(IF(#REF!="S",VLOOKUP('Raw Data'!A3968,References!#REF!,2,FALSE),(VLOOKUP($S3968,References!$B$3:$C$8,2,FALSE))),"")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0"/>
        <v>0</v>
      </c>
      <c r="T3969" s="98">
        <f t="shared" si="189"/>
        <v>0</v>
      </c>
      <c r="U3969" s="99" t="str">
        <f>IFERROR(IF(#REF!="S",VLOOKUP('Raw Data'!A3969,References!#REF!,2,FALSE),(VLOOKUP($S3969,References!$B$3:$C$8,2,FALSE))),"")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0"/>
        <v>0</v>
      </c>
      <c r="T3970" s="98">
        <f t="shared" si="189"/>
        <v>0</v>
      </c>
      <c r="U3970" s="99" t="str">
        <f>IFERROR(IF(#REF!="S",VLOOKUP('Raw Data'!A3970,References!#REF!,2,FALSE),(VLOOKUP($S3970,References!$B$3:$C$8,2,FALSE))),"")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0"/>
        <v>0</v>
      </c>
      <c r="T3971" s="98">
        <f t="shared" si="189"/>
        <v>0</v>
      </c>
      <c r="U3971" s="99" t="str">
        <f>IFERROR(IF(#REF!="S",VLOOKUP('Raw Data'!A3971,References!#REF!,2,FALSE),(VLOOKUP($S3971,References!$B$3:$C$8,2,FALSE))),"")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0"/>
        <v>0</v>
      </c>
      <c r="T3972" s="98">
        <f t="shared" si="189"/>
        <v>0</v>
      </c>
      <c r="U3972" s="99" t="str">
        <f>IFERROR(IF(#REF!="S",VLOOKUP('Raw Data'!A3972,References!#REF!,2,FALSE),(VLOOKUP($S3972,References!$B$3:$C$8,2,FALSE))),"")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0"/>
        <v>0</v>
      </c>
      <c r="T3973" s="98">
        <f t="shared" si="189"/>
        <v>0</v>
      </c>
      <c r="U3973" s="99" t="str">
        <f>IFERROR(IF(#REF!="S",VLOOKUP('Raw Data'!A3973,References!#REF!,2,FALSE),(VLOOKUP($S3973,References!$B$3:$C$8,2,FALSE))),"")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0"/>
        <v>0</v>
      </c>
      <c r="T3974" s="98">
        <f t="shared" si="189"/>
        <v>0</v>
      </c>
      <c r="U3974" s="99" t="str">
        <f>IFERROR(IF(#REF!="S",VLOOKUP('Raw Data'!A3974,References!#REF!,2,FALSE),(VLOOKUP($S3974,References!$B$3:$C$8,2,FALSE))),"")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0"/>
        <v>0</v>
      </c>
      <c r="T3975" s="98">
        <f t="shared" si="189"/>
        <v>0</v>
      </c>
      <c r="U3975" s="99" t="str">
        <f>IFERROR(IF(#REF!="S",VLOOKUP('Raw Data'!A3975,References!#REF!,2,FALSE),(VLOOKUP($S3975,References!$B$3:$C$8,2,FALSE))),"")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0"/>
        <v>0</v>
      </c>
      <c r="T3976" s="98">
        <f t="shared" si="189"/>
        <v>0</v>
      </c>
      <c r="U3976" s="99" t="str">
        <f>IFERROR(IF(#REF!="S",VLOOKUP('Raw Data'!A3976,References!#REF!,2,FALSE),(VLOOKUP($S3976,References!$B$3:$C$8,2,FALSE))),"")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0"/>
        <v>0</v>
      </c>
      <c r="T3977" s="98">
        <f t="shared" si="189"/>
        <v>0</v>
      </c>
      <c r="U3977" s="99" t="str">
        <f>IFERROR(IF(#REF!="S",VLOOKUP('Raw Data'!A3977,References!#REF!,2,FALSE),(VLOOKUP($S3977,References!$B$3:$C$8,2,FALSE))),"")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0"/>
        <v>0</v>
      </c>
      <c r="T3978" s="98">
        <f t="shared" si="189"/>
        <v>0</v>
      </c>
      <c r="U3978" s="99" t="str">
        <f>IFERROR(IF(#REF!="S",VLOOKUP('Raw Data'!A3978,References!#REF!,2,FALSE),(VLOOKUP($S3978,References!$B$3:$C$8,2,FALSE))),"")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0"/>
        <v>0</v>
      </c>
      <c r="T3979" s="98">
        <f t="shared" si="189"/>
        <v>0</v>
      </c>
      <c r="U3979" s="99" t="str">
        <f>IFERROR(IF(#REF!="S",VLOOKUP('Raw Data'!A3979,References!#REF!,2,FALSE),(VLOOKUP($S3979,References!$B$3:$C$8,2,FALSE))),"")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0"/>
        <v>0</v>
      </c>
      <c r="T3980" s="98">
        <f t="shared" si="189"/>
        <v>0</v>
      </c>
      <c r="U3980" s="99" t="str">
        <f>IFERROR(IF(#REF!="S",VLOOKUP('Raw Data'!A3980,References!#REF!,2,FALSE),(VLOOKUP($S3980,References!$B$3:$C$8,2,FALSE))),"")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0"/>
        <v>0</v>
      </c>
      <c r="T3981" s="98">
        <f t="shared" si="189"/>
        <v>0</v>
      </c>
      <c r="U3981" s="99" t="str">
        <f>IFERROR(IF(#REF!="S",VLOOKUP('Raw Data'!A3981,References!#REF!,2,FALSE),(VLOOKUP($S3981,References!$B$3:$C$8,2,FALSE))),"")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0"/>
        <v>0</v>
      </c>
      <c r="T3982" s="98">
        <f t="shared" si="189"/>
        <v>0</v>
      </c>
      <c r="U3982" s="99" t="str">
        <f>IFERROR(IF(#REF!="S",VLOOKUP('Raw Data'!A3982,References!#REF!,2,FALSE),(VLOOKUP($S3982,References!$B$3:$C$8,2,FALSE))),"")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0"/>
        <v>0</v>
      </c>
      <c r="T3983" s="98">
        <f t="shared" si="189"/>
        <v>0</v>
      </c>
      <c r="U3983" s="99" t="str">
        <f>IFERROR(IF(#REF!="S",VLOOKUP('Raw Data'!A3983,References!#REF!,2,FALSE),(VLOOKUP($S3983,References!$B$3:$C$8,2,FALSE))),"")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0"/>
        <v>0</v>
      </c>
      <c r="T3984" s="98">
        <f t="shared" ref="T3984:T4047" si="191">IF(S3984="50 - Cleaning Fee",1,HOUR($R3984)+MINUTE(R3984)/60)</f>
        <v>0</v>
      </c>
      <c r="U3984" s="99" t="str">
        <f>IFERROR(IF(#REF!="S",VLOOKUP('Raw Data'!A3984,References!#REF!,2,FALSE),(VLOOKUP($S3984,References!$B$3:$C$8,2,FALSE))),"")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0"/>
        <v>0</v>
      </c>
      <c r="T3985" s="98">
        <f t="shared" si="191"/>
        <v>0</v>
      </c>
      <c r="U3985" s="99" t="str">
        <f>IFERROR(IF(#REF!="S",VLOOKUP('Raw Data'!A3985,References!#REF!,2,FALSE),(VLOOKUP($S3985,References!$B$3:$C$8,2,FALSE))),"")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0"/>
        <v>0</v>
      </c>
      <c r="T3986" s="98">
        <f t="shared" si="191"/>
        <v>0</v>
      </c>
      <c r="U3986" s="99" t="str">
        <f>IFERROR(IF(#REF!="S",VLOOKUP('Raw Data'!A3986,References!#REF!,2,FALSE),(VLOOKUP($S3986,References!$B$3:$C$8,2,FALSE))),"")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0"/>
        <v>0</v>
      </c>
      <c r="T3987" s="98">
        <f t="shared" si="191"/>
        <v>0</v>
      </c>
      <c r="U3987" s="99" t="str">
        <f>IFERROR(IF(#REF!="S",VLOOKUP('Raw Data'!A3987,References!#REF!,2,FALSE),(VLOOKUP($S3987,References!$B$3:$C$8,2,FALSE))),"")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0"/>
        <v>0</v>
      </c>
      <c r="T3988" s="98">
        <f t="shared" si="191"/>
        <v>0</v>
      </c>
      <c r="U3988" s="99" t="str">
        <f>IFERROR(IF(#REF!="S",VLOOKUP('Raw Data'!A3988,References!#REF!,2,FALSE),(VLOOKUP($S3988,References!$B$3:$C$8,2,FALSE))),"")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0"/>
        <v>0</v>
      </c>
      <c r="T3989" s="98">
        <f t="shared" si="191"/>
        <v>0</v>
      </c>
      <c r="U3989" s="99" t="str">
        <f>IFERROR(IF(#REF!="S",VLOOKUP('Raw Data'!A3989,References!#REF!,2,FALSE),(VLOOKUP($S3989,References!$B$3:$C$8,2,FALSE))),"")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0"/>
        <v>0</v>
      </c>
      <c r="T3990" s="98">
        <f t="shared" si="191"/>
        <v>0</v>
      </c>
      <c r="U3990" s="99" t="str">
        <f>IFERROR(IF(#REF!="S",VLOOKUP('Raw Data'!A3990,References!#REF!,2,FALSE),(VLOOKUP($S3990,References!$B$3:$C$8,2,FALSE))),"")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0"/>
        <v>0</v>
      </c>
      <c r="T3991" s="98">
        <f t="shared" si="191"/>
        <v>0</v>
      </c>
      <c r="U3991" s="99" t="str">
        <f>IFERROR(IF(#REF!="S",VLOOKUP('Raw Data'!A3991,References!#REF!,2,FALSE),(VLOOKUP($S3991,References!$B$3:$C$8,2,FALSE))),"")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0"/>
        <v>0</v>
      </c>
      <c r="T3992" s="98">
        <f t="shared" si="191"/>
        <v>0</v>
      </c>
      <c r="U3992" s="99" t="str">
        <f>IFERROR(IF(#REF!="S",VLOOKUP('Raw Data'!A3992,References!#REF!,2,FALSE),(VLOOKUP($S3992,References!$B$3:$C$8,2,FALSE))),"")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0"/>
        <v>0</v>
      </c>
      <c r="T3993" s="98">
        <f t="shared" si="191"/>
        <v>0</v>
      </c>
      <c r="U3993" s="99" t="str">
        <f>IFERROR(IF(#REF!="S",VLOOKUP('Raw Data'!A3993,References!#REF!,2,FALSE),(VLOOKUP($S3993,References!$B$3:$C$8,2,FALSE))),"")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0"/>
        <v>0</v>
      </c>
      <c r="T3994" s="98">
        <f t="shared" si="191"/>
        <v>0</v>
      </c>
      <c r="U3994" s="99" t="str">
        <f>IFERROR(IF(#REF!="S",VLOOKUP('Raw Data'!A3994,References!#REF!,2,FALSE),(VLOOKUP($S3994,References!$B$3:$C$8,2,FALSE))),"")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0"/>
        <v>0</v>
      </c>
      <c r="T3995" s="98">
        <f t="shared" si="191"/>
        <v>0</v>
      </c>
      <c r="U3995" s="99" t="str">
        <f>IFERROR(IF(#REF!="S",VLOOKUP('Raw Data'!A3995,References!#REF!,2,FALSE),(VLOOKUP($S3995,References!$B$3:$C$8,2,FALSE))),"")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0"/>
        <v>0</v>
      </c>
      <c r="T3996" s="98">
        <f t="shared" si="191"/>
        <v>0</v>
      </c>
      <c r="U3996" s="99" t="str">
        <f>IFERROR(IF(#REF!="S",VLOOKUP('Raw Data'!A3996,References!#REF!,2,FALSE),(VLOOKUP($S3996,References!$B$3:$C$8,2,FALSE))),"")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0"/>
        <v>0</v>
      </c>
      <c r="T3997" s="98">
        <f t="shared" si="191"/>
        <v>0</v>
      </c>
      <c r="U3997" s="99" t="str">
        <f>IFERROR(IF(#REF!="S",VLOOKUP('Raw Data'!A3997,References!#REF!,2,FALSE),(VLOOKUP($S3997,References!$B$3:$C$8,2,FALSE))),"")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0"/>
        <v>0</v>
      </c>
      <c r="T3998" s="98">
        <f t="shared" si="191"/>
        <v>0</v>
      </c>
      <c r="U3998" s="99" t="str">
        <f>IFERROR(IF(#REF!="S",VLOOKUP('Raw Data'!A3998,References!#REF!,2,FALSE),(VLOOKUP($S3998,References!$B$3:$C$8,2,FALSE))),"")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0"/>
        <v>0</v>
      </c>
      <c r="T3999" s="98">
        <f t="shared" si="191"/>
        <v>0</v>
      </c>
      <c r="U3999" s="99" t="str">
        <f>IFERROR(IF(#REF!="S",VLOOKUP('Raw Data'!A3999,References!#REF!,2,FALSE),(VLOOKUP($S3999,References!$B$3:$C$8,2,FALSE))),"")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0"/>
        <v>0</v>
      </c>
      <c r="T4000" s="98">
        <f t="shared" si="191"/>
        <v>0</v>
      </c>
      <c r="U4000" s="99" t="str">
        <f>IFERROR(IF(#REF!="S",VLOOKUP('Raw Data'!A4000,References!#REF!,2,FALSE),(VLOOKUP($S4000,References!$B$3:$C$8,2,FALSE))),"")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0"/>
        <v>0</v>
      </c>
      <c r="T4001" s="98">
        <f t="shared" si="191"/>
        <v>0</v>
      </c>
      <c r="U4001" s="99" t="str">
        <f>IFERROR(IF(#REF!="S",VLOOKUP('Raw Data'!A4001,References!#REF!,2,FALSE),(VLOOKUP($S4001,References!$B$3:$C$8,2,FALSE))),"")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0"/>
        <v>0</v>
      </c>
      <c r="T4002" s="98">
        <f t="shared" si="191"/>
        <v>0</v>
      </c>
      <c r="U4002" s="99" t="str">
        <f>IFERROR(IF(#REF!="S",VLOOKUP('Raw Data'!A4002,References!#REF!,2,FALSE),(VLOOKUP($S4002,References!$B$3:$C$8,2,FALSE))),"")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0"/>
        <v>0</v>
      </c>
      <c r="T4003" s="98">
        <f t="shared" si="191"/>
        <v>0</v>
      </c>
      <c r="U4003" s="99" t="str">
        <f>IFERROR(IF(#REF!="S",VLOOKUP('Raw Data'!A4003,References!#REF!,2,FALSE),(VLOOKUP($S4003,References!$B$3:$C$8,2,FALSE))),"")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0"/>
        <v>0</v>
      </c>
      <c r="T4004" s="98">
        <f t="shared" si="191"/>
        <v>0</v>
      </c>
      <c r="U4004" s="99" t="str">
        <f>IFERROR(IF(#REF!="S",VLOOKUP('Raw Data'!A4004,References!#REF!,2,FALSE),(VLOOKUP($S4004,References!$B$3:$C$8,2,FALSE))),"")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0"/>
        <v>0</v>
      </c>
      <c r="T4005" s="98">
        <f t="shared" si="191"/>
        <v>0</v>
      </c>
      <c r="U4005" s="99" t="str">
        <f>IFERROR(IF(#REF!="S",VLOOKUP('Raw Data'!A4005,References!#REF!,2,FALSE),(VLOOKUP($S4005,References!$B$3:$C$8,2,FALSE))),"")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0"/>
        <v>0</v>
      </c>
      <c r="T4006" s="98">
        <f t="shared" si="191"/>
        <v>0</v>
      </c>
      <c r="U4006" s="99" t="str">
        <f>IFERROR(IF(#REF!="S",VLOOKUP('Raw Data'!A4006,References!#REF!,2,FALSE),(VLOOKUP($S4006,References!$B$3:$C$8,2,FALSE))),"")</f>
        <v/>
      </c>
      <c r="W4006" s="66" t="str">
        <f>IFERROR(VLOOKUP($O4006,'Customer List'!$A$1:$J$488,10,FALSE),"")</f>
        <v/>
      </c>
    </row>
    <row r="4007" spans="18:23">
      <c r="R4007" s="97">
        <f t="shared" si="190"/>
        <v>0</v>
      </c>
      <c r="T4007" s="98">
        <f t="shared" si="191"/>
        <v>0</v>
      </c>
      <c r="U4007" s="99" t="str">
        <f>IFERROR(IF(#REF!="S",VLOOKUP('Raw Data'!A4007,References!#REF!,2,FALSE),(VLOOKUP($S4007,References!$B$3:$C$8,2,FALSE))),"")</f>
        <v/>
      </c>
      <c r="W4007" s="66" t="str">
        <f>IFERROR(VLOOKUP($O4007,'Customer List'!$A$1:$J$488,10,FALSE),"")</f>
        <v/>
      </c>
    </row>
    <row r="4008" spans="18:23">
      <c r="R4008" s="97">
        <f t="shared" ref="R4008:R4071" si="192">L4008-K4008</f>
        <v>0</v>
      </c>
      <c r="T4008" s="98">
        <f t="shared" si="191"/>
        <v>0</v>
      </c>
      <c r="U4008" s="99" t="str">
        <f>IFERROR(IF(#REF!="S",VLOOKUP('Raw Data'!A4008,References!#REF!,2,FALSE),(VLOOKUP($S4008,References!$B$3:$C$8,2,FALSE))),"")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2"/>
        <v>0</v>
      </c>
      <c r="T4009" s="98">
        <f t="shared" si="191"/>
        <v>0</v>
      </c>
      <c r="U4009" s="99" t="str">
        <f>IFERROR(IF(#REF!="S",VLOOKUP('Raw Data'!A4009,References!#REF!,2,FALSE),(VLOOKUP($S4009,References!$B$3:$C$8,2,FALSE))),"")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2"/>
        <v>0</v>
      </c>
      <c r="T4010" s="98">
        <f t="shared" si="191"/>
        <v>0</v>
      </c>
      <c r="U4010" s="99" t="str">
        <f>IFERROR(IF(#REF!="S",VLOOKUP('Raw Data'!A4010,References!#REF!,2,FALSE),(VLOOKUP($S4010,References!$B$3:$C$8,2,FALSE))),"")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2"/>
        <v>0</v>
      </c>
      <c r="T4011" s="98">
        <f t="shared" si="191"/>
        <v>0</v>
      </c>
      <c r="U4011" s="99" t="str">
        <f>IFERROR(IF(#REF!="S",VLOOKUP('Raw Data'!A4011,References!#REF!,2,FALSE),(VLOOKUP($S4011,References!$B$3:$C$8,2,FALSE))),"")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2"/>
        <v>0</v>
      </c>
      <c r="T4012" s="98">
        <f t="shared" si="191"/>
        <v>0</v>
      </c>
      <c r="U4012" s="99" t="str">
        <f>IFERROR(IF(#REF!="S",VLOOKUP('Raw Data'!A4012,References!#REF!,2,FALSE),(VLOOKUP($S4012,References!$B$3:$C$8,2,FALSE))),"")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2"/>
        <v>0</v>
      </c>
      <c r="T4013" s="98">
        <f t="shared" si="191"/>
        <v>0</v>
      </c>
      <c r="U4013" s="99" t="str">
        <f>IFERROR(IF(#REF!="S",VLOOKUP('Raw Data'!A4013,References!#REF!,2,FALSE),(VLOOKUP($S4013,References!$B$3:$C$8,2,FALSE))),"")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2"/>
        <v>0</v>
      </c>
      <c r="T4014" s="98">
        <f t="shared" si="191"/>
        <v>0</v>
      </c>
      <c r="U4014" s="99" t="str">
        <f>IFERROR(IF(#REF!="S",VLOOKUP('Raw Data'!A4014,References!#REF!,2,FALSE),(VLOOKUP($S4014,References!$B$3:$C$8,2,FALSE))),"")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2"/>
        <v>0</v>
      </c>
      <c r="T4015" s="98">
        <f t="shared" si="191"/>
        <v>0</v>
      </c>
      <c r="U4015" s="99" t="str">
        <f>IFERROR(IF(#REF!="S",VLOOKUP('Raw Data'!A4015,References!#REF!,2,FALSE),(VLOOKUP($S4015,References!$B$3:$C$8,2,FALSE))),"")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2"/>
        <v>0</v>
      </c>
      <c r="T4016" s="98">
        <f t="shared" si="191"/>
        <v>0</v>
      </c>
      <c r="U4016" s="99" t="str">
        <f>IFERROR(IF(#REF!="S",VLOOKUP('Raw Data'!A4016,References!#REF!,2,FALSE),(VLOOKUP($S4016,References!$B$3:$C$8,2,FALSE))),"")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2"/>
        <v>0</v>
      </c>
      <c r="T4017" s="98">
        <f t="shared" si="191"/>
        <v>0</v>
      </c>
      <c r="U4017" s="99" t="str">
        <f>IFERROR(IF(#REF!="S",VLOOKUP('Raw Data'!A4017,References!#REF!,2,FALSE),(VLOOKUP($S4017,References!$B$3:$C$8,2,FALSE))),"")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2"/>
        <v>0</v>
      </c>
      <c r="T4018" s="98">
        <f t="shared" si="191"/>
        <v>0</v>
      </c>
      <c r="U4018" s="99" t="str">
        <f>IFERROR(IF(#REF!="S",VLOOKUP('Raw Data'!A4018,References!#REF!,2,FALSE),(VLOOKUP($S4018,References!$B$3:$C$8,2,FALSE))),"")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2"/>
        <v>0</v>
      </c>
      <c r="T4019" s="98">
        <f t="shared" si="191"/>
        <v>0</v>
      </c>
      <c r="U4019" s="99" t="str">
        <f>IFERROR(IF(#REF!="S",VLOOKUP('Raw Data'!A4019,References!#REF!,2,FALSE),(VLOOKUP($S4019,References!$B$3:$C$8,2,FALSE))),"")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2"/>
        <v>0</v>
      </c>
      <c r="T4020" s="98">
        <f t="shared" si="191"/>
        <v>0</v>
      </c>
      <c r="U4020" s="99" t="str">
        <f>IFERROR(IF(#REF!="S",VLOOKUP('Raw Data'!A4020,References!#REF!,2,FALSE),(VLOOKUP($S4020,References!$B$3:$C$8,2,FALSE))),"")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2"/>
        <v>0</v>
      </c>
      <c r="T4021" s="98">
        <f t="shared" si="191"/>
        <v>0</v>
      </c>
      <c r="U4021" s="99" t="str">
        <f>IFERROR(IF(#REF!="S",VLOOKUP('Raw Data'!A4021,References!#REF!,2,FALSE),(VLOOKUP($S4021,References!$B$3:$C$8,2,FALSE))),"")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2"/>
        <v>0</v>
      </c>
      <c r="T4022" s="98">
        <f t="shared" si="191"/>
        <v>0</v>
      </c>
      <c r="U4022" s="99" t="str">
        <f>IFERROR(IF(#REF!="S",VLOOKUP('Raw Data'!A4022,References!#REF!,2,FALSE),(VLOOKUP($S4022,References!$B$3:$C$8,2,FALSE))),"")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2"/>
        <v>0</v>
      </c>
      <c r="T4023" s="98">
        <f t="shared" si="191"/>
        <v>0</v>
      </c>
      <c r="U4023" s="99" t="str">
        <f>IFERROR(IF(#REF!="S",VLOOKUP('Raw Data'!A4023,References!#REF!,2,FALSE),(VLOOKUP($S4023,References!$B$3:$C$8,2,FALSE))),"")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2"/>
        <v>0</v>
      </c>
      <c r="T4024" s="98">
        <f t="shared" si="191"/>
        <v>0</v>
      </c>
      <c r="U4024" s="99" t="str">
        <f>IFERROR(IF(#REF!="S",VLOOKUP('Raw Data'!A4024,References!#REF!,2,FALSE),(VLOOKUP($S4024,References!$B$3:$C$8,2,FALSE))),"")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2"/>
        <v>0</v>
      </c>
      <c r="T4025" s="98">
        <f t="shared" si="191"/>
        <v>0</v>
      </c>
      <c r="U4025" s="99" t="str">
        <f>IFERROR(IF(#REF!="S",VLOOKUP('Raw Data'!A4025,References!#REF!,2,FALSE),(VLOOKUP($S4025,References!$B$3:$C$8,2,FALSE))),"")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2"/>
        <v>0</v>
      </c>
      <c r="T4026" s="98">
        <f t="shared" si="191"/>
        <v>0</v>
      </c>
      <c r="U4026" s="99" t="str">
        <f>IFERROR(IF(#REF!="S",VLOOKUP('Raw Data'!A4026,References!#REF!,2,FALSE),(VLOOKUP($S4026,References!$B$3:$C$8,2,FALSE))),"")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2"/>
        <v>0</v>
      </c>
      <c r="T4027" s="98">
        <f t="shared" si="191"/>
        <v>0</v>
      </c>
      <c r="U4027" s="99" t="str">
        <f>IFERROR(IF(#REF!="S",VLOOKUP('Raw Data'!A4027,References!#REF!,2,FALSE),(VLOOKUP($S4027,References!$B$3:$C$8,2,FALSE))),"")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2"/>
        <v>0</v>
      </c>
      <c r="T4028" s="98">
        <f t="shared" si="191"/>
        <v>0</v>
      </c>
      <c r="U4028" s="99" t="str">
        <f>IFERROR(IF(#REF!="S",VLOOKUP('Raw Data'!A4028,References!#REF!,2,FALSE),(VLOOKUP($S4028,References!$B$3:$C$8,2,FALSE))),"")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2"/>
        <v>0</v>
      </c>
      <c r="T4029" s="98">
        <f t="shared" si="191"/>
        <v>0</v>
      </c>
      <c r="U4029" s="99" t="str">
        <f>IFERROR(IF(#REF!="S",VLOOKUP('Raw Data'!A4029,References!#REF!,2,FALSE),(VLOOKUP($S4029,References!$B$3:$C$8,2,FALSE))),"")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2"/>
        <v>0</v>
      </c>
      <c r="T4030" s="98">
        <f t="shared" si="191"/>
        <v>0</v>
      </c>
      <c r="U4030" s="99" t="str">
        <f>IFERROR(IF(#REF!="S",VLOOKUP('Raw Data'!A4030,References!#REF!,2,FALSE),(VLOOKUP($S4030,References!$B$3:$C$8,2,FALSE))),"")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2"/>
        <v>0</v>
      </c>
      <c r="T4031" s="98">
        <f t="shared" si="191"/>
        <v>0</v>
      </c>
      <c r="U4031" s="99" t="str">
        <f>IFERROR(IF(#REF!="S",VLOOKUP('Raw Data'!A4031,References!#REF!,2,FALSE),(VLOOKUP($S4031,References!$B$3:$C$8,2,FALSE))),"")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2"/>
        <v>0</v>
      </c>
      <c r="T4032" s="98">
        <f t="shared" si="191"/>
        <v>0</v>
      </c>
      <c r="U4032" s="99" t="str">
        <f>IFERROR(IF(#REF!="S",VLOOKUP('Raw Data'!A4032,References!#REF!,2,FALSE),(VLOOKUP($S4032,References!$B$3:$C$8,2,FALSE))),"")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2"/>
        <v>0</v>
      </c>
      <c r="T4033" s="98">
        <f t="shared" si="191"/>
        <v>0</v>
      </c>
      <c r="U4033" s="99" t="str">
        <f>IFERROR(IF(#REF!="S",VLOOKUP('Raw Data'!A4033,References!#REF!,2,FALSE),(VLOOKUP($S4033,References!$B$3:$C$8,2,FALSE))),"")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2"/>
        <v>0</v>
      </c>
      <c r="T4034" s="98">
        <f t="shared" si="191"/>
        <v>0</v>
      </c>
      <c r="U4034" s="99" t="str">
        <f>IFERROR(IF(#REF!="S",VLOOKUP('Raw Data'!A4034,References!#REF!,2,FALSE),(VLOOKUP($S4034,References!$B$3:$C$8,2,FALSE))),"")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2"/>
        <v>0</v>
      </c>
      <c r="T4035" s="98">
        <f t="shared" si="191"/>
        <v>0</v>
      </c>
      <c r="U4035" s="99" t="str">
        <f>IFERROR(IF(#REF!="S",VLOOKUP('Raw Data'!A4035,References!#REF!,2,FALSE),(VLOOKUP($S4035,References!$B$3:$C$8,2,FALSE))),"")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2"/>
        <v>0</v>
      </c>
      <c r="T4036" s="98">
        <f t="shared" si="191"/>
        <v>0</v>
      </c>
      <c r="U4036" s="99" t="str">
        <f>IFERROR(IF(#REF!="S",VLOOKUP('Raw Data'!A4036,References!#REF!,2,FALSE),(VLOOKUP($S4036,References!$B$3:$C$8,2,FALSE))),"")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2"/>
        <v>0</v>
      </c>
      <c r="T4037" s="98">
        <f t="shared" si="191"/>
        <v>0</v>
      </c>
      <c r="U4037" s="99" t="str">
        <f>IFERROR(IF(#REF!="S",VLOOKUP('Raw Data'!A4037,References!#REF!,2,FALSE),(VLOOKUP($S4037,References!$B$3:$C$8,2,FALSE))),"")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2"/>
        <v>0</v>
      </c>
      <c r="T4038" s="98">
        <f t="shared" si="191"/>
        <v>0</v>
      </c>
      <c r="U4038" s="99" t="str">
        <f>IFERROR(IF(#REF!="S",VLOOKUP('Raw Data'!A4038,References!#REF!,2,FALSE),(VLOOKUP($S4038,References!$B$3:$C$8,2,FALSE))),"")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2"/>
        <v>0</v>
      </c>
      <c r="T4039" s="98">
        <f t="shared" si="191"/>
        <v>0</v>
      </c>
      <c r="U4039" s="99" t="str">
        <f>IFERROR(IF(#REF!="S",VLOOKUP('Raw Data'!A4039,References!#REF!,2,FALSE),(VLOOKUP($S4039,References!$B$3:$C$8,2,FALSE))),"")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2"/>
        <v>0</v>
      </c>
      <c r="T4040" s="98">
        <f t="shared" si="191"/>
        <v>0</v>
      </c>
      <c r="U4040" s="99" t="str">
        <f>IFERROR(IF(#REF!="S",VLOOKUP('Raw Data'!A4040,References!#REF!,2,FALSE),(VLOOKUP($S4040,References!$B$3:$C$8,2,FALSE))),"")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2"/>
        <v>0</v>
      </c>
      <c r="T4041" s="98">
        <f t="shared" si="191"/>
        <v>0</v>
      </c>
      <c r="U4041" s="99" t="str">
        <f>IFERROR(IF(#REF!="S",VLOOKUP('Raw Data'!A4041,References!#REF!,2,FALSE),(VLOOKUP($S4041,References!$B$3:$C$8,2,FALSE))),"")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2"/>
        <v>0</v>
      </c>
      <c r="T4042" s="98">
        <f t="shared" si="191"/>
        <v>0</v>
      </c>
      <c r="U4042" s="99" t="str">
        <f>IFERROR(IF(#REF!="S",VLOOKUP('Raw Data'!A4042,References!#REF!,2,FALSE),(VLOOKUP($S4042,References!$B$3:$C$8,2,FALSE))),"")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2"/>
        <v>0</v>
      </c>
      <c r="T4043" s="98">
        <f t="shared" si="191"/>
        <v>0</v>
      </c>
      <c r="U4043" s="99" t="str">
        <f>IFERROR(IF(#REF!="S",VLOOKUP('Raw Data'!A4043,References!#REF!,2,FALSE),(VLOOKUP($S4043,References!$B$3:$C$8,2,FALSE))),"")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2"/>
        <v>0</v>
      </c>
      <c r="T4044" s="98">
        <f t="shared" si="191"/>
        <v>0</v>
      </c>
      <c r="U4044" s="99" t="str">
        <f>IFERROR(IF(#REF!="S",VLOOKUP('Raw Data'!A4044,References!#REF!,2,FALSE),(VLOOKUP($S4044,References!$B$3:$C$8,2,FALSE))),"")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2"/>
        <v>0</v>
      </c>
      <c r="T4045" s="98">
        <f t="shared" si="191"/>
        <v>0</v>
      </c>
      <c r="U4045" s="99" t="str">
        <f>IFERROR(IF(#REF!="S",VLOOKUP('Raw Data'!A4045,References!#REF!,2,FALSE),(VLOOKUP($S4045,References!$B$3:$C$8,2,FALSE))),"")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2"/>
        <v>0</v>
      </c>
      <c r="T4046" s="98">
        <f t="shared" si="191"/>
        <v>0</v>
      </c>
      <c r="U4046" s="99" t="str">
        <f>IFERROR(IF(#REF!="S",VLOOKUP('Raw Data'!A4046,References!#REF!,2,FALSE),(VLOOKUP($S4046,References!$B$3:$C$8,2,FALSE))),"")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2"/>
        <v>0</v>
      </c>
      <c r="T4047" s="98">
        <f t="shared" si="191"/>
        <v>0</v>
      </c>
      <c r="U4047" s="99" t="str">
        <f>IFERROR(IF(#REF!="S",VLOOKUP('Raw Data'!A4047,References!#REF!,2,FALSE),(VLOOKUP($S4047,References!$B$3:$C$8,2,FALSE))),"")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2"/>
        <v>0</v>
      </c>
      <c r="T4048" s="98">
        <f t="shared" ref="T4048:T4111" si="193">IF(S4048="50 - Cleaning Fee",1,HOUR($R4048)+MINUTE(R4048)/60)</f>
        <v>0</v>
      </c>
      <c r="U4048" s="99" t="str">
        <f>IFERROR(IF(#REF!="S",VLOOKUP('Raw Data'!A4048,References!#REF!,2,FALSE),(VLOOKUP($S4048,References!$B$3:$C$8,2,FALSE))),"")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2"/>
        <v>0</v>
      </c>
      <c r="T4049" s="98">
        <f t="shared" si="193"/>
        <v>0</v>
      </c>
      <c r="U4049" s="99" t="str">
        <f>IFERROR(IF(#REF!="S",VLOOKUP('Raw Data'!A4049,References!#REF!,2,FALSE),(VLOOKUP($S4049,References!$B$3:$C$8,2,FALSE))),"")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2"/>
        <v>0</v>
      </c>
      <c r="T4050" s="98">
        <f t="shared" si="193"/>
        <v>0</v>
      </c>
      <c r="U4050" s="99" t="str">
        <f>IFERROR(IF(#REF!="S",VLOOKUP('Raw Data'!A4050,References!#REF!,2,FALSE),(VLOOKUP($S4050,References!$B$3:$C$8,2,FALSE))),"")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2"/>
        <v>0</v>
      </c>
      <c r="T4051" s="98">
        <f t="shared" si="193"/>
        <v>0</v>
      </c>
      <c r="U4051" s="99" t="str">
        <f>IFERROR(IF(#REF!="S",VLOOKUP('Raw Data'!A4051,References!#REF!,2,FALSE),(VLOOKUP($S4051,References!$B$3:$C$8,2,FALSE))),"")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2"/>
        <v>0</v>
      </c>
      <c r="T4052" s="98">
        <f t="shared" si="193"/>
        <v>0</v>
      </c>
      <c r="U4052" s="99" t="str">
        <f>IFERROR(IF(#REF!="S",VLOOKUP('Raw Data'!A4052,References!#REF!,2,FALSE),(VLOOKUP($S4052,References!$B$3:$C$8,2,FALSE))),"")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2"/>
        <v>0</v>
      </c>
      <c r="T4053" s="98">
        <f t="shared" si="193"/>
        <v>0</v>
      </c>
      <c r="U4053" s="99" t="str">
        <f>IFERROR(IF(#REF!="S",VLOOKUP('Raw Data'!A4053,References!#REF!,2,FALSE),(VLOOKUP($S4053,References!$B$3:$C$8,2,FALSE))),"")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2"/>
        <v>0</v>
      </c>
      <c r="T4054" s="98">
        <f t="shared" si="193"/>
        <v>0</v>
      </c>
      <c r="U4054" s="99" t="str">
        <f>IFERROR(IF(#REF!="S",VLOOKUP('Raw Data'!A4054,References!#REF!,2,FALSE),(VLOOKUP($S4054,References!$B$3:$C$8,2,FALSE))),"")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2"/>
        <v>0</v>
      </c>
      <c r="T4055" s="98">
        <f t="shared" si="193"/>
        <v>0</v>
      </c>
      <c r="U4055" s="99" t="str">
        <f>IFERROR(IF(#REF!="S",VLOOKUP('Raw Data'!A4055,References!#REF!,2,FALSE),(VLOOKUP($S4055,References!$B$3:$C$8,2,FALSE))),"")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2"/>
        <v>0</v>
      </c>
      <c r="T4056" s="98">
        <f t="shared" si="193"/>
        <v>0</v>
      </c>
      <c r="U4056" s="99" t="str">
        <f>IFERROR(IF(#REF!="S",VLOOKUP('Raw Data'!A4056,References!#REF!,2,FALSE),(VLOOKUP($S4056,References!$B$3:$C$8,2,FALSE))),"")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2"/>
        <v>0</v>
      </c>
      <c r="T4057" s="98">
        <f t="shared" si="193"/>
        <v>0</v>
      </c>
      <c r="U4057" s="99" t="str">
        <f>IFERROR(IF(#REF!="S",VLOOKUP('Raw Data'!A4057,References!#REF!,2,FALSE),(VLOOKUP($S4057,References!$B$3:$C$8,2,FALSE))),"")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2"/>
        <v>0</v>
      </c>
      <c r="T4058" s="98">
        <f t="shared" si="193"/>
        <v>0</v>
      </c>
      <c r="U4058" s="99" t="str">
        <f>IFERROR(IF(#REF!="S",VLOOKUP('Raw Data'!A4058,References!#REF!,2,FALSE),(VLOOKUP($S4058,References!$B$3:$C$8,2,FALSE))),"")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2"/>
        <v>0</v>
      </c>
      <c r="T4059" s="98">
        <f t="shared" si="193"/>
        <v>0</v>
      </c>
      <c r="U4059" s="99" t="str">
        <f>IFERROR(IF(#REF!="S",VLOOKUP('Raw Data'!A4059,References!#REF!,2,FALSE),(VLOOKUP($S4059,References!$B$3:$C$8,2,FALSE))),"")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2"/>
        <v>0</v>
      </c>
      <c r="T4060" s="98">
        <f t="shared" si="193"/>
        <v>0</v>
      </c>
      <c r="U4060" s="99" t="str">
        <f>IFERROR(IF(#REF!="S",VLOOKUP('Raw Data'!A4060,References!#REF!,2,FALSE),(VLOOKUP($S4060,References!$B$3:$C$8,2,FALSE))),"")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2"/>
        <v>0</v>
      </c>
      <c r="T4061" s="98">
        <f t="shared" si="193"/>
        <v>0</v>
      </c>
      <c r="U4061" s="99" t="str">
        <f>IFERROR(IF(#REF!="S",VLOOKUP('Raw Data'!A4061,References!#REF!,2,FALSE),(VLOOKUP($S4061,References!$B$3:$C$8,2,FALSE))),"")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2"/>
        <v>0</v>
      </c>
      <c r="T4062" s="98">
        <f t="shared" si="193"/>
        <v>0</v>
      </c>
      <c r="U4062" s="99" t="str">
        <f>IFERROR(IF(#REF!="S",VLOOKUP('Raw Data'!A4062,References!#REF!,2,FALSE),(VLOOKUP($S4062,References!$B$3:$C$8,2,FALSE))),"")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2"/>
        <v>0</v>
      </c>
      <c r="T4063" s="98">
        <f t="shared" si="193"/>
        <v>0</v>
      </c>
      <c r="U4063" s="99" t="str">
        <f>IFERROR(IF(#REF!="S",VLOOKUP('Raw Data'!A4063,References!#REF!,2,FALSE),(VLOOKUP($S4063,References!$B$3:$C$8,2,FALSE))),"")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2"/>
        <v>0</v>
      </c>
      <c r="T4064" s="98">
        <f t="shared" si="193"/>
        <v>0</v>
      </c>
      <c r="U4064" s="99" t="str">
        <f>IFERROR(IF(#REF!="S",VLOOKUP('Raw Data'!A4064,References!#REF!,2,FALSE),(VLOOKUP($S4064,References!$B$3:$C$8,2,FALSE))),"")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2"/>
        <v>0</v>
      </c>
      <c r="T4065" s="98">
        <f t="shared" si="193"/>
        <v>0</v>
      </c>
      <c r="U4065" s="99" t="str">
        <f>IFERROR(IF(#REF!="S",VLOOKUP('Raw Data'!A4065,References!#REF!,2,FALSE),(VLOOKUP($S4065,References!$B$3:$C$8,2,FALSE))),"")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2"/>
        <v>0</v>
      </c>
      <c r="T4066" s="98">
        <f t="shared" si="193"/>
        <v>0</v>
      </c>
      <c r="U4066" s="99" t="str">
        <f>IFERROR(IF(#REF!="S",VLOOKUP('Raw Data'!A4066,References!#REF!,2,FALSE),(VLOOKUP($S4066,References!$B$3:$C$8,2,FALSE))),"")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2"/>
        <v>0</v>
      </c>
      <c r="T4067" s="98">
        <f t="shared" si="193"/>
        <v>0</v>
      </c>
      <c r="U4067" s="99" t="str">
        <f>IFERROR(IF(#REF!="S",VLOOKUP('Raw Data'!A4067,References!#REF!,2,FALSE),(VLOOKUP($S4067,References!$B$3:$C$8,2,FALSE))),"")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2"/>
        <v>0</v>
      </c>
      <c r="T4068" s="98">
        <f t="shared" si="193"/>
        <v>0</v>
      </c>
      <c r="U4068" s="99" t="str">
        <f>IFERROR(IF(#REF!="S",VLOOKUP('Raw Data'!A4068,References!#REF!,2,FALSE),(VLOOKUP($S4068,References!$B$3:$C$8,2,FALSE))),"")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2"/>
        <v>0</v>
      </c>
      <c r="T4069" s="98">
        <f t="shared" si="193"/>
        <v>0</v>
      </c>
      <c r="U4069" s="99" t="str">
        <f>IFERROR(IF(#REF!="S",VLOOKUP('Raw Data'!A4069,References!#REF!,2,FALSE),(VLOOKUP($S4069,References!$B$3:$C$8,2,FALSE))),"")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2"/>
        <v>0</v>
      </c>
      <c r="T4070" s="98">
        <f t="shared" si="193"/>
        <v>0</v>
      </c>
      <c r="U4070" s="99" t="str">
        <f>IFERROR(IF(#REF!="S",VLOOKUP('Raw Data'!A4070,References!#REF!,2,FALSE),(VLOOKUP($S4070,References!$B$3:$C$8,2,FALSE))),"")</f>
        <v/>
      </c>
      <c r="W4070" s="66" t="str">
        <f>IFERROR(VLOOKUP($O4070,'Customer List'!$A$1:$J$488,10,FALSE),"")</f>
        <v/>
      </c>
    </row>
    <row r="4071" spans="18:23">
      <c r="R4071" s="97">
        <f t="shared" si="192"/>
        <v>0</v>
      </c>
      <c r="T4071" s="98">
        <f t="shared" si="193"/>
        <v>0</v>
      </c>
      <c r="U4071" s="99" t="str">
        <f>IFERROR(IF(#REF!="S",VLOOKUP('Raw Data'!A4071,References!#REF!,2,FALSE),(VLOOKUP($S4071,References!$B$3:$C$8,2,FALSE))),"")</f>
        <v/>
      </c>
      <c r="W4071" s="66" t="str">
        <f>IFERROR(VLOOKUP($O4071,'Customer List'!$A$1:$J$488,10,FALSE),"")</f>
        <v/>
      </c>
    </row>
    <row r="4072" spans="18:23">
      <c r="R4072" s="97">
        <f t="shared" ref="R4072:R4135" si="194">L4072-K4072</f>
        <v>0</v>
      </c>
      <c r="T4072" s="98">
        <f t="shared" si="193"/>
        <v>0</v>
      </c>
      <c r="U4072" s="99" t="str">
        <f>IFERROR(IF(#REF!="S",VLOOKUP('Raw Data'!A4072,References!#REF!,2,FALSE),(VLOOKUP($S4072,References!$B$3:$C$8,2,FALSE))),"")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4"/>
        <v>0</v>
      </c>
      <c r="T4073" s="98">
        <f t="shared" si="193"/>
        <v>0</v>
      </c>
      <c r="U4073" s="99" t="str">
        <f>IFERROR(IF(#REF!="S",VLOOKUP('Raw Data'!A4073,References!#REF!,2,FALSE),(VLOOKUP($S4073,References!$B$3:$C$8,2,FALSE))),"")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4"/>
        <v>0</v>
      </c>
      <c r="T4074" s="98">
        <f t="shared" si="193"/>
        <v>0</v>
      </c>
      <c r="U4074" s="99" t="str">
        <f>IFERROR(IF(#REF!="S",VLOOKUP('Raw Data'!A4074,References!#REF!,2,FALSE),(VLOOKUP($S4074,References!$B$3:$C$8,2,FALSE))),"")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4"/>
        <v>0</v>
      </c>
      <c r="T4075" s="98">
        <f t="shared" si="193"/>
        <v>0</v>
      </c>
      <c r="U4075" s="99" t="str">
        <f>IFERROR(IF(#REF!="S",VLOOKUP('Raw Data'!A4075,References!#REF!,2,FALSE),(VLOOKUP($S4075,References!$B$3:$C$8,2,FALSE))),"")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4"/>
        <v>0</v>
      </c>
      <c r="T4076" s="98">
        <f t="shared" si="193"/>
        <v>0</v>
      </c>
      <c r="U4076" s="99" t="str">
        <f>IFERROR(IF(#REF!="S",VLOOKUP('Raw Data'!A4076,References!#REF!,2,FALSE),(VLOOKUP($S4076,References!$B$3:$C$8,2,FALSE))),"")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4"/>
        <v>0</v>
      </c>
      <c r="T4077" s="98">
        <f t="shared" si="193"/>
        <v>0</v>
      </c>
      <c r="U4077" s="99" t="str">
        <f>IFERROR(IF(#REF!="S",VLOOKUP('Raw Data'!A4077,References!#REF!,2,FALSE),(VLOOKUP($S4077,References!$B$3:$C$8,2,FALSE))),"")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4"/>
        <v>0</v>
      </c>
      <c r="T4078" s="98">
        <f t="shared" si="193"/>
        <v>0</v>
      </c>
      <c r="U4078" s="99" t="str">
        <f>IFERROR(IF(#REF!="S",VLOOKUP('Raw Data'!A4078,References!#REF!,2,FALSE),(VLOOKUP($S4078,References!$B$3:$C$8,2,FALSE))),"")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4"/>
        <v>0</v>
      </c>
      <c r="T4079" s="98">
        <f t="shared" si="193"/>
        <v>0</v>
      </c>
      <c r="U4079" s="99" t="str">
        <f>IFERROR(IF(#REF!="S",VLOOKUP('Raw Data'!A4079,References!#REF!,2,FALSE),(VLOOKUP($S4079,References!$B$3:$C$8,2,FALSE))),"")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4"/>
        <v>0</v>
      </c>
      <c r="T4080" s="98">
        <f t="shared" si="193"/>
        <v>0</v>
      </c>
      <c r="U4080" s="99" t="str">
        <f>IFERROR(IF(#REF!="S",VLOOKUP('Raw Data'!A4080,References!#REF!,2,FALSE),(VLOOKUP($S4080,References!$B$3:$C$8,2,FALSE))),"")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4"/>
        <v>0</v>
      </c>
      <c r="T4081" s="98">
        <f t="shared" si="193"/>
        <v>0</v>
      </c>
      <c r="U4081" s="99" t="str">
        <f>IFERROR(IF(#REF!="S",VLOOKUP('Raw Data'!A4081,References!#REF!,2,FALSE),(VLOOKUP($S4081,References!$B$3:$C$8,2,FALSE))),"")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4"/>
        <v>0</v>
      </c>
      <c r="T4082" s="98">
        <f t="shared" si="193"/>
        <v>0</v>
      </c>
      <c r="U4082" s="99" t="str">
        <f>IFERROR(IF(#REF!="S",VLOOKUP('Raw Data'!A4082,References!#REF!,2,FALSE),(VLOOKUP($S4082,References!$B$3:$C$8,2,FALSE))),"")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4"/>
        <v>0</v>
      </c>
      <c r="T4083" s="98">
        <f t="shared" si="193"/>
        <v>0</v>
      </c>
      <c r="U4083" s="99" t="str">
        <f>IFERROR(IF(#REF!="S",VLOOKUP('Raw Data'!A4083,References!#REF!,2,FALSE),(VLOOKUP($S4083,References!$B$3:$C$8,2,FALSE))),"")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4"/>
        <v>0</v>
      </c>
      <c r="T4084" s="98">
        <f t="shared" si="193"/>
        <v>0</v>
      </c>
      <c r="U4084" s="99" t="str">
        <f>IFERROR(IF(#REF!="S",VLOOKUP('Raw Data'!A4084,References!#REF!,2,FALSE),(VLOOKUP($S4084,References!$B$3:$C$8,2,FALSE))),"")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4"/>
        <v>0</v>
      </c>
      <c r="T4085" s="98">
        <f t="shared" si="193"/>
        <v>0</v>
      </c>
      <c r="U4085" s="99" t="str">
        <f>IFERROR(IF(#REF!="S",VLOOKUP('Raw Data'!A4085,References!#REF!,2,FALSE),(VLOOKUP($S4085,References!$B$3:$C$8,2,FALSE))),"")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4"/>
        <v>0</v>
      </c>
      <c r="T4086" s="98">
        <f t="shared" si="193"/>
        <v>0</v>
      </c>
      <c r="U4086" s="99" t="str">
        <f>IFERROR(IF(#REF!="S",VLOOKUP('Raw Data'!A4086,References!#REF!,2,FALSE),(VLOOKUP($S4086,References!$B$3:$C$8,2,FALSE))),"")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4"/>
        <v>0</v>
      </c>
      <c r="T4087" s="98">
        <f t="shared" si="193"/>
        <v>0</v>
      </c>
      <c r="U4087" s="99" t="str">
        <f>IFERROR(IF(#REF!="S",VLOOKUP('Raw Data'!A4087,References!#REF!,2,FALSE),(VLOOKUP($S4087,References!$B$3:$C$8,2,FALSE))),"")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4"/>
        <v>0</v>
      </c>
      <c r="T4088" s="98">
        <f t="shared" si="193"/>
        <v>0</v>
      </c>
      <c r="U4088" s="99" t="str">
        <f>IFERROR(IF(#REF!="S",VLOOKUP('Raw Data'!A4088,References!#REF!,2,FALSE),(VLOOKUP($S4088,References!$B$3:$C$8,2,FALSE))),"")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4"/>
        <v>0</v>
      </c>
      <c r="T4089" s="98">
        <f t="shared" si="193"/>
        <v>0</v>
      </c>
      <c r="U4089" s="99" t="str">
        <f>IFERROR(IF(#REF!="S",VLOOKUP('Raw Data'!A4089,References!#REF!,2,FALSE),(VLOOKUP($S4089,References!$B$3:$C$8,2,FALSE))),"")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4"/>
        <v>0</v>
      </c>
      <c r="T4090" s="98">
        <f t="shared" si="193"/>
        <v>0</v>
      </c>
      <c r="U4090" s="99" t="str">
        <f>IFERROR(IF(#REF!="S",VLOOKUP('Raw Data'!A4090,References!#REF!,2,FALSE),(VLOOKUP($S4090,References!$B$3:$C$8,2,FALSE))),"")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4"/>
        <v>0</v>
      </c>
      <c r="T4091" s="98">
        <f t="shared" si="193"/>
        <v>0</v>
      </c>
      <c r="U4091" s="99" t="str">
        <f>IFERROR(IF(#REF!="S",VLOOKUP('Raw Data'!A4091,References!#REF!,2,FALSE),(VLOOKUP($S4091,References!$B$3:$C$8,2,FALSE))),"")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4"/>
        <v>0</v>
      </c>
      <c r="T4092" s="98">
        <f t="shared" si="193"/>
        <v>0</v>
      </c>
      <c r="U4092" s="99" t="str">
        <f>IFERROR(IF(#REF!="S",VLOOKUP('Raw Data'!A4092,References!#REF!,2,FALSE),(VLOOKUP($S4092,References!$B$3:$C$8,2,FALSE))),"")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4"/>
        <v>0</v>
      </c>
      <c r="T4093" s="98">
        <f t="shared" si="193"/>
        <v>0</v>
      </c>
      <c r="U4093" s="99" t="str">
        <f>IFERROR(IF(#REF!="S",VLOOKUP('Raw Data'!A4093,References!#REF!,2,FALSE),(VLOOKUP($S4093,References!$B$3:$C$8,2,FALSE))),"")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4"/>
        <v>0</v>
      </c>
      <c r="T4094" s="98">
        <f t="shared" si="193"/>
        <v>0</v>
      </c>
      <c r="U4094" s="99" t="str">
        <f>IFERROR(IF(#REF!="S",VLOOKUP('Raw Data'!A4094,References!#REF!,2,FALSE),(VLOOKUP($S4094,References!$B$3:$C$8,2,FALSE))),"")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4"/>
        <v>0</v>
      </c>
      <c r="T4095" s="98">
        <f t="shared" si="193"/>
        <v>0</v>
      </c>
      <c r="U4095" s="99" t="str">
        <f>IFERROR(IF(#REF!="S",VLOOKUP('Raw Data'!A4095,References!#REF!,2,FALSE),(VLOOKUP($S4095,References!$B$3:$C$8,2,FALSE))),"")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4"/>
        <v>0</v>
      </c>
      <c r="T4096" s="98">
        <f t="shared" si="193"/>
        <v>0</v>
      </c>
      <c r="U4096" s="99" t="str">
        <f>IFERROR(IF(#REF!="S",VLOOKUP('Raw Data'!A4096,References!#REF!,2,FALSE),(VLOOKUP($S4096,References!$B$3:$C$8,2,FALSE))),"")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4"/>
        <v>0</v>
      </c>
      <c r="T4097" s="98">
        <f t="shared" si="193"/>
        <v>0</v>
      </c>
      <c r="U4097" s="99" t="str">
        <f>IFERROR(IF(#REF!="S",VLOOKUP('Raw Data'!A4097,References!#REF!,2,FALSE),(VLOOKUP($S4097,References!$B$3:$C$8,2,FALSE))),"")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4"/>
        <v>0</v>
      </c>
      <c r="T4098" s="98">
        <f t="shared" si="193"/>
        <v>0</v>
      </c>
      <c r="U4098" s="99" t="str">
        <f>IFERROR(IF(#REF!="S",VLOOKUP('Raw Data'!A4098,References!#REF!,2,FALSE),(VLOOKUP($S4098,References!$B$3:$C$8,2,FALSE))),"")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4"/>
        <v>0</v>
      </c>
      <c r="T4099" s="98">
        <f t="shared" si="193"/>
        <v>0</v>
      </c>
      <c r="U4099" s="99" t="str">
        <f>IFERROR(IF(#REF!="S",VLOOKUP('Raw Data'!A4099,References!#REF!,2,FALSE),(VLOOKUP($S4099,References!$B$3:$C$8,2,FALSE))),"")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4"/>
        <v>0</v>
      </c>
      <c r="T4100" s="98">
        <f t="shared" si="193"/>
        <v>0</v>
      </c>
      <c r="U4100" s="99" t="str">
        <f>IFERROR(IF(#REF!="S",VLOOKUP('Raw Data'!A4100,References!#REF!,2,FALSE),(VLOOKUP($S4100,References!$B$3:$C$8,2,FALSE))),"")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4"/>
        <v>0</v>
      </c>
      <c r="T4101" s="98">
        <f t="shared" si="193"/>
        <v>0</v>
      </c>
      <c r="U4101" s="99" t="str">
        <f>IFERROR(IF(#REF!="S",VLOOKUP('Raw Data'!A4101,References!#REF!,2,FALSE),(VLOOKUP($S4101,References!$B$3:$C$8,2,FALSE))),"")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4"/>
        <v>0</v>
      </c>
      <c r="T4102" s="98">
        <f t="shared" si="193"/>
        <v>0</v>
      </c>
      <c r="U4102" s="99" t="str">
        <f>IFERROR(IF(#REF!="S",VLOOKUP('Raw Data'!A4102,References!#REF!,2,FALSE),(VLOOKUP($S4102,References!$B$3:$C$8,2,FALSE))),"")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4"/>
        <v>0</v>
      </c>
      <c r="T4103" s="98">
        <f t="shared" si="193"/>
        <v>0</v>
      </c>
      <c r="U4103" s="99" t="str">
        <f>IFERROR(IF(#REF!="S",VLOOKUP('Raw Data'!A4103,References!#REF!,2,FALSE),(VLOOKUP($S4103,References!$B$3:$C$8,2,FALSE))),"")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4"/>
        <v>0</v>
      </c>
      <c r="T4104" s="98">
        <f t="shared" si="193"/>
        <v>0</v>
      </c>
      <c r="U4104" s="99" t="str">
        <f>IFERROR(IF(#REF!="S",VLOOKUP('Raw Data'!A4104,References!#REF!,2,FALSE),(VLOOKUP($S4104,References!$B$3:$C$8,2,FALSE))),"")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4"/>
        <v>0</v>
      </c>
      <c r="T4105" s="98">
        <f t="shared" si="193"/>
        <v>0</v>
      </c>
      <c r="U4105" s="99" t="str">
        <f>IFERROR(IF(#REF!="S",VLOOKUP('Raw Data'!A4105,References!#REF!,2,FALSE),(VLOOKUP($S4105,References!$B$3:$C$8,2,FALSE))),"")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4"/>
        <v>0</v>
      </c>
      <c r="T4106" s="98">
        <f t="shared" si="193"/>
        <v>0</v>
      </c>
      <c r="U4106" s="99" t="str">
        <f>IFERROR(IF(#REF!="S",VLOOKUP('Raw Data'!A4106,References!#REF!,2,FALSE),(VLOOKUP($S4106,References!$B$3:$C$8,2,FALSE))),"")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4"/>
        <v>0</v>
      </c>
      <c r="T4107" s="98">
        <f t="shared" si="193"/>
        <v>0</v>
      </c>
      <c r="U4107" s="99" t="str">
        <f>IFERROR(IF(#REF!="S",VLOOKUP('Raw Data'!A4107,References!#REF!,2,FALSE),(VLOOKUP($S4107,References!$B$3:$C$8,2,FALSE))),"")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4"/>
        <v>0</v>
      </c>
      <c r="T4108" s="98">
        <f t="shared" si="193"/>
        <v>0</v>
      </c>
      <c r="U4108" s="99" t="str">
        <f>IFERROR(IF(#REF!="S",VLOOKUP('Raw Data'!A4108,References!#REF!,2,FALSE),(VLOOKUP($S4108,References!$B$3:$C$8,2,FALSE))),"")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4"/>
        <v>0</v>
      </c>
      <c r="T4109" s="98">
        <f t="shared" si="193"/>
        <v>0</v>
      </c>
      <c r="U4109" s="99" t="str">
        <f>IFERROR(IF(#REF!="S",VLOOKUP('Raw Data'!A4109,References!#REF!,2,FALSE),(VLOOKUP($S4109,References!$B$3:$C$8,2,FALSE))),"")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4"/>
        <v>0</v>
      </c>
      <c r="T4110" s="98">
        <f t="shared" si="193"/>
        <v>0</v>
      </c>
      <c r="U4110" s="99" t="str">
        <f>IFERROR(IF(#REF!="S",VLOOKUP('Raw Data'!A4110,References!#REF!,2,FALSE),(VLOOKUP($S4110,References!$B$3:$C$8,2,FALSE))),"")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4"/>
        <v>0</v>
      </c>
      <c r="T4111" s="98">
        <f t="shared" si="193"/>
        <v>0</v>
      </c>
      <c r="U4111" s="99" t="str">
        <f>IFERROR(IF(#REF!="S",VLOOKUP('Raw Data'!A4111,References!#REF!,2,FALSE),(VLOOKUP($S4111,References!$B$3:$C$8,2,FALSE))),"")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4"/>
        <v>0</v>
      </c>
      <c r="T4112" s="98">
        <f t="shared" ref="T4112:T4175" si="195">IF(S4112="50 - Cleaning Fee",1,HOUR($R4112)+MINUTE(R4112)/60)</f>
        <v>0</v>
      </c>
      <c r="U4112" s="99" t="str">
        <f>IFERROR(IF(#REF!="S",VLOOKUP('Raw Data'!A4112,References!#REF!,2,FALSE),(VLOOKUP($S4112,References!$B$3:$C$8,2,FALSE))),"")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4"/>
        <v>0</v>
      </c>
      <c r="T4113" s="98">
        <f t="shared" si="195"/>
        <v>0</v>
      </c>
      <c r="U4113" s="99" t="str">
        <f>IFERROR(IF(#REF!="S",VLOOKUP('Raw Data'!A4113,References!#REF!,2,FALSE),(VLOOKUP($S4113,References!$B$3:$C$8,2,FALSE))),"")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4"/>
        <v>0</v>
      </c>
      <c r="T4114" s="98">
        <f t="shared" si="195"/>
        <v>0</v>
      </c>
      <c r="U4114" s="99" t="str">
        <f>IFERROR(IF(#REF!="S",VLOOKUP('Raw Data'!A4114,References!#REF!,2,FALSE),(VLOOKUP($S4114,References!$B$3:$C$8,2,FALSE))),"")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4"/>
        <v>0</v>
      </c>
      <c r="T4115" s="98">
        <f t="shared" si="195"/>
        <v>0</v>
      </c>
      <c r="U4115" s="99" t="str">
        <f>IFERROR(IF(#REF!="S",VLOOKUP('Raw Data'!A4115,References!#REF!,2,FALSE),(VLOOKUP($S4115,References!$B$3:$C$8,2,FALSE))),"")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4"/>
        <v>0</v>
      </c>
      <c r="T4116" s="98">
        <f t="shared" si="195"/>
        <v>0</v>
      </c>
      <c r="U4116" s="99" t="str">
        <f>IFERROR(IF(#REF!="S",VLOOKUP('Raw Data'!A4116,References!#REF!,2,FALSE),(VLOOKUP($S4116,References!$B$3:$C$8,2,FALSE))),"")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4"/>
        <v>0</v>
      </c>
      <c r="T4117" s="98">
        <f t="shared" si="195"/>
        <v>0</v>
      </c>
      <c r="U4117" s="99" t="str">
        <f>IFERROR(IF(#REF!="S",VLOOKUP('Raw Data'!A4117,References!#REF!,2,FALSE),(VLOOKUP($S4117,References!$B$3:$C$8,2,FALSE))),"")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4"/>
        <v>0</v>
      </c>
      <c r="T4118" s="98">
        <f t="shared" si="195"/>
        <v>0</v>
      </c>
      <c r="U4118" s="99" t="str">
        <f>IFERROR(IF(#REF!="S",VLOOKUP('Raw Data'!A4118,References!#REF!,2,FALSE),(VLOOKUP($S4118,References!$B$3:$C$8,2,FALSE))),"")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4"/>
        <v>0</v>
      </c>
      <c r="T4119" s="98">
        <f t="shared" si="195"/>
        <v>0</v>
      </c>
      <c r="U4119" s="99" t="str">
        <f>IFERROR(IF(#REF!="S",VLOOKUP('Raw Data'!A4119,References!#REF!,2,FALSE),(VLOOKUP($S4119,References!$B$3:$C$8,2,FALSE))),"")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4"/>
        <v>0</v>
      </c>
      <c r="T4120" s="98">
        <f t="shared" si="195"/>
        <v>0</v>
      </c>
      <c r="U4120" s="99" t="str">
        <f>IFERROR(IF(#REF!="S",VLOOKUP('Raw Data'!A4120,References!#REF!,2,FALSE),(VLOOKUP($S4120,References!$B$3:$C$8,2,FALSE))),"")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4"/>
        <v>0</v>
      </c>
      <c r="T4121" s="98">
        <f t="shared" si="195"/>
        <v>0</v>
      </c>
      <c r="U4121" s="99" t="str">
        <f>IFERROR(IF(#REF!="S",VLOOKUP('Raw Data'!A4121,References!#REF!,2,FALSE),(VLOOKUP($S4121,References!$B$3:$C$8,2,FALSE))),"")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4"/>
        <v>0</v>
      </c>
      <c r="T4122" s="98">
        <f t="shared" si="195"/>
        <v>0</v>
      </c>
      <c r="U4122" s="99" t="str">
        <f>IFERROR(IF(#REF!="S",VLOOKUP('Raw Data'!A4122,References!#REF!,2,FALSE),(VLOOKUP($S4122,References!$B$3:$C$8,2,FALSE))),"")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4"/>
        <v>0</v>
      </c>
      <c r="T4123" s="98">
        <f t="shared" si="195"/>
        <v>0</v>
      </c>
      <c r="U4123" s="99" t="str">
        <f>IFERROR(IF(#REF!="S",VLOOKUP('Raw Data'!A4123,References!#REF!,2,FALSE),(VLOOKUP($S4123,References!$B$3:$C$8,2,FALSE))),"")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4"/>
        <v>0</v>
      </c>
      <c r="T4124" s="98">
        <f t="shared" si="195"/>
        <v>0</v>
      </c>
      <c r="U4124" s="99" t="str">
        <f>IFERROR(IF(#REF!="S",VLOOKUP('Raw Data'!A4124,References!#REF!,2,FALSE),(VLOOKUP($S4124,References!$B$3:$C$8,2,FALSE))),"")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4"/>
        <v>0</v>
      </c>
      <c r="T4125" s="98">
        <f t="shared" si="195"/>
        <v>0</v>
      </c>
      <c r="U4125" s="99" t="str">
        <f>IFERROR(IF(#REF!="S",VLOOKUP('Raw Data'!A4125,References!#REF!,2,FALSE),(VLOOKUP($S4125,References!$B$3:$C$8,2,FALSE))),"")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4"/>
        <v>0</v>
      </c>
      <c r="T4126" s="98">
        <f t="shared" si="195"/>
        <v>0</v>
      </c>
      <c r="U4126" s="99" t="str">
        <f>IFERROR(IF(#REF!="S",VLOOKUP('Raw Data'!A4126,References!#REF!,2,FALSE),(VLOOKUP($S4126,References!$B$3:$C$8,2,FALSE))),"")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4"/>
        <v>0</v>
      </c>
      <c r="T4127" s="98">
        <f t="shared" si="195"/>
        <v>0</v>
      </c>
      <c r="U4127" s="99" t="str">
        <f>IFERROR(IF(#REF!="S",VLOOKUP('Raw Data'!A4127,References!#REF!,2,FALSE),(VLOOKUP($S4127,References!$B$3:$C$8,2,FALSE))),"")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4"/>
        <v>0</v>
      </c>
      <c r="T4128" s="98">
        <f t="shared" si="195"/>
        <v>0</v>
      </c>
      <c r="U4128" s="99" t="str">
        <f>IFERROR(IF(#REF!="S",VLOOKUP('Raw Data'!A4128,References!#REF!,2,FALSE),(VLOOKUP($S4128,References!$B$3:$C$8,2,FALSE))),"")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4"/>
        <v>0</v>
      </c>
      <c r="T4129" s="98">
        <f t="shared" si="195"/>
        <v>0</v>
      </c>
      <c r="U4129" s="99" t="str">
        <f>IFERROR(IF(#REF!="S",VLOOKUP('Raw Data'!A4129,References!#REF!,2,FALSE),(VLOOKUP($S4129,References!$B$3:$C$8,2,FALSE))),"")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4"/>
        <v>0</v>
      </c>
      <c r="T4130" s="98">
        <f t="shared" si="195"/>
        <v>0</v>
      </c>
      <c r="U4130" s="99" t="str">
        <f>IFERROR(IF(#REF!="S",VLOOKUP('Raw Data'!A4130,References!#REF!,2,FALSE),(VLOOKUP($S4130,References!$B$3:$C$8,2,FALSE))),"")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4"/>
        <v>0</v>
      </c>
      <c r="T4131" s="98">
        <f t="shared" si="195"/>
        <v>0</v>
      </c>
      <c r="U4131" s="99" t="str">
        <f>IFERROR(IF(#REF!="S",VLOOKUP('Raw Data'!A4131,References!#REF!,2,FALSE),(VLOOKUP($S4131,References!$B$3:$C$8,2,FALSE))),"")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4"/>
        <v>0</v>
      </c>
      <c r="T4132" s="98">
        <f t="shared" si="195"/>
        <v>0</v>
      </c>
      <c r="U4132" s="99" t="str">
        <f>IFERROR(IF(#REF!="S",VLOOKUP('Raw Data'!A4132,References!#REF!,2,FALSE),(VLOOKUP($S4132,References!$B$3:$C$8,2,FALSE))),"")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4"/>
        <v>0</v>
      </c>
      <c r="T4133" s="98">
        <f t="shared" si="195"/>
        <v>0</v>
      </c>
      <c r="U4133" s="99" t="str">
        <f>IFERROR(IF(#REF!="S",VLOOKUP('Raw Data'!A4133,References!#REF!,2,FALSE),(VLOOKUP($S4133,References!$B$3:$C$8,2,FALSE))),"")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4"/>
        <v>0</v>
      </c>
      <c r="T4134" s="98">
        <f t="shared" si="195"/>
        <v>0</v>
      </c>
      <c r="U4134" s="99" t="str">
        <f>IFERROR(IF(#REF!="S",VLOOKUP('Raw Data'!A4134,References!#REF!,2,FALSE),(VLOOKUP($S4134,References!$B$3:$C$8,2,FALSE))),"")</f>
        <v/>
      </c>
      <c r="W4134" s="66" t="str">
        <f>IFERROR(VLOOKUP($O4134,'Customer List'!$A$1:$J$488,10,FALSE),"")</f>
        <v/>
      </c>
    </row>
    <row r="4135" spans="18:23">
      <c r="R4135" s="97">
        <f t="shared" si="194"/>
        <v>0</v>
      </c>
      <c r="T4135" s="98">
        <f t="shared" si="195"/>
        <v>0</v>
      </c>
      <c r="U4135" s="99" t="str">
        <f>IFERROR(IF(#REF!="S",VLOOKUP('Raw Data'!A4135,References!#REF!,2,FALSE),(VLOOKUP($S4135,References!$B$3:$C$8,2,FALSE))),"")</f>
        <v/>
      </c>
      <c r="W4135" s="66" t="str">
        <f>IFERROR(VLOOKUP($O4135,'Customer List'!$A$1:$J$488,10,FALSE),"")</f>
        <v/>
      </c>
    </row>
    <row r="4136" spans="18:23">
      <c r="R4136" s="97">
        <f t="shared" ref="R4136:R4199" si="196">L4136-K4136</f>
        <v>0</v>
      </c>
      <c r="T4136" s="98">
        <f t="shared" si="195"/>
        <v>0</v>
      </c>
      <c r="U4136" s="99" t="str">
        <f>IFERROR(IF(#REF!="S",VLOOKUP('Raw Data'!A4136,References!#REF!,2,FALSE),(VLOOKUP($S4136,References!$B$3:$C$8,2,FALSE))),"")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6"/>
        <v>0</v>
      </c>
      <c r="T4137" s="98">
        <f t="shared" si="195"/>
        <v>0</v>
      </c>
      <c r="U4137" s="99" t="str">
        <f>IFERROR(IF(#REF!="S",VLOOKUP('Raw Data'!A4137,References!#REF!,2,FALSE),(VLOOKUP($S4137,References!$B$3:$C$8,2,FALSE))),"")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6"/>
        <v>0</v>
      </c>
      <c r="T4138" s="98">
        <f t="shared" si="195"/>
        <v>0</v>
      </c>
      <c r="U4138" s="99" t="str">
        <f>IFERROR(IF(#REF!="S",VLOOKUP('Raw Data'!A4138,References!#REF!,2,FALSE),(VLOOKUP($S4138,References!$B$3:$C$8,2,FALSE))),"")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6"/>
        <v>0</v>
      </c>
      <c r="T4139" s="98">
        <f t="shared" si="195"/>
        <v>0</v>
      </c>
      <c r="U4139" s="99" t="str">
        <f>IFERROR(IF(#REF!="S",VLOOKUP('Raw Data'!A4139,References!#REF!,2,FALSE),(VLOOKUP($S4139,References!$B$3:$C$8,2,FALSE))),"")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6"/>
        <v>0</v>
      </c>
      <c r="T4140" s="98">
        <f t="shared" si="195"/>
        <v>0</v>
      </c>
      <c r="U4140" s="99" t="str">
        <f>IFERROR(IF(#REF!="S",VLOOKUP('Raw Data'!A4140,References!#REF!,2,FALSE),(VLOOKUP($S4140,References!$B$3:$C$8,2,FALSE))),"")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6"/>
        <v>0</v>
      </c>
      <c r="T4141" s="98">
        <f t="shared" si="195"/>
        <v>0</v>
      </c>
      <c r="U4141" s="99" t="str">
        <f>IFERROR(IF(#REF!="S",VLOOKUP('Raw Data'!A4141,References!#REF!,2,FALSE),(VLOOKUP($S4141,References!$B$3:$C$8,2,FALSE))),"")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6"/>
        <v>0</v>
      </c>
      <c r="T4142" s="98">
        <f t="shared" si="195"/>
        <v>0</v>
      </c>
      <c r="U4142" s="99" t="str">
        <f>IFERROR(IF(#REF!="S",VLOOKUP('Raw Data'!A4142,References!#REF!,2,FALSE),(VLOOKUP($S4142,References!$B$3:$C$8,2,FALSE))),"")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6"/>
        <v>0</v>
      </c>
      <c r="T4143" s="98">
        <f t="shared" si="195"/>
        <v>0</v>
      </c>
      <c r="U4143" s="99" t="str">
        <f>IFERROR(IF(#REF!="S",VLOOKUP('Raw Data'!A4143,References!#REF!,2,FALSE),(VLOOKUP($S4143,References!$B$3:$C$8,2,FALSE))),"")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6"/>
        <v>0</v>
      </c>
      <c r="T4144" s="98">
        <f t="shared" si="195"/>
        <v>0</v>
      </c>
      <c r="U4144" s="99" t="str">
        <f>IFERROR(IF(#REF!="S",VLOOKUP('Raw Data'!A4144,References!#REF!,2,FALSE),(VLOOKUP($S4144,References!$B$3:$C$8,2,FALSE))),"")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6"/>
        <v>0</v>
      </c>
      <c r="T4145" s="98">
        <f t="shared" si="195"/>
        <v>0</v>
      </c>
      <c r="U4145" s="99" t="str">
        <f>IFERROR(IF(#REF!="S",VLOOKUP('Raw Data'!A4145,References!#REF!,2,FALSE),(VLOOKUP($S4145,References!$B$3:$C$8,2,FALSE))),"")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6"/>
        <v>0</v>
      </c>
      <c r="T4146" s="98">
        <f t="shared" si="195"/>
        <v>0</v>
      </c>
      <c r="U4146" s="99" t="str">
        <f>IFERROR(IF(#REF!="S",VLOOKUP('Raw Data'!A4146,References!#REF!,2,FALSE),(VLOOKUP($S4146,References!$B$3:$C$8,2,FALSE))),"")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6"/>
        <v>0</v>
      </c>
      <c r="T4147" s="98">
        <f t="shared" si="195"/>
        <v>0</v>
      </c>
      <c r="U4147" s="99" t="str">
        <f>IFERROR(IF(#REF!="S",VLOOKUP('Raw Data'!A4147,References!#REF!,2,FALSE),(VLOOKUP($S4147,References!$B$3:$C$8,2,FALSE))),"")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6"/>
        <v>0</v>
      </c>
      <c r="T4148" s="98">
        <f t="shared" si="195"/>
        <v>0</v>
      </c>
      <c r="U4148" s="99" t="str">
        <f>IFERROR(IF(#REF!="S",VLOOKUP('Raw Data'!A4148,References!#REF!,2,FALSE),(VLOOKUP($S4148,References!$B$3:$C$8,2,FALSE))),"")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6"/>
        <v>0</v>
      </c>
      <c r="T4149" s="98">
        <f t="shared" si="195"/>
        <v>0</v>
      </c>
      <c r="U4149" s="99" t="str">
        <f>IFERROR(IF(#REF!="S",VLOOKUP('Raw Data'!A4149,References!#REF!,2,FALSE),(VLOOKUP($S4149,References!$B$3:$C$8,2,FALSE))),"")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6"/>
        <v>0</v>
      </c>
      <c r="T4150" s="98">
        <f t="shared" si="195"/>
        <v>0</v>
      </c>
      <c r="U4150" s="99" t="str">
        <f>IFERROR(IF(#REF!="S",VLOOKUP('Raw Data'!A4150,References!#REF!,2,FALSE),(VLOOKUP($S4150,References!$B$3:$C$8,2,FALSE))),"")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6"/>
        <v>0</v>
      </c>
      <c r="T4151" s="98">
        <f t="shared" si="195"/>
        <v>0</v>
      </c>
      <c r="U4151" s="99" t="str">
        <f>IFERROR(IF(#REF!="S",VLOOKUP('Raw Data'!A4151,References!#REF!,2,FALSE),(VLOOKUP($S4151,References!$B$3:$C$8,2,FALSE))),"")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6"/>
        <v>0</v>
      </c>
      <c r="T4152" s="98">
        <f t="shared" si="195"/>
        <v>0</v>
      </c>
      <c r="U4152" s="99" t="str">
        <f>IFERROR(IF(#REF!="S",VLOOKUP('Raw Data'!A4152,References!#REF!,2,FALSE),(VLOOKUP($S4152,References!$B$3:$C$8,2,FALSE))),"")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6"/>
        <v>0</v>
      </c>
      <c r="T4153" s="98">
        <f t="shared" si="195"/>
        <v>0</v>
      </c>
      <c r="U4153" s="99" t="str">
        <f>IFERROR(IF(#REF!="S",VLOOKUP('Raw Data'!A4153,References!#REF!,2,FALSE),(VLOOKUP($S4153,References!$B$3:$C$8,2,FALSE))),"")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6"/>
        <v>0</v>
      </c>
      <c r="T4154" s="98">
        <f t="shared" si="195"/>
        <v>0</v>
      </c>
      <c r="U4154" s="99" t="str">
        <f>IFERROR(IF(#REF!="S",VLOOKUP('Raw Data'!A4154,References!#REF!,2,FALSE),(VLOOKUP($S4154,References!$B$3:$C$8,2,FALSE))),"")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6"/>
        <v>0</v>
      </c>
      <c r="T4155" s="98">
        <f t="shared" si="195"/>
        <v>0</v>
      </c>
      <c r="U4155" s="99" t="str">
        <f>IFERROR(IF(#REF!="S",VLOOKUP('Raw Data'!A4155,References!#REF!,2,FALSE),(VLOOKUP($S4155,References!$B$3:$C$8,2,FALSE))),"")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6"/>
        <v>0</v>
      </c>
      <c r="T4156" s="98">
        <f t="shared" si="195"/>
        <v>0</v>
      </c>
      <c r="U4156" s="99" t="str">
        <f>IFERROR(IF(#REF!="S",VLOOKUP('Raw Data'!A4156,References!#REF!,2,FALSE),(VLOOKUP($S4156,References!$B$3:$C$8,2,FALSE))),"")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6"/>
        <v>0</v>
      </c>
      <c r="T4157" s="98">
        <f t="shared" si="195"/>
        <v>0</v>
      </c>
      <c r="U4157" s="99" t="str">
        <f>IFERROR(IF(#REF!="S",VLOOKUP('Raw Data'!A4157,References!#REF!,2,FALSE),(VLOOKUP($S4157,References!$B$3:$C$8,2,FALSE))),"")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6"/>
        <v>0</v>
      </c>
      <c r="T4158" s="98">
        <f t="shared" si="195"/>
        <v>0</v>
      </c>
      <c r="U4158" s="99" t="str">
        <f>IFERROR(IF(#REF!="S",VLOOKUP('Raw Data'!A4158,References!#REF!,2,FALSE),(VLOOKUP($S4158,References!$B$3:$C$8,2,FALSE))),"")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6"/>
        <v>0</v>
      </c>
      <c r="T4159" s="98">
        <f t="shared" si="195"/>
        <v>0</v>
      </c>
      <c r="U4159" s="99" t="str">
        <f>IFERROR(IF(#REF!="S",VLOOKUP('Raw Data'!A4159,References!#REF!,2,FALSE),(VLOOKUP($S4159,References!$B$3:$C$8,2,FALSE))),"")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6"/>
        <v>0</v>
      </c>
      <c r="T4160" s="98">
        <f t="shared" si="195"/>
        <v>0</v>
      </c>
      <c r="U4160" s="99" t="str">
        <f>IFERROR(IF(#REF!="S",VLOOKUP('Raw Data'!A4160,References!#REF!,2,FALSE),(VLOOKUP($S4160,References!$B$3:$C$8,2,FALSE))),"")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6"/>
        <v>0</v>
      </c>
      <c r="T4161" s="98">
        <f t="shared" si="195"/>
        <v>0</v>
      </c>
      <c r="U4161" s="99" t="str">
        <f>IFERROR(IF(#REF!="S",VLOOKUP('Raw Data'!A4161,References!#REF!,2,FALSE),(VLOOKUP($S4161,References!$B$3:$C$8,2,FALSE))),"")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6"/>
        <v>0</v>
      </c>
      <c r="T4162" s="98">
        <f t="shared" si="195"/>
        <v>0</v>
      </c>
      <c r="U4162" s="99" t="str">
        <f>IFERROR(IF(#REF!="S",VLOOKUP('Raw Data'!A4162,References!#REF!,2,FALSE),(VLOOKUP($S4162,References!$B$3:$C$8,2,FALSE))),"")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6"/>
        <v>0</v>
      </c>
      <c r="T4163" s="98">
        <f t="shared" si="195"/>
        <v>0</v>
      </c>
      <c r="U4163" s="99" t="str">
        <f>IFERROR(IF(#REF!="S",VLOOKUP('Raw Data'!A4163,References!#REF!,2,FALSE),(VLOOKUP($S4163,References!$B$3:$C$8,2,FALSE))),"")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6"/>
        <v>0</v>
      </c>
      <c r="T4164" s="98">
        <f t="shared" si="195"/>
        <v>0</v>
      </c>
      <c r="U4164" s="99" t="str">
        <f>IFERROR(IF(#REF!="S",VLOOKUP('Raw Data'!A4164,References!#REF!,2,FALSE),(VLOOKUP($S4164,References!$B$3:$C$8,2,FALSE))),"")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6"/>
        <v>0</v>
      </c>
      <c r="T4165" s="98">
        <f t="shared" si="195"/>
        <v>0</v>
      </c>
      <c r="U4165" s="99" t="str">
        <f>IFERROR(IF(#REF!="S",VLOOKUP('Raw Data'!A4165,References!#REF!,2,FALSE),(VLOOKUP($S4165,References!$B$3:$C$8,2,FALSE))),"")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6"/>
        <v>0</v>
      </c>
      <c r="T4166" s="98">
        <f t="shared" si="195"/>
        <v>0</v>
      </c>
      <c r="U4166" s="99" t="str">
        <f>IFERROR(IF(#REF!="S",VLOOKUP('Raw Data'!A4166,References!#REF!,2,FALSE),(VLOOKUP($S4166,References!$B$3:$C$8,2,FALSE))),"")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6"/>
        <v>0</v>
      </c>
      <c r="T4167" s="98">
        <f t="shared" si="195"/>
        <v>0</v>
      </c>
      <c r="U4167" s="99" t="str">
        <f>IFERROR(IF(#REF!="S",VLOOKUP('Raw Data'!A4167,References!#REF!,2,FALSE),(VLOOKUP($S4167,References!$B$3:$C$8,2,FALSE))),"")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6"/>
        <v>0</v>
      </c>
      <c r="T4168" s="98">
        <f t="shared" si="195"/>
        <v>0</v>
      </c>
      <c r="U4168" s="99" t="str">
        <f>IFERROR(IF(#REF!="S",VLOOKUP('Raw Data'!A4168,References!#REF!,2,FALSE),(VLOOKUP($S4168,References!$B$3:$C$8,2,FALSE))),"")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6"/>
        <v>0</v>
      </c>
      <c r="T4169" s="98">
        <f t="shared" si="195"/>
        <v>0</v>
      </c>
      <c r="U4169" s="99" t="str">
        <f>IFERROR(IF(#REF!="S",VLOOKUP('Raw Data'!A4169,References!#REF!,2,FALSE),(VLOOKUP($S4169,References!$B$3:$C$8,2,FALSE))),"")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6"/>
        <v>0</v>
      </c>
      <c r="T4170" s="98">
        <f t="shared" si="195"/>
        <v>0</v>
      </c>
      <c r="U4170" s="99" t="str">
        <f>IFERROR(IF(#REF!="S",VLOOKUP('Raw Data'!A4170,References!#REF!,2,FALSE),(VLOOKUP($S4170,References!$B$3:$C$8,2,FALSE))),"")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6"/>
        <v>0</v>
      </c>
      <c r="T4171" s="98">
        <f t="shared" si="195"/>
        <v>0</v>
      </c>
      <c r="U4171" s="99" t="str">
        <f>IFERROR(IF(#REF!="S",VLOOKUP('Raw Data'!A4171,References!#REF!,2,FALSE),(VLOOKUP($S4171,References!$B$3:$C$8,2,FALSE))),"")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6"/>
        <v>0</v>
      </c>
      <c r="T4172" s="98">
        <f t="shared" si="195"/>
        <v>0</v>
      </c>
      <c r="U4172" s="99" t="str">
        <f>IFERROR(IF(#REF!="S",VLOOKUP('Raw Data'!A4172,References!#REF!,2,FALSE),(VLOOKUP($S4172,References!$B$3:$C$8,2,FALSE))),"")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6"/>
        <v>0</v>
      </c>
      <c r="T4173" s="98">
        <f t="shared" si="195"/>
        <v>0</v>
      </c>
      <c r="U4173" s="99" t="str">
        <f>IFERROR(IF(#REF!="S",VLOOKUP('Raw Data'!A4173,References!#REF!,2,FALSE),(VLOOKUP($S4173,References!$B$3:$C$8,2,FALSE))),"")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6"/>
        <v>0</v>
      </c>
      <c r="T4174" s="98">
        <f t="shared" si="195"/>
        <v>0</v>
      </c>
      <c r="U4174" s="99" t="str">
        <f>IFERROR(IF(#REF!="S",VLOOKUP('Raw Data'!A4174,References!#REF!,2,FALSE),(VLOOKUP($S4174,References!$B$3:$C$8,2,FALSE))),"")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6"/>
        <v>0</v>
      </c>
      <c r="T4175" s="98">
        <f t="shared" si="195"/>
        <v>0</v>
      </c>
      <c r="U4175" s="99" t="str">
        <f>IFERROR(IF(#REF!="S",VLOOKUP('Raw Data'!A4175,References!#REF!,2,FALSE),(VLOOKUP($S4175,References!$B$3:$C$8,2,FALSE))),"")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6"/>
        <v>0</v>
      </c>
      <c r="T4176" s="98">
        <f t="shared" ref="T4176:T4239" si="197">IF(S4176="50 - Cleaning Fee",1,HOUR($R4176)+MINUTE(R4176)/60)</f>
        <v>0</v>
      </c>
      <c r="U4176" s="99" t="str">
        <f>IFERROR(IF(#REF!="S",VLOOKUP('Raw Data'!A4176,References!#REF!,2,FALSE),(VLOOKUP($S4176,References!$B$3:$C$8,2,FALSE))),"")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6"/>
        <v>0</v>
      </c>
      <c r="T4177" s="98">
        <f t="shared" si="197"/>
        <v>0</v>
      </c>
      <c r="U4177" s="99" t="str">
        <f>IFERROR(IF(#REF!="S",VLOOKUP('Raw Data'!A4177,References!#REF!,2,FALSE),(VLOOKUP($S4177,References!$B$3:$C$8,2,FALSE))),"")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6"/>
        <v>0</v>
      </c>
      <c r="T4178" s="98">
        <f t="shared" si="197"/>
        <v>0</v>
      </c>
      <c r="U4178" s="99" t="str">
        <f>IFERROR(IF(#REF!="S",VLOOKUP('Raw Data'!A4178,References!#REF!,2,FALSE),(VLOOKUP($S4178,References!$B$3:$C$8,2,FALSE))),"")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6"/>
        <v>0</v>
      </c>
      <c r="T4179" s="98">
        <f t="shared" si="197"/>
        <v>0</v>
      </c>
      <c r="U4179" s="99" t="str">
        <f>IFERROR(IF(#REF!="S",VLOOKUP('Raw Data'!A4179,References!#REF!,2,FALSE),(VLOOKUP($S4179,References!$B$3:$C$8,2,FALSE))),"")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6"/>
        <v>0</v>
      </c>
      <c r="T4180" s="98">
        <f t="shared" si="197"/>
        <v>0</v>
      </c>
      <c r="U4180" s="99" t="str">
        <f>IFERROR(IF(#REF!="S",VLOOKUP('Raw Data'!A4180,References!#REF!,2,FALSE),(VLOOKUP($S4180,References!$B$3:$C$8,2,FALSE))),"")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6"/>
        <v>0</v>
      </c>
      <c r="T4181" s="98">
        <f t="shared" si="197"/>
        <v>0</v>
      </c>
      <c r="U4181" s="99" t="str">
        <f>IFERROR(IF(#REF!="S",VLOOKUP('Raw Data'!A4181,References!#REF!,2,FALSE),(VLOOKUP($S4181,References!$B$3:$C$8,2,FALSE))),"")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6"/>
        <v>0</v>
      </c>
      <c r="T4182" s="98">
        <f t="shared" si="197"/>
        <v>0</v>
      </c>
      <c r="U4182" s="99" t="str">
        <f>IFERROR(IF(#REF!="S",VLOOKUP('Raw Data'!A4182,References!#REF!,2,FALSE),(VLOOKUP($S4182,References!$B$3:$C$8,2,FALSE))),"")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6"/>
        <v>0</v>
      </c>
      <c r="T4183" s="98">
        <f t="shared" si="197"/>
        <v>0</v>
      </c>
      <c r="U4183" s="99" t="str">
        <f>IFERROR(IF(#REF!="S",VLOOKUP('Raw Data'!A4183,References!#REF!,2,FALSE),(VLOOKUP($S4183,References!$B$3:$C$8,2,FALSE))),"")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6"/>
        <v>0</v>
      </c>
      <c r="T4184" s="98">
        <f t="shared" si="197"/>
        <v>0</v>
      </c>
      <c r="U4184" s="99" t="str">
        <f>IFERROR(IF(#REF!="S",VLOOKUP('Raw Data'!A4184,References!#REF!,2,FALSE),(VLOOKUP($S4184,References!$B$3:$C$8,2,FALSE))),"")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6"/>
        <v>0</v>
      </c>
      <c r="T4185" s="98">
        <f t="shared" si="197"/>
        <v>0</v>
      </c>
      <c r="U4185" s="99" t="str">
        <f>IFERROR(IF(#REF!="S",VLOOKUP('Raw Data'!A4185,References!#REF!,2,FALSE),(VLOOKUP($S4185,References!$B$3:$C$8,2,FALSE))),"")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6"/>
        <v>0</v>
      </c>
      <c r="T4186" s="98">
        <f t="shared" si="197"/>
        <v>0</v>
      </c>
      <c r="U4186" s="99" t="str">
        <f>IFERROR(IF(#REF!="S",VLOOKUP('Raw Data'!A4186,References!#REF!,2,FALSE),(VLOOKUP($S4186,References!$B$3:$C$8,2,FALSE))),"")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6"/>
        <v>0</v>
      </c>
      <c r="T4187" s="98">
        <f t="shared" si="197"/>
        <v>0</v>
      </c>
      <c r="U4187" s="99" t="str">
        <f>IFERROR(IF(#REF!="S",VLOOKUP('Raw Data'!A4187,References!#REF!,2,FALSE),(VLOOKUP($S4187,References!$B$3:$C$8,2,FALSE))),"")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6"/>
        <v>0</v>
      </c>
      <c r="T4188" s="98">
        <f t="shared" si="197"/>
        <v>0</v>
      </c>
      <c r="U4188" s="99" t="str">
        <f>IFERROR(IF(#REF!="S",VLOOKUP('Raw Data'!A4188,References!#REF!,2,FALSE),(VLOOKUP($S4188,References!$B$3:$C$8,2,FALSE))),"")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6"/>
        <v>0</v>
      </c>
      <c r="T4189" s="98">
        <f t="shared" si="197"/>
        <v>0</v>
      </c>
      <c r="U4189" s="99" t="str">
        <f>IFERROR(IF(#REF!="S",VLOOKUP('Raw Data'!A4189,References!#REF!,2,FALSE),(VLOOKUP($S4189,References!$B$3:$C$8,2,FALSE))),"")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6"/>
        <v>0</v>
      </c>
      <c r="T4190" s="98">
        <f t="shared" si="197"/>
        <v>0</v>
      </c>
      <c r="U4190" s="99" t="str">
        <f>IFERROR(IF(#REF!="S",VLOOKUP('Raw Data'!A4190,References!#REF!,2,FALSE),(VLOOKUP($S4190,References!$B$3:$C$8,2,FALSE))),"")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6"/>
        <v>0</v>
      </c>
      <c r="T4191" s="98">
        <f t="shared" si="197"/>
        <v>0</v>
      </c>
      <c r="U4191" s="99" t="str">
        <f>IFERROR(IF(#REF!="S",VLOOKUP('Raw Data'!A4191,References!#REF!,2,FALSE),(VLOOKUP($S4191,References!$B$3:$C$8,2,FALSE))),"")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6"/>
        <v>0</v>
      </c>
      <c r="T4192" s="98">
        <f t="shared" si="197"/>
        <v>0</v>
      </c>
      <c r="U4192" s="99" t="str">
        <f>IFERROR(IF(#REF!="S",VLOOKUP('Raw Data'!A4192,References!#REF!,2,FALSE),(VLOOKUP($S4192,References!$B$3:$C$8,2,FALSE))),"")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6"/>
        <v>0</v>
      </c>
      <c r="T4193" s="98">
        <f t="shared" si="197"/>
        <v>0</v>
      </c>
      <c r="U4193" s="99" t="str">
        <f>IFERROR(IF(#REF!="S",VLOOKUP('Raw Data'!A4193,References!#REF!,2,FALSE),(VLOOKUP($S4193,References!$B$3:$C$8,2,FALSE))),"")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6"/>
        <v>0</v>
      </c>
      <c r="T4194" s="98">
        <f t="shared" si="197"/>
        <v>0</v>
      </c>
      <c r="U4194" s="99" t="str">
        <f>IFERROR(IF(#REF!="S",VLOOKUP('Raw Data'!A4194,References!#REF!,2,FALSE),(VLOOKUP($S4194,References!$B$3:$C$8,2,FALSE))),"")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6"/>
        <v>0</v>
      </c>
      <c r="T4195" s="98">
        <f t="shared" si="197"/>
        <v>0</v>
      </c>
      <c r="U4195" s="99" t="str">
        <f>IFERROR(IF(#REF!="S",VLOOKUP('Raw Data'!A4195,References!#REF!,2,FALSE),(VLOOKUP($S4195,References!$B$3:$C$8,2,FALSE))),"")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6"/>
        <v>0</v>
      </c>
      <c r="T4196" s="98">
        <f t="shared" si="197"/>
        <v>0</v>
      </c>
      <c r="U4196" s="99" t="str">
        <f>IFERROR(IF(#REF!="S",VLOOKUP('Raw Data'!A4196,References!#REF!,2,FALSE),(VLOOKUP($S4196,References!$B$3:$C$8,2,FALSE))),"")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6"/>
        <v>0</v>
      </c>
      <c r="T4197" s="98">
        <f t="shared" si="197"/>
        <v>0</v>
      </c>
      <c r="U4197" s="99" t="str">
        <f>IFERROR(IF(#REF!="S",VLOOKUP('Raw Data'!A4197,References!#REF!,2,FALSE),(VLOOKUP($S4197,References!$B$3:$C$8,2,FALSE))),"")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6"/>
        <v>0</v>
      </c>
      <c r="T4198" s="98">
        <f t="shared" si="197"/>
        <v>0</v>
      </c>
      <c r="U4198" s="99" t="str">
        <f>IFERROR(IF(#REF!="S",VLOOKUP('Raw Data'!A4198,References!#REF!,2,FALSE),(VLOOKUP($S4198,References!$B$3:$C$8,2,FALSE))),"")</f>
        <v/>
      </c>
      <c r="W4198" s="66" t="str">
        <f>IFERROR(VLOOKUP($O4198,'Customer List'!$A$1:$J$488,10,FALSE),"")</f>
        <v/>
      </c>
    </row>
    <row r="4199" spans="18:23">
      <c r="R4199" s="97">
        <f t="shared" si="196"/>
        <v>0</v>
      </c>
      <c r="T4199" s="98">
        <f t="shared" si="197"/>
        <v>0</v>
      </c>
      <c r="U4199" s="99" t="str">
        <f>IFERROR(IF(#REF!="S",VLOOKUP('Raw Data'!A4199,References!#REF!,2,FALSE),(VLOOKUP($S4199,References!$B$3:$C$8,2,FALSE))),"")</f>
        <v/>
      </c>
      <c r="W4199" s="66" t="str">
        <f>IFERROR(VLOOKUP($O4199,'Customer List'!$A$1:$J$488,10,FALSE),"")</f>
        <v/>
      </c>
    </row>
    <row r="4200" spans="18:23">
      <c r="R4200" s="97">
        <f t="shared" ref="R4200:R4263" si="198">L4200-K4200</f>
        <v>0</v>
      </c>
      <c r="T4200" s="98">
        <f t="shared" si="197"/>
        <v>0</v>
      </c>
      <c r="U4200" s="99" t="str">
        <f>IFERROR(IF(#REF!="S",VLOOKUP('Raw Data'!A4200,References!#REF!,2,FALSE),(VLOOKUP($S4200,References!$B$3:$C$8,2,FALSE))),"")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198"/>
        <v>0</v>
      </c>
      <c r="T4201" s="98">
        <f t="shared" si="197"/>
        <v>0</v>
      </c>
      <c r="U4201" s="99" t="str">
        <f>IFERROR(IF(#REF!="S",VLOOKUP('Raw Data'!A4201,References!#REF!,2,FALSE),(VLOOKUP($S4201,References!$B$3:$C$8,2,FALSE))),"")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198"/>
        <v>0</v>
      </c>
      <c r="T4202" s="98">
        <f t="shared" si="197"/>
        <v>0</v>
      </c>
      <c r="U4202" s="99" t="str">
        <f>IFERROR(IF(#REF!="S",VLOOKUP('Raw Data'!A4202,References!#REF!,2,FALSE),(VLOOKUP($S4202,References!$B$3:$C$8,2,FALSE))),"")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198"/>
        <v>0</v>
      </c>
      <c r="T4203" s="98">
        <f t="shared" si="197"/>
        <v>0</v>
      </c>
      <c r="U4203" s="99" t="str">
        <f>IFERROR(IF(#REF!="S",VLOOKUP('Raw Data'!A4203,References!#REF!,2,FALSE),(VLOOKUP($S4203,References!$B$3:$C$8,2,FALSE))),"")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198"/>
        <v>0</v>
      </c>
      <c r="T4204" s="98">
        <f t="shared" si="197"/>
        <v>0</v>
      </c>
      <c r="U4204" s="99" t="str">
        <f>IFERROR(IF(#REF!="S",VLOOKUP('Raw Data'!A4204,References!#REF!,2,FALSE),(VLOOKUP($S4204,References!$B$3:$C$8,2,FALSE))),"")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198"/>
        <v>0</v>
      </c>
      <c r="T4205" s="98">
        <f t="shared" si="197"/>
        <v>0</v>
      </c>
      <c r="U4205" s="99" t="str">
        <f>IFERROR(IF(#REF!="S",VLOOKUP('Raw Data'!A4205,References!#REF!,2,FALSE),(VLOOKUP($S4205,References!$B$3:$C$8,2,FALSE))),"")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198"/>
        <v>0</v>
      </c>
      <c r="T4206" s="98">
        <f t="shared" si="197"/>
        <v>0</v>
      </c>
      <c r="U4206" s="99" t="str">
        <f>IFERROR(IF(#REF!="S",VLOOKUP('Raw Data'!A4206,References!#REF!,2,FALSE),(VLOOKUP($S4206,References!$B$3:$C$8,2,FALSE))),"")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198"/>
        <v>0</v>
      </c>
      <c r="T4207" s="98">
        <f t="shared" si="197"/>
        <v>0</v>
      </c>
      <c r="U4207" s="99" t="str">
        <f>IFERROR(IF(#REF!="S",VLOOKUP('Raw Data'!A4207,References!#REF!,2,FALSE),(VLOOKUP($S4207,References!$B$3:$C$8,2,FALSE))),"")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198"/>
        <v>0</v>
      </c>
      <c r="T4208" s="98">
        <f t="shared" si="197"/>
        <v>0</v>
      </c>
      <c r="U4208" s="99" t="str">
        <f>IFERROR(IF(#REF!="S",VLOOKUP('Raw Data'!A4208,References!#REF!,2,FALSE),(VLOOKUP($S4208,References!$B$3:$C$8,2,FALSE))),"")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198"/>
        <v>0</v>
      </c>
      <c r="T4209" s="98">
        <f t="shared" si="197"/>
        <v>0</v>
      </c>
      <c r="U4209" s="99" t="str">
        <f>IFERROR(IF(#REF!="S",VLOOKUP('Raw Data'!A4209,References!#REF!,2,FALSE),(VLOOKUP($S4209,References!$B$3:$C$8,2,FALSE))),"")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198"/>
        <v>0</v>
      </c>
      <c r="T4210" s="98">
        <f t="shared" si="197"/>
        <v>0</v>
      </c>
      <c r="U4210" s="99" t="str">
        <f>IFERROR(IF(#REF!="S",VLOOKUP('Raw Data'!A4210,References!#REF!,2,FALSE),(VLOOKUP($S4210,References!$B$3:$C$8,2,FALSE))),"")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198"/>
        <v>0</v>
      </c>
      <c r="T4211" s="98">
        <f t="shared" si="197"/>
        <v>0</v>
      </c>
      <c r="U4211" s="99" t="str">
        <f>IFERROR(IF(#REF!="S",VLOOKUP('Raw Data'!A4211,References!#REF!,2,FALSE),(VLOOKUP($S4211,References!$B$3:$C$8,2,FALSE))),"")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198"/>
        <v>0</v>
      </c>
      <c r="T4212" s="98">
        <f t="shared" si="197"/>
        <v>0</v>
      </c>
      <c r="U4212" s="99" t="str">
        <f>IFERROR(IF(#REF!="S",VLOOKUP('Raw Data'!A4212,References!#REF!,2,FALSE),(VLOOKUP($S4212,References!$B$3:$C$8,2,FALSE))),"")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198"/>
        <v>0</v>
      </c>
      <c r="T4213" s="98">
        <f t="shared" si="197"/>
        <v>0</v>
      </c>
      <c r="U4213" s="99" t="str">
        <f>IFERROR(IF(#REF!="S",VLOOKUP('Raw Data'!A4213,References!#REF!,2,FALSE),(VLOOKUP($S4213,References!$B$3:$C$8,2,FALSE))),"")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198"/>
        <v>0</v>
      </c>
      <c r="T4214" s="98">
        <f t="shared" si="197"/>
        <v>0</v>
      </c>
      <c r="U4214" s="99" t="str">
        <f>IFERROR(IF(#REF!="S",VLOOKUP('Raw Data'!A4214,References!#REF!,2,FALSE),(VLOOKUP($S4214,References!$B$3:$C$8,2,FALSE))),"")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198"/>
        <v>0</v>
      </c>
      <c r="T4215" s="98">
        <f t="shared" si="197"/>
        <v>0</v>
      </c>
      <c r="U4215" s="99" t="str">
        <f>IFERROR(IF(#REF!="S",VLOOKUP('Raw Data'!A4215,References!#REF!,2,FALSE),(VLOOKUP($S4215,References!$B$3:$C$8,2,FALSE))),"")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198"/>
        <v>0</v>
      </c>
      <c r="T4216" s="98">
        <f t="shared" si="197"/>
        <v>0</v>
      </c>
      <c r="U4216" s="99" t="str">
        <f>IFERROR(IF(#REF!="S",VLOOKUP('Raw Data'!A4216,References!#REF!,2,FALSE),(VLOOKUP($S4216,References!$B$3:$C$8,2,FALSE))),"")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198"/>
        <v>0</v>
      </c>
      <c r="T4217" s="98">
        <f t="shared" si="197"/>
        <v>0</v>
      </c>
      <c r="U4217" s="99" t="str">
        <f>IFERROR(IF(#REF!="S",VLOOKUP('Raw Data'!A4217,References!#REF!,2,FALSE),(VLOOKUP($S4217,References!$B$3:$C$8,2,FALSE))),"")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198"/>
        <v>0</v>
      </c>
      <c r="T4218" s="98">
        <f t="shared" si="197"/>
        <v>0</v>
      </c>
      <c r="U4218" s="99" t="str">
        <f>IFERROR(IF(#REF!="S",VLOOKUP('Raw Data'!A4218,References!#REF!,2,FALSE),(VLOOKUP($S4218,References!$B$3:$C$8,2,FALSE))),"")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198"/>
        <v>0</v>
      </c>
      <c r="T4219" s="98">
        <f t="shared" si="197"/>
        <v>0</v>
      </c>
      <c r="U4219" s="99" t="str">
        <f>IFERROR(IF(#REF!="S",VLOOKUP('Raw Data'!A4219,References!#REF!,2,FALSE),(VLOOKUP($S4219,References!$B$3:$C$8,2,FALSE))),"")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198"/>
        <v>0</v>
      </c>
      <c r="T4220" s="98">
        <f t="shared" si="197"/>
        <v>0</v>
      </c>
      <c r="U4220" s="99" t="str">
        <f>IFERROR(IF(#REF!="S",VLOOKUP('Raw Data'!A4220,References!#REF!,2,FALSE),(VLOOKUP($S4220,References!$B$3:$C$8,2,FALSE))),"")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198"/>
        <v>0</v>
      </c>
      <c r="T4221" s="98">
        <f t="shared" si="197"/>
        <v>0</v>
      </c>
      <c r="U4221" s="99" t="str">
        <f>IFERROR(IF(#REF!="S",VLOOKUP('Raw Data'!A4221,References!#REF!,2,FALSE),(VLOOKUP($S4221,References!$B$3:$C$8,2,FALSE))),"")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198"/>
        <v>0</v>
      </c>
      <c r="T4222" s="98">
        <f t="shared" si="197"/>
        <v>0</v>
      </c>
      <c r="U4222" s="99" t="str">
        <f>IFERROR(IF(#REF!="S",VLOOKUP('Raw Data'!A4222,References!#REF!,2,FALSE),(VLOOKUP($S4222,References!$B$3:$C$8,2,FALSE))),"")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198"/>
        <v>0</v>
      </c>
      <c r="T4223" s="98">
        <f t="shared" si="197"/>
        <v>0</v>
      </c>
      <c r="U4223" s="99" t="str">
        <f>IFERROR(IF(#REF!="S",VLOOKUP('Raw Data'!A4223,References!#REF!,2,FALSE),(VLOOKUP($S4223,References!$B$3:$C$8,2,FALSE))),"")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198"/>
        <v>0</v>
      </c>
      <c r="T4224" s="98">
        <f t="shared" si="197"/>
        <v>0</v>
      </c>
      <c r="U4224" s="99" t="str">
        <f>IFERROR(IF(#REF!="S",VLOOKUP('Raw Data'!A4224,References!#REF!,2,FALSE),(VLOOKUP($S4224,References!$B$3:$C$8,2,FALSE))),"")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198"/>
        <v>0</v>
      </c>
      <c r="T4225" s="98">
        <f t="shared" si="197"/>
        <v>0</v>
      </c>
      <c r="U4225" s="99" t="str">
        <f>IFERROR(IF(#REF!="S",VLOOKUP('Raw Data'!A4225,References!#REF!,2,FALSE),(VLOOKUP($S4225,References!$B$3:$C$8,2,FALSE))),"")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198"/>
        <v>0</v>
      </c>
      <c r="T4226" s="98">
        <f t="shared" si="197"/>
        <v>0</v>
      </c>
      <c r="U4226" s="99" t="str">
        <f>IFERROR(IF(#REF!="S",VLOOKUP('Raw Data'!A4226,References!#REF!,2,FALSE),(VLOOKUP($S4226,References!$B$3:$C$8,2,FALSE))),"")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198"/>
        <v>0</v>
      </c>
      <c r="T4227" s="98">
        <f t="shared" si="197"/>
        <v>0</v>
      </c>
      <c r="U4227" s="99" t="str">
        <f>IFERROR(IF(#REF!="S",VLOOKUP('Raw Data'!A4227,References!#REF!,2,FALSE),(VLOOKUP($S4227,References!$B$3:$C$8,2,FALSE))),"")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198"/>
        <v>0</v>
      </c>
      <c r="T4228" s="98">
        <f t="shared" si="197"/>
        <v>0</v>
      </c>
      <c r="U4228" s="99" t="str">
        <f>IFERROR(IF(#REF!="S",VLOOKUP('Raw Data'!A4228,References!#REF!,2,FALSE),(VLOOKUP($S4228,References!$B$3:$C$8,2,FALSE))),"")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198"/>
        <v>0</v>
      </c>
      <c r="T4229" s="98">
        <f t="shared" si="197"/>
        <v>0</v>
      </c>
      <c r="U4229" s="99" t="str">
        <f>IFERROR(IF(#REF!="S",VLOOKUP('Raw Data'!A4229,References!#REF!,2,FALSE),(VLOOKUP($S4229,References!$B$3:$C$8,2,FALSE))),"")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198"/>
        <v>0</v>
      </c>
      <c r="T4230" s="98">
        <f t="shared" si="197"/>
        <v>0</v>
      </c>
      <c r="U4230" s="99" t="str">
        <f>IFERROR(IF(#REF!="S",VLOOKUP('Raw Data'!A4230,References!#REF!,2,FALSE),(VLOOKUP($S4230,References!$B$3:$C$8,2,FALSE))),"")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198"/>
        <v>0</v>
      </c>
      <c r="T4231" s="98">
        <f t="shared" si="197"/>
        <v>0</v>
      </c>
      <c r="U4231" s="99" t="str">
        <f>IFERROR(IF(#REF!="S",VLOOKUP('Raw Data'!A4231,References!#REF!,2,FALSE),(VLOOKUP($S4231,References!$B$3:$C$8,2,FALSE))),"")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198"/>
        <v>0</v>
      </c>
      <c r="T4232" s="98">
        <f t="shared" si="197"/>
        <v>0</v>
      </c>
      <c r="U4232" s="99" t="str">
        <f>IFERROR(IF(#REF!="S",VLOOKUP('Raw Data'!A4232,References!#REF!,2,FALSE),(VLOOKUP($S4232,References!$B$3:$C$8,2,FALSE))),"")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198"/>
        <v>0</v>
      </c>
      <c r="T4233" s="98">
        <f t="shared" si="197"/>
        <v>0</v>
      </c>
      <c r="U4233" s="99" t="str">
        <f>IFERROR(IF(#REF!="S",VLOOKUP('Raw Data'!A4233,References!#REF!,2,FALSE),(VLOOKUP($S4233,References!$B$3:$C$8,2,FALSE))),"")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198"/>
        <v>0</v>
      </c>
      <c r="T4234" s="98">
        <f t="shared" si="197"/>
        <v>0</v>
      </c>
      <c r="U4234" s="99" t="str">
        <f>IFERROR(IF(#REF!="S",VLOOKUP('Raw Data'!A4234,References!#REF!,2,FALSE),(VLOOKUP($S4234,References!$B$3:$C$8,2,FALSE))),"")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198"/>
        <v>0</v>
      </c>
      <c r="T4235" s="98">
        <f t="shared" si="197"/>
        <v>0</v>
      </c>
      <c r="U4235" s="99" t="str">
        <f>IFERROR(IF(#REF!="S",VLOOKUP('Raw Data'!A4235,References!#REF!,2,FALSE),(VLOOKUP($S4235,References!$B$3:$C$8,2,FALSE))),"")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198"/>
        <v>0</v>
      </c>
      <c r="T4236" s="98">
        <f t="shared" si="197"/>
        <v>0</v>
      </c>
      <c r="U4236" s="99" t="str">
        <f>IFERROR(IF(#REF!="S",VLOOKUP('Raw Data'!A4236,References!#REF!,2,FALSE),(VLOOKUP($S4236,References!$B$3:$C$8,2,FALSE))),"")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198"/>
        <v>0</v>
      </c>
      <c r="T4237" s="98">
        <f t="shared" si="197"/>
        <v>0</v>
      </c>
      <c r="U4237" s="99" t="str">
        <f>IFERROR(IF(#REF!="S",VLOOKUP('Raw Data'!A4237,References!#REF!,2,FALSE),(VLOOKUP($S4237,References!$B$3:$C$8,2,FALSE))),"")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198"/>
        <v>0</v>
      </c>
      <c r="T4238" s="98">
        <f t="shared" si="197"/>
        <v>0</v>
      </c>
      <c r="U4238" s="99" t="str">
        <f>IFERROR(IF(#REF!="S",VLOOKUP('Raw Data'!A4238,References!#REF!,2,FALSE),(VLOOKUP($S4238,References!$B$3:$C$8,2,FALSE))),"")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198"/>
        <v>0</v>
      </c>
      <c r="T4239" s="98">
        <f t="shared" si="197"/>
        <v>0</v>
      </c>
      <c r="U4239" s="99" t="str">
        <f>IFERROR(IF(#REF!="S",VLOOKUP('Raw Data'!A4239,References!#REF!,2,FALSE),(VLOOKUP($S4239,References!$B$3:$C$8,2,FALSE))),"")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198"/>
        <v>0</v>
      </c>
      <c r="T4240" s="98">
        <f t="shared" ref="T4240:T4303" si="199">IF(S4240="50 - Cleaning Fee",1,HOUR($R4240)+MINUTE(R4240)/60)</f>
        <v>0</v>
      </c>
      <c r="U4240" s="99" t="str">
        <f>IFERROR(IF(#REF!="S",VLOOKUP('Raw Data'!A4240,References!#REF!,2,FALSE),(VLOOKUP($S4240,References!$B$3:$C$8,2,FALSE))),"")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198"/>
        <v>0</v>
      </c>
      <c r="T4241" s="98">
        <f t="shared" si="199"/>
        <v>0</v>
      </c>
      <c r="U4241" s="99" t="str">
        <f>IFERROR(IF(#REF!="S",VLOOKUP('Raw Data'!A4241,References!#REF!,2,FALSE),(VLOOKUP($S4241,References!$B$3:$C$8,2,FALSE))),"")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198"/>
        <v>0</v>
      </c>
      <c r="T4242" s="98">
        <f t="shared" si="199"/>
        <v>0</v>
      </c>
      <c r="U4242" s="99" t="str">
        <f>IFERROR(IF(#REF!="S",VLOOKUP('Raw Data'!A4242,References!#REF!,2,FALSE),(VLOOKUP($S4242,References!$B$3:$C$8,2,FALSE))),"")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198"/>
        <v>0</v>
      </c>
      <c r="T4243" s="98">
        <f t="shared" si="199"/>
        <v>0</v>
      </c>
      <c r="U4243" s="99" t="str">
        <f>IFERROR(IF(#REF!="S",VLOOKUP('Raw Data'!A4243,References!#REF!,2,FALSE),(VLOOKUP($S4243,References!$B$3:$C$8,2,FALSE))),"")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198"/>
        <v>0</v>
      </c>
      <c r="T4244" s="98">
        <f t="shared" si="199"/>
        <v>0</v>
      </c>
      <c r="U4244" s="99" t="str">
        <f>IFERROR(IF(#REF!="S",VLOOKUP('Raw Data'!A4244,References!#REF!,2,FALSE),(VLOOKUP($S4244,References!$B$3:$C$8,2,FALSE))),"")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198"/>
        <v>0</v>
      </c>
      <c r="T4245" s="98">
        <f t="shared" si="199"/>
        <v>0</v>
      </c>
      <c r="U4245" s="99" t="str">
        <f>IFERROR(IF(#REF!="S",VLOOKUP('Raw Data'!A4245,References!#REF!,2,FALSE),(VLOOKUP($S4245,References!$B$3:$C$8,2,FALSE))),"")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198"/>
        <v>0</v>
      </c>
      <c r="T4246" s="98">
        <f t="shared" si="199"/>
        <v>0</v>
      </c>
      <c r="U4246" s="99" t="str">
        <f>IFERROR(IF(#REF!="S",VLOOKUP('Raw Data'!A4246,References!#REF!,2,FALSE),(VLOOKUP($S4246,References!$B$3:$C$8,2,FALSE))),"")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198"/>
        <v>0</v>
      </c>
      <c r="T4247" s="98">
        <f t="shared" si="199"/>
        <v>0</v>
      </c>
      <c r="U4247" s="99" t="str">
        <f>IFERROR(IF(#REF!="S",VLOOKUP('Raw Data'!A4247,References!#REF!,2,FALSE),(VLOOKUP($S4247,References!$B$3:$C$8,2,FALSE))),"")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198"/>
        <v>0</v>
      </c>
      <c r="T4248" s="98">
        <f t="shared" si="199"/>
        <v>0</v>
      </c>
      <c r="U4248" s="99" t="str">
        <f>IFERROR(IF(#REF!="S",VLOOKUP('Raw Data'!A4248,References!#REF!,2,FALSE),(VLOOKUP($S4248,References!$B$3:$C$8,2,FALSE))),"")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198"/>
        <v>0</v>
      </c>
      <c r="T4249" s="98">
        <f t="shared" si="199"/>
        <v>0</v>
      </c>
      <c r="U4249" s="99" t="str">
        <f>IFERROR(IF(#REF!="S",VLOOKUP('Raw Data'!A4249,References!#REF!,2,FALSE),(VLOOKUP($S4249,References!$B$3:$C$8,2,FALSE))),"")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198"/>
        <v>0</v>
      </c>
      <c r="T4250" s="98">
        <f t="shared" si="199"/>
        <v>0</v>
      </c>
      <c r="U4250" s="99" t="str">
        <f>IFERROR(IF(#REF!="S",VLOOKUP('Raw Data'!A4250,References!#REF!,2,FALSE),(VLOOKUP($S4250,References!$B$3:$C$8,2,FALSE))),"")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198"/>
        <v>0</v>
      </c>
      <c r="T4251" s="98">
        <f t="shared" si="199"/>
        <v>0</v>
      </c>
      <c r="U4251" s="99" t="str">
        <f>IFERROR(IF(#REF!="S",VLOOKUP('Raw Data'!A4251,References!#REF!,2,FALSE),(VLOOKUP($S4251,References!$B$3:$C$8,2,FALSE))),"")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198"/>
        <v>0</v>
      </c>
      <c r="T4252" s="98">
        <f t="shared" si="199"/>
        <v>0</v>
      </c>
      <c r="U4252" s="99" t="str">
        <f>IFERROR(IF(#REF!="S",VLOOKUP('Raw Data'!A4252,References!#REF!,2,FALSE),(VLOOKUP($S4252,References!$B$3:$C$8,2,FALSE))),"")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198"/>
        <v>0</v>
      </c>
      <c r="T4253" s="98">
        <f t="shared" si="199"/>
        <v>0</v>
      </c>
      <c r="U4253" s="99" t="str">
        <f>IFERROR(IF(#REF!="S",VLOOKUP('Raw Data'!A4253,References!#REF!,2,FALSE),(VLOOKUP($S4253,References!$B$3:$C$8,2,FALSE))),"")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198"/>
        <v>0</v>
      </c>
      <c r="T4254" s="98">
        <f t="shared" si="199"/>
        <v>0</v>
      </c>
      <c r="U4254" s="99" t="str">
        <f>IFERROR(IF(#REF!="S",VLOOKUP('Raw Data'!A4254,References!#REF!,2,FALSE),(VLOOKUP($S4254,References!$B$3:$C$8,2,FALSE))),"")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198"/>
        <v>0</v>
      </c>
      <c r="T4255" s="98">
        <f t="shared" si="199"/>
        <v>0</v>
      </c>
      <c r="U4255" s="99" t="str">
        <f>IFERROR(IF(#REF!="S",VLOOKUP('Raw Data'!A4255,References!#REF!,2,FALSE),(VLOOKUP($S4255,References!$B$3:$C$8,2,FALSE))),"")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198"/>
        <v>0</v>
      </c>
      <c r="T4256" s="98">
        <f t="shared" si="199"/>
        <v>0</v>
      </c>
      <c r="U4256" s="99" t="str">
        <f>IFERROR(IF(#REF!="S",VLOOKUP('Raw Data'!A4256,References!#REF!,2,FALSE),(VLOOKUP($S4256,References!$B$3:$C$8,2,FALSE))),"")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198"/>
        <v>0</v>
      </c>
      <c r="T4257" s="98">
        <f t="shared" si="199"/>
        <v>0</v>
      </c>
      <c r="U4257" s="99" t="str">
        <f>IFERROR(IF(#REF!="S",VLOOKUP('Raw Data'!A4257,References!#REF!,2,FALSE),(VLOOKUP($S4257,References!$B$3:$C$8,2,FALSE))),"")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198"/>
        <v>0</v>
      </c>
      <c r="T4258" s="98">
        <f t="shared" si="199"/>
        <v>0</v>
      </c>
      <c r="U4258" s="99" t="str">
        <f>IFERROR(IF(#REF!="S",VLOOKUP('Raw Data'!A4258,References!#REF!,2,FALSE),(VLOOKUP($S4258,References!$B$3:$C$8,2,FALSE))),"")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198"/>
        <v>0</v>
      </c>
      <c r="T4259" s="98">
        <f t="shared" si="199"/>
        <v>0</v>
      </c>
      <c r="U4259" s="99" t="str">
        <f>IFERROR(IF(#REF!="S",VLOOKUP('Raw Data'!A4259,References!#REF!,2,FALSE),(VLOOKUP($S4259,References!$B$3:$C$8,2,FALSE))),"")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198"/>
        <v>0</v>
      </c>
      <c r="T4260" s="98">
        <f t="shared" si="199"/>
        <v>0</v>
      </c>
      <c r="U4260" s="99" t="str">
        <f>IFERROR(IF(#REF!="S",VLOOKUP('Raw Data'!A4260,References!#REF!,2,FALSE),(VLOOKUP($S4260,References!$B$3:$C$8,2,FALSE))),"")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198"/>
        <v>0</v>
      </c>
      <c r="T4261" s="98">
        <f t="shared" si="199"/>
        <v>0</v>
      </c>
      <c r="U4261" s="99" t="str">
        <f>IFERROR(IF(#REF!="S",VLOOKUP('Raw Data'!A4261,References!#REF!,2,FALSE),(VLOOKUP($S4261,References!$B$3:$C$8,2,FALSE))),"")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198"/>
        <v>0</v>
      </c>
      <c r="T4262" s="98">
        <f t="shared" si="199"/>
        <v>0</v>
      </c>
      <c r="U4262" s="99" t="str">
        <f>IFERROR(IF(#REF!="S",VLOOKUP('Raw Data'!A4262,References!#REF!,2,FALSE),(VLOOKUP($S4262,References!$B$3:$C$8,2,FALSE))),"")</f>
        <v/>
      </c>
      <c r="W4262" s="66" t="str">
        <f>IFERROR(VLOOKUP($O4262,'Customer List'!$A$1:$J$488,10,FALSE),"")</f>
        <v/>
      </c>
    </row>
    <row r="4263" spans="18:23">
      <c r="R4263" s="97">
        <f t="shared" si="198"/>
        <v>0</v>
      </c>
      <c r="T4263" s="98">
        <f t="shared" si="199"/>
        <v>0</v>
      </c>
      <c r="U4263" s="99" t="str">
        <f>IFERROR(IF(#REF!="S",VLOOKUP('Raw Data'!A4263,References!#REF!,2,FALSE),(VLOOKUP($S4263,References!$B$3:$C$8,2,FALSE))),"")</f>
        <v/>
      </c>
      <c r="W4263" s="66" t="str">
        <f>IFERROR(VLOOKUP($O4263,'Customer List'!$A$1:$J$488,10,FALSE),"")</f>
        <v/>
      </c>
    </row>
    <row r="4264" spans="18:23">
      <c r="R4264" s="97">
        <f t="shared" ref="R4264:R4327" si="200">L4264-K4264</f>
        <v>0</v>
      </c>
      <c r="T4264" s="98">
        <f t="shared" si="199"/>
        <v>0</v>
      </c>
      <c r="U4264" s="99" t="str">
        <f>IFERROR(IF(#REF!="S",VLOOKUP('Raw Data'!A4264,References!#REF!,2,FALSE),(VLOOKUP($S4264,References!$B$3:$C$8,2,FALSE))),"")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0"/>
        <v>0</v>
      </c>
      <c r="T4265" s="98">
        <f t="shared" si="199"/>
        <v>0</v>
      </c>
      <c r="U4265" s="99" t="str">
        <f>IFERROR(IF(#REF!="S",VLOOKUP('Raw Data'!A4265,References!#REF!,2,FALSE),(VLOOKUP($S4265,References!$B$3:$C$8,2,FALSE))),"")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0"/>
        <v>0</v>
      </c>
      <c r="T4266" s="98">
        <f t="shared" si="199"/>
        <v>0</v>
      </c>
      <c r="U4266" s="99" t="str">
        <f>IFERROR(IF(#REF!="S",VLOOKUP('Raw Data'!A4266,References!#REF!,2,FALSE),(VLOOKUP($S4266,References!$B$3:$C$8,2,FALSE))),"")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0"/>
        <v>0</v>
      </c>
      <c r="T4267" s="98">
        <f t="shared" si="199"/>
        <v>0</v>
      </c>
      <c r="U4267" s="99" t="str">
        <f>IFERROR(IF(#REF!="S",VLOOKUP('Raw Data'!A4267,References!#REF!,2,FALSE),(VLOOKUP($S4267,References!$B$3:$C$8,2,FALSE))),"")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0"/>
        <v>0</v>
      </c>
      <c r="T4268" s="98">
        <f t="shared" si="199"/>
        <v>0</v>
      </c>
      <c r="U4268" s="99" t="str">
        <f>IFERROR(IF(#REF!="S",VLOOKUP('Raw Data'!A4268,References!#REF!,2,FALSE),(VLOOKUP($S4268,References!$B$3:$C$8,2,FALSE))),"")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0"/>
        <v>0</v>
      </c>
      <c r="T4269" s="98">
        <f t="shared" si="199"/>
        <v>0</v>
      </c>
      <c r="U4269" s="99" t="str">
        <f>IFERROR(IF(#REF!="S",VLOOKUP('Raw Data'!A4269,References!#REF!,2,FALSE),(VLOOKUP($S4269,References!$B$3:$C$8,2,FALSE))),"")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0"/>
        <v>0</v>
      </c>
      <c r="T4270" s="98">
        <f t="shared" si="199"/>
        <v>0</v>
      </c>
      <c r="U4270" s="99" t="str">
        <f>IFERROR(IF(#REF!="S",VLOOKUP('Raw Data'!A4270,References!#REF!,2,FALSE),(VLOOKUP($S4270,References!$B$3:$C$8,2,FALSE))),"")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0"/>
        <v>0</v>
      </c>
      <c r="T4271" s="98">
        <f t="shared" si="199"/>
        <v>0</v>
      </c>
      <c r="U4271" s="99" t="str">
        <f>IFERROR(IF(#REF!="S",VLOOKUP('Raw Data'!A4271,References!#REF!,2,FALSE),(VLOOKUP($S4271,References!$B$3:$C$8,2,FALSE))),"")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0"/>
        <v>0</v>
      </c>
      <c r="T4272" s="98">
        <f t="shared" si="199"/>
        <v>0</v>
      </c>
      <c r="U4272" s="99" t="str">
        <f>IFERROR(IF(#REF!="S",VLOOKUP('Raw Data'!A4272,References!#REF!,2,FALSE),(VLOOKUP($S4272,References!$B$3:$C$8,2,FALSE))),"")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0"/>
        <v>0</v>
      </c>
      <c r="T4273" s="98">
        <f t="shared" si="199"/>
        <v>0</v>
      </c>
      <c r="U4273" s="99" t="str">
        <f>IFERROR(IF(#REF!="S",VLOOKUP('Raw Data'!A4273,References!#REF!,2,FALSE),(VLOOKUP($S4273,References!$B$3:$C$8,2,FALSE))),"")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0"/>
        <v>0</v>
      </c>
      <c r="T4274" s="98">
        <f t="shared" si="199"/>
        <v>0</v>
      </c>
      <c r="U4274" s="99" t="str">
        <f>IFERROR(IF(#REF!="S",VLOOKUP('Raw Data'!A4274,References!#REF!,2,FALSE),(VLOOKUP($S4274,References!$B$3:$C$8,2,FALSE))),"")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0"/>
        <v>0</v>
      </c>
      <c r="T4275" s="98">
        <f t="shared" si="199"/>
        <v>0</v>
      </c>
      <c r="U4275" s="99" t="str">
        <f>IFERROR(IF(#REF!="S",VLOOKUP('Raw Data'!A4275,References!#REF!,2,FALSE),(VLOOKUP($S4275,References!$B$3:$C$8,2,FALSE))),"")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0"/>
        <v>0</v>
      </c>
      <c r="T4276" s="98">
        <f t="shared" si="199"/>
        <v>0</v>
      </c>
      <c r="U4276" s="99" t="str">
        <f>IFERROR(IF(#REF!="S",VLOOKUP('Raw Data'!A4276,References!#REF!,2,FALSE),(VLOOKUP($S4276,References!$B$3:$C$8,2,FALSE))),"")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0"/>
        <v>0</v>
      </c>
      <c r="T4277" s="98">
        <f t="shared" si="199"/>
        <v>0</v>
      </c>
      <c r="U4277" s="99" t="str">
        <f>IFERROR(IF(#REF!="S",VLOOKUP('Raw Data'!A4277,References!#REF!,2,FALSE),(VLOOKUP($S4277,References!$B$3:$C$8,2,FALSE))),"")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0"/>
        <v>0</v>
      </c>
      <c r="T4278" s="98">
        <f t="shared" si="199"/>
        <v>0</v>
      </c>
      <c r="U4278" s="99" t="str">
        <f>IFERROR(IF(#REF!="S",VLOOKUP('Raw Data'!A4278,References!#REF!,2,FALSE),(VLOOKUP($S4278,References!$B$3:$C$8,2,FALSE))),"")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0"/>
        <v>0</v>
      </c>
      <c r="T4279" s="98">
        <f t="shared" si="199"/>
        <v>0</v>
      </c>
      <c r="U4279" s="99" t="str">
        <f>IFERROR(IF(#REF!="S",VLOOKUP('Raw Data'!A4279,References!#REF!,2,FALSE),(VLOOKUP($S4279,References!$B$3:$C$8,2,FALSE))),"")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0"/>
        <v>0</v>
      </c>
      <c r="T4280" s="98">
        <f t="shared" si="199"/>
        <v>0</v>
      </c>
      <c r="U4280" s="99" t="str">
        <f>IFERROR(IF(#REF!="S",VLOOKUP('Raw Data'!A4280,References!#REF!,2,FALSE),(VLOOKUP($S4280,References!$B$3:$C$8,2,FALSE))),"")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0"/>
        <v>0</v>
      </c>
      <c r="T4281" s="98">
        <f t="shared" si="199"/>
        <v>0</v>
      </c>
      <c r="U4281" s="99" t="str">
        <f>IFERROR(IF(#REF!="S",VLOOKUP('Raw Data'!A4281,References!#REF!,2,FALSE),(VLOOKUP($S4281,References!$B$3:$C$8,2,FALSE))),"")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0"/>
        <v>0</v>
      </c>
      <c r="T4282" s="98">
        <f t="shared" si="199"/>
        <v>0</v>
      </c>
      <c r="U4282" s="99" t="str">
        <f>IFERROR(IF(#REF!="S",VLOOKUP('Raw Data'!A4282,References!#REF!,2,FALSE),(VLOOKUP($S4282,References!$B$3:$C$8,2,FALSE))),"")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0"/>
        <v>0</v>
      </c>
      <c r="T4283" s="98">
        <f t="shared" si="199"/>
        <v>0</v>
      </c>
      <c r="U4283" s="99" t="str">
        <f>IFERROR(IF(#REF!="S",VLOOKUP('Raw Data'!A4283,References!#REF!,2,FALSE),(VLOOKUP($S4283,References!$B$3:$C$8,2,FALSE))),"")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0"/>
        <v>0</v>
      </c>
      <c r="T4284" s="98">
        <f t="shared" si="199"/>
        <v>0</v>
      </c>
      <c r="U4284" s="99" t="str">
        <f>IFERROR(IF(#REF!="S",VLOOKUP('Raw Data'!A4284,References!#REF!,2,FALSE),(VLOOKUP($S4284,References!$B$3:$C$8,2,FALSE))),"")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0"/>
        <v>0</v>
      </c>
      <c r="T4285" s="98">
        <f t="shared" si="199"/>
        <v>0</v>
      </c>
      <c r="U4285" s="99" t="str">
        <f>IFERROR(IF(#REF!="S",VLOOKUP('Raw Data'!A4285,References!#REF!,2,FALSE),(VLOOKUP($S4285,References!$B$3:$C$8,2,FALSE))),"")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0"/>
        <v>0</v>
      </c>
      <c r="T4286" s="98">
        <f t="shared" si="199"/>
        <v>0</v>
      </c>
      <c r="U4286" s="99" t="str">
        <f>IFERROR(IF(#REF!="S",VLOOKUP('Raw Data'!A4286,References!#REF!,2,FALSE),(VLOOKUP($S4286,References!$B$3:$C$8,2,FALSE))),"")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0"/>
        <v>0</v>
      </c>
      <c r="T4287" s="98">
        <f t="shared" si="199"/>
        <v>0</v>
      </c>
      <c r="U4287" s="99" t="str">
        <f>IFERROR(IF(#REF!="S",VLOOKUP('Raw Data'!A4287,References!#REF!,2,FALSE),(VLOOKUP($S4287,References!$B$3:$C$8,2,FALSE))),"")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0"/>
        <v>0</v>
      </c>
      <c r="T4288" s="98">
        <f t="shared" si="199"/>
        <v>0</v>
      </c>
      <c r="U4288" s="99" t="str">
        <f>IFERROR(IF(#REF!="S",VLOOKUP('Raw Data'!A4288,References!#REF!,2,FALSE),(VLOOKUP($S4288,References!$B$3:$C$8,2,FALSE))),"")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0"/>
        <v>0</v>
      </c>
      <c r="T4289" s="98">
        <f t="shared" si="199"/>
        <v>0</v>
      </c>
      <c r="U4289" s="99" t="str">
        <f>IFERROR(IF(#REF!="S",VLOOKUP('Raw Data'!A4289,References!#REF!,2,FALSE),(VLOOKUP($S4289,References!$B$3:$C$8,2,FALSE))),"")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0"/>
        <v>0</v>
      </c>
      <c r="T4290" s="98">
        <f t="shared" si="199"/>
        <v>0</v>
      </c>
      <c r="U4290" s="99" t="str">
        <f>IFERROR(IF(#REF!="S",VLOOKUP('Raw Data'!A4290,References!#REF!,2,FALSE),(VLOOKUP($S4290,References!$B$3:$C$8,2,FALSE))),"")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0"/>
        <v>0</v>
      </c>
      <c r="T4291" s="98">
        <f t="shared" si="199"/>
        <v>0</v>
      </c>
      <c r="U4291" s="99" t="str">
        <f>IFERROR(IF(#REF!="S",VLOOKUP('Raw Data'!A4291,References!#REF!,2,FALSE),(VLOOKUP($S4291,References!$B$3:$C$8,2,FALSE))),"")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0"/>
        <v>0</v>
      </c>
      <c r="T4292" s="98">
        <f t="shared" si="199"/>
        <v>0</v>
      </c>
      <c r="U4292" s="99" t="str">
        <f>IFERROR(IF(#REF!="S",VLOOKUP('Raw Data'!A4292,References!#REF!,2,FALSE),(VLOOKUP($S4292,References!$B$3:$C$8,2,FALSE))),"")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0"/>
        <v>0</v>
      </c>
      <c r="T4293" s="98">
        <f t="shared" si="199"/>
        <v>0</v>
      </c>
      <c r="U4293" s="99" t="str">
        <f>IFERROR(IF(#REF!="S",VLOOKUP('Raw Data'!A4293,References!#REF!,2,FALSE),(VLOOKUP($S4293,References!$B$3:$C$8,2,FALSE))),"")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0"/>
        <v>0</v>
      </c>
      <c r="T4294" s="98">
        <f t="shared" si="199"/>
        <v>0</v>
      </c>
      <c r="U4294" s="99" t="str">
        <f>IFERROR(IF(#REF!="S",VLOOKUP('Raw Data'!A4294,References!#REF!,2,FALSE),(VLOOKUP($S4294,References!$B$3:$C$8,2,FALSE))),"")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0"/>
        <v>0</v>
      </c>
      <c r="T4295" s="98">
        <f t="shared" si="199"/>
        <v>0</v>
      </c>
      <c r="U4295" s="99" t="str">
        <f>IFERROR(IF(#REF!="S",VLOOKUP('Raw Data'!A4295,References!#REF!,2,FALSE),(VLOOKUP($S4295,References!$B$3:$C$8,2,FALSE))),"")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0"/>
        <v>0</v>
      </c>
      <c r="T4296" s="98">
        <f t="shared" si="199"/>
        <v>0</v>
      </c>
      <c r="U4296" s="99" t="str">
        <f>IFERROR(IF(#REF!="S",VLOOKUP('Raw Data'!A4296,References!#REF!,2,FALSE),(VLOOKUP($S4296,References!$B$3:$C$8,2,FALSE))),"")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0"/>
        <v>0</v>
      </c>
      <c r="T4297" s="98">
        <f t="shared" si="199"/>
        <v>0</v>
      </c>
      <c r="U4297" s="99" t="str">
        <f>IFERROR(IF(#REF!="S",VLOOKUP('Raw Data'!A4297,References!#REF!,2,FALSE),(VLOOKUP($S4297,References!$B$3:$C$8,2,FALSE))),"")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0"/>
        <v>0</v>
      </c>
      <c r="T4298" s="98">
        <f t="shared" si="199"/>
        <v>0</v>
      </c>
      <c r="U4298" s="99" t="str">
        <f>IFERROR(IF(#REF!="S",VLOOKUP('Raw Data'!A4298,References!#REF!,2,FALSE),(VLOOKUP($S4298,References!$B$3:$C$8,2,FALSE))),"")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0"/>
        <v>0</v>
      </c>
      <c r="T4299" s="98">
        <f t="shared" si="199"/>
        <v>0</v>
      </c>
      <c r="U4299" s="99" t="str">
        <f>IFERROR(IF(#REF!="S",VLOOKUP('Raw Data'!A4299,References!#REF!,2,FALSE),(VLOOKUP($S4299,References!$B$3:$C$8,2,FALSE))),"")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0"/>
        <v>0</v>
      </c>
      <c r="T4300" s="98">
        <f t="shared" si="199"/>
        <v>0</v>
      </c>
      <c r="U4300" s="99" t="str">
        <f>IFERROR(IF(#REF!="S",VLOOKUP('Raw Data'!A4300,References!#REF!,2,FALSE),(VLOOKUP($S4300,References!$B$3:$C$8,2,FALSE))),"")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0"/>
        <v>0</v>
      </c>
      <c r="T4301" s="98">
        <f t="shared" si="199"/>
        <v>0</v>
      </c>
      <c r="U4301" s="99" t="str">
        <f>IFERROR(IF(#REF!="S",VLOOKUP('Raw Data'!A4301,References!#REF!,2,FALSE),(VLOOKUP($S4301,References!$B$3:$C$8,2,FALSE))),"")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0"/>
        <v>0</v>
      </c>
      <c r="T4302" s="98">
        <f t="shared" si="199"/>
        <v>0</v>
      </c>
      <c r="U4302" s="99" t="str">
        <f>IFERROR(IF(#REF!="S",VLOOKUP('Raw Data'!A4302,References!#REF!,2,FALSE),(VLOOKUP($S4302,References!$B$3:$C$8,2,FALSE))),"")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0"/>
        <v>0</v>
      </c>
      <c r="T4303" s="98">
        <f t="shared" si="199"/>
        <v>0</v>
      </c>
      <c r="U4303" s="99" t="str">
        <f>IFERROR(IF(#REF!="S",VLOOKUP('Raw Data'!A4303,References!#REF!,2,FALSE),(VLOOKUP($S4303,References!$B$3:$C$8,2,FALSE))),"")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0"/>
        <v>0</v>
      </c>
      <c r="T4304" s="98">
        <f t="shared" ref="T4304:T4367" si="201">IF(S4304="50 - Cleaning Fee",1,HOUR($R4304)+MINUTE(R4304)/60)</f>
        <v>0</v>
      </c>
      <c r="U4304" s="99" t="str">
        <f>IFERROR(IF(#REF!="S",VLOOKUP('Raw Data'!A4304,References!#REF!,2,FALSE),(VLOOKUP($S4304,References!$B$3:$C$8,2,FALSE))),"")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0"/>
        <v>0</v>
      </c>
      <c r="T4305" s="98">
        <f t="shared" si="201"/>
        <v>0</v>
      </c>
      <c r="U4305" s="99" t="str">
        <f>IFERROR(IF(#REF!="S",VLOOKUP('Raw Data'!A4305,References!#REF!,2,FALSE),(VLOOKUP($S4305,References!$B$3:$C$8,2,FALSE))),"")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0"/>
        <v>0</v>
      </c>
      <c r="T4306" s="98">
        <f t="shared" si="201"/>
        <v>0</v>
      </c>
      <c r="U4306" s="99" t="str">
        <f>IFERROR(IF(#REF!="S",VLOOKUP('Raw Data'!A4306,References!#REF!,2,FALSE),(VLOOKUP($S4306,References!$B$3:$C$8,2,FALSE))),"")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0"/>
        <v>0</v>
      </c>
      <c r="T4307" s="98">
        <f t="shared" si="201"/>
        <v>0</v>
      </c>
      <c r="U4307" s="99" t="str">
        <f>IFERROR(IF(#REF!="S",VLOOKUP('Raw Data'!A4307,References!#REF!,2,FALSE),(VLOOKUP($S4307,References!$B$3:$C$8,2,FALSE))),"")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0"/>
        <v>0</v>
      </c>
      <c r="T4308" s="98">
        <f t="shared" si="201"/>
        <v>0</v>
      </c>
      <c r="U4308" s="99" t="str">
        <f>IFERROR(IF(#REF!="S",VLOOKUP('Raw Data'!A4308,References!#REF!,2,FALSE),(VLOOKUP($S4308,References!$B$3:$C$8,2,FALSE))),"")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0"/>
        <v>0</v>
      </c>
      <c r="T4309" s="98">
        <f t="shared" si="201"/>
        <v>0</v>
      </c>
      <c r="U4309" s="99" t="str">
        <f>IFERROR(IF(#REF!="S",VLOOKUP('Raw Data'!A4309,References!#REF!,2,FALSE),(VLOOKUP($S4309,References!$B$3:$C$8,2,FALSE))),"")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0"/>
        <v>0</v>
      </c>
      <c r="T4310" s="98">
        <f t="shared" si="201"/>
        <v>0</v>
      </c>
      <c r="U4310" s="99" t="str">
        <f>IFERROR(IF(#REF!="S",VLOOKUP('Raw Data'!A4310,References!#REF!,2,FALSE),(VLOOKUP($S4310,References!$B$3:$C$8,2,FALSE))),"")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0"/>
        <v>0</v>
      </c>
      <c r="T4311" s="98">
        <f t="shared" si="201"/>
        <v>0</v>
      </c>
      <c r="U4311" s="99" t="str">
        <f>IFERROR(IF(#REF!="S",VLOOKUP('Raw Data'!A4311,References!#REF!,2,FALSE),(VLOOKUP($S4311,References!$B$3:$C$8,2,FALSE))),"")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0"/>
        <v>0</v>
      </c>
      <c r="T4312" s="98">
        <f t="shared" si="201"/>
        <v>0</v>
      </c>
      <c r="U4312" s="99" t="str">
        <f>IFERROR(IF(#REF!="S",VLOOKUP('Raw Data'!A4312,References!#REF!,2,FALSE),(VLOOKUP($S4312,References!$B$3:$C$8,2,FALSE))),"")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0"/>
        <v>0</v>
      </c>
      <c r="T4313" s="98">
        <f t="shared" si="201"/>
        <v>0</v>
      </c>
      <c r="U4313" s="99" t="str">
        <f>IFERROR(IF(#REF!="S",VLOOKUP('Raw Data'!A4313,References!#REF!,2,FALSE),(VLOOKUP($S4313,References!$B$3:$C$8,2,FALSE))),"")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0"/>
        <v>0</v>
      </c>
      <c r="T4314" s="98">
        <f t="shared" si="201"/>
        <v>0</v>
      </c>
      <c r="U4314" s="99" t="str">
        <f>IFERROR(IF(#REF!="S",VLOOKUP('Raw Data'!A4314,References!#REF!,2,FALSE),(VLOOKUP($S4314,References!$B$3:$C$8,2,FALSE))),"")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0"/>
        <v>0</v>
      </c>
      <c r="T4315" s="98">
        <f t="shared" si="201"/>
        <v>0</v>
      </c>
      <c r="U4315" s="99" t="str">
        <f>IFERROR(IF(#REF!="S",VLOOKUP('Raw Data'!A4315,References!#REF!,2,FALSE),(VLOOKUP($S4315,References!$B$3:$C$8,2,FALSE))),"")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0"/>
        <v>0</v>
      </c>
      <c r="T4316" s="98">
        <f t="shared" si="201"/>
        <v>0</v>
      </c>
      <c r="U4316" s="99" t="str">
        <f>IFERROR(IF(#REF!="S",VLOOKUP('Raw Data'!A4316,References!#REF!,2,FALSE),(VLOOKUP($S4316,References!$B$3:$C$8,2,FALSE))),"")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0"/>
        <v>0</v>
      </c>
      <c r="T4317" s="98">
        <f t="shared" si="201"/>
        <v>0</v>
      </c>
      <c r="U4317" s="99" t="str">
        <f>IFERROR(IF(#REF!="S",VLOOKUP('Raw Data'!A4317,References!#REF!,2,FALSE),(VLOOKUP($S4317,References!$B$3:$C$8,2,FALSE))),"")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0"/>
        <v>0</v>
      </c>
      <c r="T4318" s="98">
        <f t="shared" si="201"/>
        <v>0</v>
      </c>
      <c r="U4318" s="99" t="str">
        <f>IFERROR(IF(#REF!="S",VLOOKUP('Raw Data'!A4318,References!#REF!,2,FALSE),(VLOOKUP($S4318,References!$B$3:$C$8,2,FALSE))),"")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0"/>
        <v>0</v>
      </c>
      <c r="T4319" s="98">
        <f t="shared" si="201"/>
        <v>0</v>
      </c>
      <c r="U4319" s="99" t="str">
        <f>IFERROR(IF(#REF!="S",VLOOKUP('Raw Data'!A4319,References!#REF!,2,FALSE),(VLOOKUP($S4319,References!$B$3:$C$8,2,FALSE))),"")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0"/>
        <v>0</v>
      </c>
      <c r="T4320" s="98">
        <f t="shared" si="201"/>
        <v>0</v>
      </c>
      <c r="U4320" s="99" t="str">
        <f>IFERROR(IF(#REF!="S",VLOOKUP('Raw Data'!A4320,References!#REF!,2,FALSE),(VLOOKUP($S4320,References!$B$3:$C$8,2,FALSE))),"")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0"/>
        <v>0</v>
      </c>
      <c r="T4321" s="98">
        <f t="shared" si="201"/>
        <v>0</v>
      </c>
      <c r="U4321" s="99" t="str">
        <f>IFERROR(IF(#REF!="S",VLOOKUP('Raw Data'!A4321,References!#REF!,2,FALSE),(VLOOKUP($S4321,References!$B$3:$C$8,2,FALSE))),"")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0"/>
        <v>0</v>
      </c>
      <c r="T4322" s="98">
        <f t="shared" si="201"/>
        <v>0</v>
      </c>
      <c r="U4322" s="99" t="str">
        <f>IFERROR(IF(#REF!="S",VLOOKUP('Raw Data'!A4322,References!#REF!,2,FALSE),(VLOOKUP($S4322,References!$B$3:$C$8,2,FALSE))),"")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0"/>
        <v>0</v>
      </c>
      <c r="T4323" s="98">
        <f t="shared" si="201"/>
        <v>0</v>
      </c>
      <c r="U4323" s="99" t="str">
        <f>IFERROR(IF(#REF!="S",VLOOKUP('Raw Data'!A4323,References!#REF!,2,FALSE),(VLOOKUP($S4323,References!$B$3:$C$8,2,FALSE))),"")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0"/>
        <v>0</v>
      </c>
      <c r="T4324" s="98">
        <f t="shared" si="201"/>
        <v>0</v>
      </c>
      <c r="U4324" s="99" t="str">
        <f>IFERROR(IF(#REF!="S",VLOOKUP('Raw Data'!A4324,References!#REF!,2,FALSE),(VLOOKUP($S4324,References!$B$3:$C$8,2,FALSE))),"")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0"/>
        <v>0</v>
      </c>
      <c r="T4325" s="98">
        <f t="shared" si="201"/>
        <v>0</v>
      </c>
      <c r="U4325" s="99" t="str">
        <f>IFERROR(IF(#REF!="S",VLOOKUP('Raw Data'!A4325,References!#REF!,2,FALSE),(VLOOKUP($S4325,References!$B$3:$C$8,2,FALSE))),"")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0"/>
        <v>0</v>
      </c>
      <c r="T4326" s="98">
        <f t="shared" si="201"/>
        <v>0</v>
      </c>
      <c r="U4326" s="99" t="str">
        <f>IFERROR(IF(#REF!="S",VLOOKUP('Raw Data'!A4326,References!#REF!,2,FALSE),(VLOOKUP($S4326,References!$B$3:$C$8,2,FALSE))),"")</f>
        <v/>
      </c>
      <c r="W4326" s="66" t="str">
        <f>IFERROR(VLOOKUP($O4326,'Customer List'!$A$1:$J$488,10,FALSE),"")</f>
        <v/>
      </c>
    </row>
    <row r="4327" spans="18:23">
      <c r="R4327" s="97">
        <f t="shared" si="200"/>
        <v>0</v>
      </c>
      <c r="T4327" s="98">
        <f t="shared" si="201"/>
        <v>0</v>
      </c>
      <c r="U4327" s="99" t="str">
        <f>IFERROR(IF(#REF!="S",VLOOKUP('Raw Data'!A4327,References!#REF!,2,FALSE),(VLOOKUP($S4327,References!$B$3:$C$8,2,FALSE))),"")</f>
        <v/>
      </c>
      <c r="W4327" s="66" t="str">
        <f>IFERROR(VLOOKUP($O4327,'Customer List'!$A$1:$J$488,10,FALSE),"")</f>
        <v/>
      </c>
    </row>
    <row r="4328" spans="18:23">
      <c r="R4328" s="97">
        <f t="shared" ref="R4328:R4391" si="202">L4328-K4328</f>
        <v>0</v>
      </c>
      <c r="T4328" s="98">
        <f t="shared" si="201"/>
        <v>0</v>
      </c>
      <c r="U4328" s="99" t="str">
        <f>IFERROR(IF(#REF!="S",VLOOKUP('Raw Data'!A4328,References!#REF!,2,FALSE),(VLOOKUP($S4328,References!$B$3:$C$8,2,FALSE))),"")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2"/>
        <v>0</v>
      </c>
      <c r="T4329" s="98">
        <f t="shared" si="201"/>
        <v>0</v>
      </c>
      <c r="U4329" s="99" t="str">
        <f>IFERROR(IF(#REF!="S",VLOOKUP('Raw Data'!A4329,References!#REF!,2,FALSE),(VLOOKUP($S4329,References!$B$3:$C$8,2,FALSE))),"")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2"/>
        <v>0</v>
      </c>
      <c r="T4330" s="98">
        <f t="shared" si="201"/>
        <v>0</v>
      </c>
      <c r="U4330" s="99" t="str">
        <f>IFERROR(IF(#REF!="S",VLOOKUP('Raw Data'!A4330,References!#REF!,2,FALSE),(VLOOKUP($S4330,References!$B$3:$C$8,2,FALSE))),"")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2"/>
        <v>0</v>
      </c>
      <c r="T4331" s="98">
        <f t="shared" si="201"/>
        <v>0</v>
      </c>
      <c r="U4331" s="99" t="str">
        <f>IFERROR(IF(#REF!="S",VLOOKUP('Raw Data'!A4331,References!#REF!,2,FALSE),(VLOOKUP($S4331,References!$B$3:$C$8,2,FALSE))),"")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2"/>
        <v>0</v>
      </c>
      <c r="T4332" s="98">
        <f t="shared" si="201"/>
        <v>0</v>
      </c>
      <c r="U4332" s="99" t="str">
        <f>IFERROR(IF(#REF!="S",VLOOKUP('Raw Data'!A4332,References!#REF!,2,FALSE),(VLOOKUP($S4332,References!$B$3:$C$8,2,FALSE))),"")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2"/>
        <v>0</v>
      </c>
      <c r="T4333" s="98">
        <f t="shared" si="201"/>
        <v>0</v>
      </c>
      <c r="U4333" s="99" t="str">
        <f>IFERROR(IF(#REF!="S",VLOOKUP('Raw Data'!A4333,References!#REF!,2,FALSE),(VLOOKUP($S4333,References!$B$3:$C$8,2,FALSE))),"")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2"/>
        <v>0</v>
      </c>
      <c r="T4334" s="98">
        <f t="shared" si="201"/>
        <v>0</v>
      </c>
      <c r="U4334" s="99" t="str">
        <f>IFERROR(IF(#REF!="S",VLOOKUP('Raw Data'!A4334,References!#REF!,2,FALSE),(VLOOKUP($S4334,References!$B$3:$C$8,2,FALSE))),"")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2"/>
        <v>0</v>
      </c>
      <c r="T4335" s="98">
        <f t="shared" si="201"/>
        <v>0</v>
      </c>
      <c r="U4335" s="99" t="str">
        <f>IFERROR(IF(#REF!="S",VLOOKUP('Raw Data'!A4335,References!#REF!,2,FALSE),(VLOOKUP($S4335,References!$B$3:$C$8,2,FALSE))),"")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2"/>
        <v>0</v>
      </c>
      <c r="T4336" s="98">
        <f t="shared" si="201"/>
        <v>0</v>
      </c>
      <c r="U4336" s="99" t="str">
        <f>IFERROR(IF(#REF!="S",VLOOKUP('Raw Data'!A4336,References!#REF!,2,FALSE),(VLOOKUP($S4336,References!$B$3:$C$8,2,FALSE))),"")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2"/>
        <v>0</v>
      </c>
      <c r="T4337" s="98">
        <f t="shared" si="201"/>
        <v>0</v>
      </c>
      <c r="U4337" s="99" t="str">
        <f>IFERROR(IF(#REF!="S",VLOOKUP('Raw Data'!A4337,References!#REF!,2,FALSE),(VLOOKUP($S4337,References!$B$3:$C$8,2,FALSE))),"")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2"/>
        <v>0</v>
      </c>
      <c r="T4338" s="98">
        <f t="shared" si="201"/>
        <v>0</v>
      </c>
      <c r="U4338" s="99" t="str">
        <f>IFERROR(IF(#REF!="S",VLOOKUP('Raw Data'!A4338,References!#REF!,2,FALSE),(VLOOKUP($S4338,References!$B$3:$C$8,2,FALSE))),"")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2"/>
        <v>0</v>
      </c>
      <c r="T4339" s="98">
        <f t="shared" si="201"/>
        <v>0</v>
      </c>
      <c r="U4339" s="99" t="str">
        <f>IFERROR(IF(#REF!="S",VLOOKUP('Raw Data'!A4339,References!#REF!,2,FALSE),(VLOOKUP($S4339,References!$B$3:$C$8,2,FALSE))),"")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2"/>
        <v>0</v>
      </c>
      <c r="T4340" s="98">
        <f t="shared" si="201"/>
        <v>0</v>
      </c>
      <c r="U4340" s="99" t="str">
        <f>IFERROR(IF(#REF!="S",VLOOKUP('Raw Data'!A4340,References!#REF!,2,FALSE),(VLOOKUP($S4340,References!$B$3:$C$8,2,FALSE))),"")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2"/>
        <v>0</v>
      </c>
      <c r="T4341" s="98">
        <f t="shared" si="201"/>
        <v>0</v>
      </c>
      <c r="U4341" s="99" t="str">
        <f>IFERROR(IF(#REF!="S",VLOOKUP('Raw Data'!A4341,References!#REF!,2,FALSE),(VLOOKUP($S4341,References!$B$3:$C$8,2,FALSE))),"")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2"/>
        <v>0</v>
      </c>
      <c r="T4342" s="98">
        <f t="shared" si="201"/>
        <v>0</v>
      </c>
      <c r="U4342" s="99" t="str">
        <f>IFERROR(IF(#REF!="S",VLOOKUP('Raw Data'!A4342,References!#REF!,2,FALSE),(VLOOKUP($S4342,References!$B$3:$C$8,2,FALSE))),"")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2"/>
        <v>0</v>
      </c>
      <c r="T4343" s="98">
        <f t="shared" si="201"/>
        <v>0</v>
      </c>
      <c r="U4343" s="99" t="str">
        <f>IFERROR(IF(#REF!="S",VLOOKUP('Raw Data'!A4343,References!#REF!,2,FALSE),(VLOOKUP($S4343,References!$B$3:$C$8,2,FALSE))),"")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2"/>
        <v>0</v>
      </c>
      <c r="T4344" s="98">
        <f t="shared" si="201"/>
        <v>0</v>
      </c>
      <c r="U4344" s="99" t="str">
        <f>IFERROR(IF(#REF!="S",VLOOKUP('Raw Data'!A4344,References!#REF!,2,FALSE),(VLOOKUP($S4344,References!$B$3:$C$8,2,FALSE))),"")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2"/>
        <v>0</v>
      </c>
      <c r="T4345" s="98">
        <f t="shared" si="201"/>
        <v>0</v>
      </c>
      <c r="U4345" s="99" t="str">
        <f>IFERROR(IF(#REF!="S",VLOOKUP('Raw Data'!A4345,References!#REF!,2,FALSE),(VLOOKUP($S4345,References!$B$3:$C$8,2,FALSE))),"")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2"/>
        <v>0</v>
      </c>
      <c r="T4346" s="98">
        <f t="shared" si="201"/>
        <v>0</v>
      </c>
      <c r="U4346" s="99" t="str">
        <f>IFERROR(IF(#REF!="S",VLOOKUP('Raw Data'!A4346,References!#REF!,2,FALSE),(VLOOKUP($S4346,References!$B$3:$C$8,2,FALSE))),"")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2"/>
        <v>0</v>
      </c>
      <c r="T4347" s="98">
        <f t="shared" si="201"/>
        <v>0</v>
      </c>
      <c r="U4347" s="99" t="str">
        <f>IFERROR(IF(#REF!="S",VLOOKUP('Raw Data'!A4347,References!#REF!,2,FALSE),(VLOOKUP($S4347,References!$B$3:$C$8,2,FALSE))),"")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2"/>
        <v>0</v>
      </c>
      <c r="T4348" s="98">
        <f t="shared" si="201"/>
        <v>0</v>
      </c>
      <c r="U4348" s="99" t="str">
        <f>IFERROR(IF(#REF!="S",VLOOKUP('Raw Data'!A4348,References!#REF!,2,FALSE),(VLOOKUP($S4348,References!$B$3:$C$8,2,FALSE))),"")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2"/>
        <v>0</v>
      </c>
      <c r="T4349" s="98">
        <f t="shared" si="201"/>
        <v>0</v>
      </c>
      <c r="U4349" s="99" t="str">
        <f>IFERROR(IF(#REF!="S",VLOOKUP('Raw Data'!A4349,References!#REF!,2,FALSE),(VLOOKUP($S4349,References!$B$3:$C$8,2,FALSE))),"")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2"/>
        <v>0</v>
      </c>
      <c r="T4350" s="98">
        <f t="shared" si="201"/>
        <v>0</v>
      </c>
      <c r="U4350" s="99" t="str">
        <f>IFERROR(IF(#REF!="S",VLOOKUP('Raw Data'!A4350,References!#REF!,2,FALSE),(VLOOKUP($S4350,References!$B$3:$C$8,2,FALSE))),"")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2"/>
        <v>0</v>
      </c>
      <c r="T4351" s="98">
        <f t="shared" si="201"/>
        <v>0</v>
      </c>
      <c r="U4351" s="99" t="str">
        <f>IFERROR(IF(#REF!="S",VLOOKUP('Raw Data'!A4351,References!#REF!,2,FALSE),(VLOOKUP($S4351,References!$B$3:$C$8,2,FALSE))),"")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2"/>
        <v>0</v>
      </c>
      <c r="T4352" s="98">
        <f t="shared" si="201"/>
        <v>0</v>
      </c>
      <c r="U4352" s="99" t="str">
        <f>IFERROR(IF(#REF!="S",VLOOKUP('Raw Data'!A4352,References!#REF!,2,FALSE),(VLOOKUP($S4352,References!$B$3:$C$8,2,FALSE))),"")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2"/>
        <v>0</v>
      </c>
      <c r="T4353" s="98">
        <f t="shared" si="201"/>
        <v>0</v>
      </c>
      <c r="U4353" s="99" t="str">
        <f>IFERROR(IF(#REF!="S",VLOOKUP('Raw Data'!A4353,References!#REF!,2,FALSE),(VLOOKUP($S4353,References!$B$3:$C$8,2,FALSE))),"")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2"/>
        <v>0</v>
      </c>
      <c r="T4354" s="98">
        <f t="shared" si="201"/>
        <v>0</v>
      </c>
      <c r="U4354" s="99" t="str">
        <f>IFERROR(IF(#REF!="S",VLOOKUP('Raw Data'!A4354,References!#REF!,2,FALSE),(VLOOKUP($S4354,References!$B$3:$C$8,2,FALSE))),"")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2"/>
        <v>0</v>
      </c>
      <c r="T4355" s="98">
        <f t="shared" si="201"/>
        <v>0</v>
      </c>
      <c r="U4355" s="99" t="str">
        <f>IFERROR(IF(#REF!="S",VLOOKUP('Raw Data'!A4355,References!#REF!,2,FALSE),(VLOOKUP($S4355,References!$B$3:$C$8,2,FALSE))),"")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2"/>
        <v>0</v>
      </c>
      <c r="T4356" s="98">
        <f t="shared" si="201"/>
        <v>0</v>
      </c>
      <c r="U4356" s="99" t="str">
        <f>IFERROR(IF(#REF!="S",VLOOKUP('Raw Data'!A4356,References!#REF!,2,FALSE),(VLOOKUP($S4356,References!$B$3:$C$8,2,FALSE))),"")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2"/>
        <v>0</v>
      </c>
      <c r="T4357" s="98">
        <f t="shared" si="201"/>
        <v>0</v>
      </c>
      <c r="U4357" s="99" t="str">
        <f>IFERROR(IF(#REF!="S",VLOOKUP('Raw Data'!A4357,References!#REF!,2,FALSE),(VLOOKUP($S4357,References!$B$3:$C$8,2,FALSE))),"")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2"/>
        <v>0</v>
      </c>
      <c r="T4358" s="98">
        <f t="shared" si="201"/>
        <v>0</v>
      </c>
      <c r="U4358" s="99" t="str">
        <f>IFERROR(IF(#REF!="S",VLOOKUP('Raw Data'!A4358,References!#REF!,2,FALSE),(VLOOKUP($S4358,References!$B$3:$C$8,2,FALSE))),"")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2"/>
        <v>0</v>
      </c>
      <c r="T4359" s="98">
        <f t="shared" si="201"/>
        <v>0</v>
      </c>
      <c r="U4359" s="99" t="str">
        <f>IFERROR(IF(#REF!="S",VLOOKUP('Raw Data'!A4359,References!#REF!,2,FALSE),(VLOOKUP($S4359,References!$B$3:$C$8,2,FALSE))),"")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2"/>
        <v>0</v>
      </c>
      <c r="T4360" s="98">
        <f t="shared" si="201"/>
        <v>0</v>
      </c>
      <c r="U4360" s="99" t="str">
        <f>IFERROR(IF(#REF!="S",VLOOKUP('Raw Data'!A4360,References!#REF!,2,FALSE),(VLOOKUP($S4360,References!$B$3:$C$8,2,FALSE))),"")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2"/>
        <v>0</v>
      </c>
      <c r="T4361" s="98">
        <f t="shared" si="201"/>
        <v>0</v>
      </c>
      <c r="U4361" s="99" t="str">
        <f>IFERROR(IF(#REF!="S",VLOOKUP('Raw Data'!A4361,References!#REF!,2,FALSE),(VLOOKUP($S4361,References!$B$3:$C$8,2,FALSE))),"")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2"/>
        <v>0</v>
      </c>
      <c r="T4362" s="98">
        <f t="shared" si="201"/>
        <v>0</v>
      </c>
      <c r="U4362" s="99" t="str">
        <f>IFERROR(IF(#REF!="S",VLOOKUP('Raw Data'!A4362,References!#REF!,2,FALSE),(VLOOKUP($S4362,References!$B$3:$C$8,2,FALSE))),"")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2"/>
        <v>0</v>
      </c>
      <c r="T4363" s="98">
        <f t="shared" si="201"/>
        <v>0</v>
      </c>
      <c r="U4363" s="99" t="str">
        <f>IFERROR(IF(#REF!="S",VLOOKUP('Raw Data'!A4363,References!#REF!,2,FALSE),(VLOOKUP($S4363,References!$B$3:$C$8,2,FALSE))),"")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2"/>
        <v>0</v>
      </c>
      <c r="T4364" s="98">
        <f t="shared" si="201"/>
        <v>0</v>
      </c>
      <c r="U4364" s="99" t="str">
        <f>IFERROR(IF(#REF!="S",VLOOKUP('Raw Data'!A4364,References!#REF!,2,FALSE),(VLOOKUP($S4364,References!$B$3:$C$8,2,FALSE))),"")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2"/>
        <v>0</v>
      </c>
      <c r="T4365" s="98">
        <f t="shared" si="201"/>
        <v>0</v>
      </c>
      <c r="U4365" s="99" t="str">
        <f>IFERROR(IF(#REF!="S",VLOOKUP('Raw Data'!A4365,References!#REF!,2,FALSE),(VLOOKUP($S4365,References!$B$3:$C$8,2,FALSE))),"")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2"/>
        <v>0</v>
      </c>
      <c r="T4366" s="98">
        <f t="shared" si="201"/>
        <v>0</v>
      </c>
      <c r="U4366" s="99" t="str">
        <f>IFERROR(IF(#REF!="S",VLOOKUP('Raw Data'!A4366,References!#REF!,2,FALSE),(VLOOKUP($S4366,References!$B$3:$C$8,2,FALSE))),"")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2"/>
        <v>0</v>
      </c>
      <c r="T4367" s="98">
        <f t="shared" si="201"/>
        <v>0</v>
      </c>
      <c r="U4367" s="99" t="str">
        <f>IFERROR(IF(#REF!="S",VLOOKUP('Raw Data'!A4367,References!#REF!,2,FALSE),(VLOOKUP($S4367,References!$B$3:$C$8,2,FALSE))),"")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2"/>
        <v>0</v>
      </c>
      <c r="T4368" s="98">
        <f t="shared" ref="T4368:T4431" si="203">IF(S4368="50 - Cleaning Fee",1,HOUR($R4368)+MINUTE(R4368)/60)</f>
        <v>0</v>
      </c>
      <c r="U4368" s="99" t="str">
        <f>IFERROR(IF(#REF!="S",VLOOKUP('Raw Data'!A4368,References!#REF!,2,FALSE),(VLOOKUP($S4368,References!$B$3:$C$8,2,FALSE))),"")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2"/>
        <v>0</v>
      </c>
      <c r="T4369" s="98">
        <f t="shared" si="203"/>
        <v>0</v>
      </c>
      <c r="U4369" s="99" t="str">
        <f>IFERROR(IF(#REF!="S",VLOOKUP('Raw Data'!A4369,References!#REF!,2,FALSE),(VLOOKUP($S4369,References!$B$3:$C$8,2,FALSE))),"")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2"/>
        <v>0</v>
      </c>
      <c r="T4370" s="98">
        <f t="shared" si="203"/>
        <v>0</v>
      </c>
      <c r="U4370" s="99" t="str">
        <f>IFERROR(IF(#REF!="S",VLOOKUP('Raw Data'!A4370,References!#REF!,2,FALSE),(VLOOKUP($S4370,References!$B$3:$C$8,2,FALSE))),"")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2"/>
        <v>0</v>
      </c>
      <c r="T4371" s="98">
        <f t="shared" si="203"/>
        <v>0</v>
      </c>
      <c r="U4371" s="99" t="str">
        <f>IFERROR(IF(#REF!="S",VLOOKUP('Raw Data'!A4371,References!#REF!,2,FALSE),(VLOOKUP($S4371,References!$B$3:$C$8,2,FALSE))),"")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2"/>
        <v>0</v>
      </c>
      <c r="T4372" s="98">
        <f t="shared" si="203"/>
        <v>0</v>
      </c>
      <c r="U4372" s="99" t="str">
        <f>IFERROR(IF(#REF!="S",VLOOKUP('Raw Data'!A4372,References!#REF!,2,FALSE),(VLOOKUP($S4372,References!$B$3:$C$8,2,FALSE))),"")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2"/>
        <v>0</v>
      </c>
      <c r="T4373" s="98">
        <f t="shared" si="203"/>
        <v>0</v>
      </c>
      <c r="U4373" s="99" t="str">
        <f>IFERROR(IF(#REF!="S",VLOOKUP('Raw Data'!A4373,References!#REF!,2,FALSE),(VLOOKUP($S4373,References!$B$3:$C$8,2,FALSE))),"")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2"/>
        <v>0</v>
      </c>
      <c r="T4374" s="98">
        <f t="shared" si="203"/>
        <v>0</v>
      </c>
      <c r="U4374" s="99" t="str">
        <f>IFERROR(IF(#REF!="S",VLOOKUP('Raw Data'!A4374,References!#REF!,2,FALSE),(VLOOKUP($S4374,References!$B$3:$C$8,2,FALSE))),"")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2"/>
        <v>0</v>
      </c>
      <c r="T4375" s="98">
        <f t="shared" si="203"/>
        <v>0</v>
      </c>
      <c r="U4375" s="99" t="str">
        <f>IFERROR(IF(#REF!="S",VLOOKUP('Raw Data'!A4375,References!#REF!,2,FALSE),(VLOOKUP($S4375,References!$B$3:$C$8,2,FALSE))),"")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2"/>
        <v>0</v>
      </c>
      <c r="T4376" s="98">
        <f t="shared" si="203"/>
        <v>0</v>
      </c>
      <c r="U4376" s="99" t="str">
        <f>IFERROR(IF(#REF!="S",VLOOKUP('Raw Data'!A4376,References!#REF!,2,FALSE),(VLOOKUP($S4376,References!$B$3:$C$8,2,FALSE))),"")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2"/>
        <v>0</v>
      </c>
      <c r="T4377" s="98">
        <f t="shared" si="203"/>
        <v>0</v>
      </c>
      <c r="U4377" s="99" t="str">
        <f>IFERROR(IF(#REF!="S",VLOOKUP('Raw Data'!A4377,References!#REF!,2,FALSE),(VLOOKUP($S4377,References!$B$3:$C$8,2,FALSE))),"")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2"/>
        <v>0</v>
      </c>
      <c r="T4378" s="98">
        <f t="shared" si="203"/>
        <v>0</v>
      </c>
      <c r="U4378" s="99" t="str">
        <f>IFERROR(IF(#REF!="S",VLOOKUP('Raw Data'!A4378,References!#REF!,2,FALSE),(VLOOKUP($S4378,References!$B$3:$C$8,2,FALSE))),"")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2"/>
        <v>0</v>
      </c>
      <c r="T4379" s="98">
        <f t="shared" si="203"/>
        <v>0</v>
      </c>
      <c r="U4379" s="99" t="str">
        <f>IFERROR(IF(#REF!="S",VLOOKUP('Raw Data'!A4379,References!#REF!,2,FALSE),(VLOOKUP($S4379,References!$B$3:$C$8,2,FALSE))),"")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2"/>
        <v>0</v>
      </c>
      <c r="T4380" s="98">
        <f t="shared" si="203"/>
        <v>0</v>
      </c>
      <c r="U4380" s="99" t="str">
        <f>IFERROR(IF(#REF!="S",VLOOKUP('Raw Data'!A4380,References!#REF!,2,FALSE),(VLOOKUP($S4380,References!$B$3:$C$8,2,FALSE))),"")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2"/>
        <v>0</v>
      </c>
      <c r="T4381" s="98">
        <f t="shared" si="203"/>
        <v>0</v>
      </c>
      <c r="U4381" s="99" t="str">
        <f>IFERROR(IF(#REF!="S",VLOOKUP('Raw Data'!A4381,References!#REF!,2,FALSE),(VLOOKUP($S4381,References!$B$3:$C$8,2,FALSE))),"")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2"/>
        <v>0</v>
      </c>
      <c r="T4382" s="98">
        <f t="shared" si="203"/>
        <v>0</v>
      </c>
      <c r="U4382" s="99" t="str">
        <f>IFERROR(IF(#REF!="S",VLOOKUP('Raw Data'!A4382,References!#REF!,2,FALSE),(VLOOKUP($S4382,References!$B$3:$C$8,2,FALSE))),"")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2"/>
        <v>0</v>
      </c>
      <c r="T4383" s="98">
        <f t="shared" si="203"/>
        <v>0</v>
      </c>
      <c r="U4383" s="99" t="str">
        <f>IFERROR(IF(#REF!="S",VLOOKUP('Raw Data'!A4383,References!#REF!,2,FALSE),(VLOOKUP($S4383,References!$B$3:$C$8,2,FALSE))),"")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2"/>
        <v>0</v>
      </c>
      <c r="T4384" s="98">
        <f t="shared" si="203"/>
        <v>0</v>
      </c>
      <c r="U4384" s="99" t="str">
        <f>IFERROR(IF(#REF!="S",VLOOKUP('Raw Data'!A4384,References!#REF!,2,FALSE),(VLOOKUP($S4384,References!$B$3:$C$8,2,FALSE))),"")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2"/>
        <v>0</v>
      </c>
      <c r="T4385" s="98">
        <f t="shared" si="203"/>
        <v>0</v>
      </c>
      <c r="U4385" s="99" t="str">
        <f>IFERROR(IF(#REF!="S",VLOOKUP('Raw Data'!A4385,References!#REF!,2,FALSE),(VLOOKUP($S4385,References!$B$3:$C$8,2,FALSE))),"")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2"/>
        <v>0</v>
      </c>
      <c r="T4386" s="98">
        <f t="shared" si="203"/>
        <v>0</v>
      </c>
      <c r="U4386" s="99" t="str">
        <f>IFERROR(IF(#REF!="S",VLOOKUP('Raw Data'!A4386,References!#REF!,2,FALSE),(VLOOKUP($S4386,References!$B$3:$C$8,2,FALSE))),"")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2"/>
        <v>0</v>
      </c>
      <c r="T4387" s="98">
        <f t="shared" si="203"/>
        <v>0</v>
      </c>
      <c r="U4387" s="99" t="str">
        <f>IFERROR(IF(#REF!="S",VLOOKUP('Raw Data'!A4387,References!#REF!,2,FALSE),(VLOOKUP($S4387,References!$B$3:$C$8,2,FALSE))),"")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2"/>
        <v>0</v>
      </c>
      <c r="T4388" s="98">
        <f t="shared" si="203"/>
        <v>0</v>
      </c>
      <c r="U4388" s="99" t="str">
        <f>IFERROR(IF(#REF!="S",VLOOKUP('Raw Data'!A4388,References!#REF!,2,FALSE),(VLOOKUP($S4388,References!$B$3:$C$8,2,FALSE))),"")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2"/>
        <v>0</v>
      </c>
      <c r="T4389" s="98">
        <f t="shared" si="203"/>
        <v>0</v>
      </c>
      <c r="U4389" s="99" t="str">
        <f>IFERROR(IF(#REF!="S",VLOOKUP('Raw Data'!A4389,References!#REF!,2,FALSE),(VLOOKUP($S4389,References!$B$3:$C$8,2,FALSE))),"")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2"/>
        <v>0</v>
      </c>
      <c r="T4390" s="98">
        <f t="shared" si="203"/>
        <v>0</v>
      </c>
      <c r="U4390" s="99" t="str">
        <f>IFERROR(IF(#REF!="S",VLOOKUP('Raw Data'!A4390,References!#REF!,2,FALSE),(VLOOKUP($S4390,References!$B$3:$C$8,2,FALSE))),"")</f>
        <v/>
      </c>
      <c r="W4390" s="66" t="str">
        <f>IFERROR(VLOOKUP($O4390,'Customer List'!$A$1:$J$488,10,FALSE),"")</f>
        <v/>
      </c>
    </row>
    <row r="4391" spans="18:23">
      <c r="R4391" s="97">
        <f t="shared" si="202"/>
        <v>0</v>
      </c>
      <c r="T4391" s="98">
        <f t="shared" si="203"/>
        <v>0</v>
      </c>
      <c r="U4391" s="99" t="str">
        <f>IFERROR(IF(#REF!="S",VLOOKUP('Raw Data'!A4391,References!#REF!,2,FALSE),(VLOOKUP($S4391,References!$B$3:$C$8,2,FALSE))),"")</f>
        <v/>
      </c>
      <c r="W4391" s="66" t="str">
        <f>IFERROR(VLOOKUP($O4391,'Customer List'!$A$1:$J$488,10,FALSE),"")</f>
        <v/>
      </c>
    </row>
    <row r="4392" spans="18:23">
      <c r="R4392" s="97">
        <f t="shared" ref="R4392:R4455" si="204">L4392-K4392</f>
        <v>0</v>
      </c>
      <c r="T4392" s="98">
        <f t="shared" si="203"/>
        <v>0</v>
      </c>
      <c r="U4392" s="99" t="str">
        <f>IFERROR(IF(#REF!="S",VLOOKUP('Raw Data'!A4392,References!#REF!,2,FALSE),(VLOOKUP($S4392,References!$B$3:$C$8,2,FALSE))),"")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4"/>
        <v>0</v>
      </c>
      <c r="T4393" s="98">
        <f t="shared" si="203"/>
        <v>0</v>
      </c>
      <c r="U4393" s="99" t="str">
        <f>IFERROR(IF(#REF!="S",VLOOKUP('Raw Data'!A4393,References!#REF!,2,FALSE),(VLOOKUP($S4393,References!$B$3:$C$8,2,FALSE))),"")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4"/>
        <v>0</v>
      </c>
      <c r="T4394" s="98">
        <f t="shared" si="203"/>
        <v>0</v>
      </c>
      <c r="U4394" s="99" t="str">
        <f>IFERROR(IF(#REF!="S",VLOOKUP('Raw Data'!A4394,References!#REF!,2,FALSE),(VLOOKUP($S4394,References!$B$3:$C$8,2,FALSE))),"")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4"/>
        <v>0</v>
      </c>
      <c r="T4395" s="98">
        <f t="shared" si="203"/>
        <v>0</v>
      </c>
      <c r="U4395" s="99" t="str">
        <f>IFERROR(IF(#REF!="S",VLOOKUP('Raw Data'!A4395,References!#REF!,2,FALSE),(VLOOKUP($S4395,References!$B$3:$C$8,2,FALSE))),"")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4"/>
        <v>0</v>
      </c>
      <c r="T4396" s="98">
        <f t="shared" si="203"/>
        <v>0</v>
      </c>
      <c r="U4396" s="99" t="str">
        <f>IFERROR(IF(#REF!="S",VLOOKUP('Raw Data'!A4396,References!#REF!,2,FALSE),(VLOOKUP($S4396,References!$B$3:$C$8,2,FALSE))),"")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4"/>
        <v>0</v>
      </c>
      <c r="T4397" s="98">
        <f t="shared" si="203"/>
        <v>0</v>
      </c>
      <c r="U4397" s="99" t="str">
        <f>IFERROR(IF(#REF!="S",VLOOKUP('Raw Data'!A4397,References!#REF!,2,FALSE),(VLOOKUP($S4397,References!$B$3:$C$8,2,FALSE))),"")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4"/>
        <v>0</v>
      </c>
      <c r="T4398" s="98">
        <f t="shared" si="203"/>
        <v>0</v>
      </c>
      <c r="U4398" s="99" t="str">
        <f>IFERROR(IF(#REF!="S",VLOOKUP('Raw Data'!A4398,References!#REF!,2,FALSE),(VLOOKUP($S4398,References!$B$3:$C$8,2,FALSE))),"")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4"/>
        <v>0</v>
      </c>
      <c r="T4399" s="98">
        <f t="shared" si="203"/>
        <v>0</v>
      </c>
      <c r="U4399" s="99" t="str">
        <f>IFERROR(IF(#REF!="S",VLOOKUP('Raw Data'!A4399,References!#REF!,2,FALSE),(VLOOKUP($S4399,References!$B$3:$C$8,2,FALSE))),"")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4"/>
        <v>0</v>
      </c>
      <c r="T4400" s="98">
        <f t="shared" si="203"/>
        <v>0</v>
      </c>
      <c r="U4400" s="99" t="str">
        <f>IFERROR(IF(#REF!="S",VLOOKUP('Raw Data'!A4400,References!#REF!,2,FALSE),(VLOOKUP($S4400,References!$B$3:$C$8,2,FALSE))),"")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4"/>
        <v>0</v>
      </c>
      <c r="T4401" s="98">
        <f t="shared" si="203"/>
        <v>0</v>
      </c>
      <c r="U4401" s="99" t="str">
        <f>IFERROR(IF(#REF!="S",VLOOKUP('Raw Data'!A4401,References!#REF!,2,FALSE),(VLOOKUP($S4401,References!$B$3:$C$8,2,FALSE))),"")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4"/>
        <v>0</v>
      </c>
      <c r="T4402" s="98">
        <f t="shared" si="203"/>
        <v>0</v>
      </c>
      <c r="U4402" s="99" t="str">
        <f>IFERROR(IF(#REF!="S",VLOOKUP('Raw Data'!A4402,References!#REF!,2,FALSE),(VLOOKUP($S4402,References!$B$3:$C$8,2,FALSE))),"")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4"/>
        <v>0</v>
      </c>
      <c r="T4403" s="98">
        <f t="shared" si="203"/>
        <v>0</v>
      </c>
      <c r="U4403" s="99" t="str">
        <f>IFERROR(IF(#REF!="S",VLOOKUP('Raw Data'!A4403,References!#REF!,2,FALSE),(VLOOKUP($S4403,References!$B$3:$C$8,2,FALSE))),"")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4"/>
        <v>0</v>
      </c>
      <c r="T4404" s="98">
        <f t="shared" si="203"/>
        <v>0</v>
      </c>
      <c r="U4404" s="99" t="str">
        <f>IFERROR(IF(#REF!="S",VLOOKUP('Raw Data'!A4404,References!#REF!,2,FALSE),(VLOOKUP($S4404,References!$B$3:$C$8,2,FALSE))),"")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4"/>
        <v>0</v>
      </c>
      <c r="T4405" s="98">
        <f t="shared" si="203"/>
        <v>0</v>
      </c>
      <c r="U4405" s="99" t="str">
        <f>IFERROR(IF(#REF!="S",VLOOKUP('Raw Data'!A4405,References!#REF!,2,FALSE),(VLOOKUP($S4405,References!$B$3:$C$8,2,FALSE))),"")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4"/>
        <v>0</v>
      </c>
      <c r="T4406" s="98">
        <f t="shared" si="203"/>
        <v>0</v>
      </c>
      <c r="U4406" s="99" t="str">
        <f>IFERROR(IF(#REF!="S",VLOOKUP('Raw Data'!A4406,References!#REF!,2,FALSE),(VLOOKUP($S4406,References!$B$3:$C$8,2,FALSE))),"")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4"/>
        <v>0</v>
      </c>
      <c r="T4407" s="98">
        <f t="shared" si="203"/>
        <v>0</v>
      </c>
      <c r="U4407" s="99" t="str">
        <f>IFERROR(IF(#REF!="S",VLOOKUP('Raw Data'!A4407,References!#REF!,2,FALSE),(VLOOKUP($S4407,References!$B$3:$C$8,2,FALSE))),"")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4"/>
        <v>0</v>
      </c>
      <c r="T4408" s="98">
        <f t="shared" si="203"/>
        <v>0</v>
      </c>
      <c r="U4408" s="99" t="str">
        <f>IFERROR(IF(#REF!="S",VLOOKUP('Raw Data'!A4408,References!#REF!,2,FALSE),(VLOOKUP($S4408,References!$B$3:$C$8,2,FALSE))),"")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4"/>
        <v>0</v>
      </c>
      <c r="T4409" s="98">
        <f t="shared" si="203"/>
        <v>0</v>
      </c>
      <c r="U4409" s="99" t="str">
        <f>IFERROR(IF(#REF!="S",VLOOKUP('Raw Data'!A4409,References!#REF!,2,FALSE),(VLOOKUP($S4409,References!$B$3:$C$8,2,FALSE))),"")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4"/>
        <v>0</v>
      </c>
      <c r="T4410" s="98">
        <f t="shared" si="203"/>
        <v>0</v>
      </c>
      <c r="U4410" s="99" t="str">
        <f>IFERROR(IF(#REF!="S",VLOOKUP('Raw Data'!A4410,References!#REF!,2,FALSE),(VLOOKUP($S4410,References!$B$3:$C$8,2,FALSE))),"")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4"/>
        <v>0</v>
      </c>
      <c r="T4411" s="98">
        <f t="shared" si="203"/>
        <v>0</v>
      </c>
      <c r="U4411" s="99" t="str">
        <f>IFERROR(IF(#REF!="S",VLOOKUP('Raw Data'!A4411,References!#REF!,2,FALSE),(VLOOKUP($S4411,References!$B$3:$C$8,2,FALSE))),"")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4"/>
        <v>0</v>
      </c>
      <c r="T4412" s="98">
        <f t="shared" si="203"/>
        <v>0</v>
      </c>
      <c r="U4412" s="99" t="str">
        <f>IFERROR(IF(#REF!="S",VLOOKUP('Raw Data'!A4412,References!#REF!,2,FALSE),(VLOOKUP($S4412,References!$B$3:$C$8,2,FALSE))),"")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4"/>
        <v>0</v>
      </c>
      <c r="T4413" s="98">
        <f t="shared" si="203"/>
        <v>0</v>
      </c>
      <c r="U4413" s="99" t="str">
        <f>IFERROR(IF(#REF!="S",VLOOKUP('Raw Data'!A4413,References!#REF!,2,FALSE),(VLOOKUP($S4413,References!$B$3:$C$8,2,FALSE))),"")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4"/>
        <v>0</v>
      </c>
      <c r="T4414" s="98">
        <f t="shared" si="203"/>
        <v>0</v>
      </c>
      <c r="U4414" s="99" t="str">
        <f>IFERROR(IF(#REF!="S",VLOOKUP('Raw Data'!A4414,References!#REF!,2,FALSE),(VLOOKUP($S4414,References!$B$3:$C$8,2,FALSE))),"")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4"/>
        <v>0</v>
      </c>
      <c r="T4415" s="98">
        <f t="shared" si="203"/>
        <v>0</v>
      </c>
      <c r="U4415" s="99" t="str">
        <f>IFERROR(IF(#REF!="S",VLOOKUP('Raw Data'!A4415,References!#REF!,2,FALSE),(VLOOKUP($S4415,References!$B$3:$C$8,2,FALSE))),"")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4"/>
        <v>0</v>
      </c>
      <c r="T4416" s="98">
        <f t="shared" si="203"/>
        <v>0</v>
      </c>
      <c r="U4416" s="99" t="str">
        <f>IFERROR(IF(#REF!="S",VLOOKUP('Raw Data'!A4416,References!#REF!,2,FALSE),(VLOOKUP($S4416,References!$B$3:$C$8,2,FALSE))),"")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4"/>
        <v>0</v>
      </c>
      <c r="T4417" s="98">
        <f t="shared" si="203"/>
        <v>0</v>
      </c>
      <c r="U4417" s="99" t="str">
        <f>IFERROR(IF(#REF!="S",VLOOKUP('Raw Data'!A4417,References!#REF!,2,FALSE),(VLOOKUP($S4417,References!$B$3:$C$8,2,FALSE))),"")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4"/>
        <v>0</v>
      </c>
      <c r="T4418" s="98">
        <f t="shared" si="203"/>
        <v>0</v>
      </c>
      <c r="U4418" s="99" t="str">
        <f>IFERROR(IF(#REF!="S",VLOOKUP('Raw Data'!A4418,References!#REF!,2,FALSE),(VLOOKUP($S4418,References!$B$3:$C$8,2,FALSE))),"")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4"/>
        <v>0</v>
      </c>
      <c r="T4419" s="98">
        <f t="shared" si="203"/>
        <v>0</v>
      </c>
      <c r="U4419" s="99" t="str">
        <f>IFERROR(IF(#REF!="S",VLOOKUP('Raw Data'!A4419,References!#REF!,2,FALSE),(VLOOKUP($S4419,References!$B$3:$C$8,2,FALSE))),"")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4"/>
        <v>0</v>
      </c>
      <c r="T4420" s="98">
        <f t="shared" si="203"/>
        <v>0</v>
      </c>
      <c r="U4420" s="99" t="str">
        <f>IFERROR(IF(#REF!="S",VLOOKUP('Raw Data'!A4420,References!#REF!,2,FALSE),(VLOOKUP($S4420,References!$B$3:$C$8,2,FALSE))),"")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4"/>
        <v>0</v>
      </c>
      <c r="T4421" s="98">
        <f t="shared" si="203"/>
        <v>0</v>
      </c>
      <c r="U4421" s="99" t="str">
        <f>IFERROR(IF(#REF!="S",VLOOKUP('Raw Data'!A4421,References!#REF!,2,FALSE),(VLOOKUP($S4421,References!$B$3:$C$8,2,FALSE))),"")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4"/>
        <v>0</v>
      </c>
      <c r="T4422" s="98">
        <f t="shared" si="203"/>
        <v>0</v>
      </c>
      <c r="U4422" s="99" t="str">
        <f>IFERROR(IF(#REF!="S",VLOOKUP('Raw Data'!A4422,References!#REF!,2,FALSE),(VLOOKUP($S4422,References!$B$3:$C$8,2,FALSE))),"")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4"/>
        <v>0</v>
      </c>
      <c r="T4423" s="98">
        <f t="shared" si="203"/>
        <v>0</v>
      </c>
      <c r="U4423" s="99" t="str">
        <f>IFERROR(IF(#REF!="S",VLOOKUP('Raw Data'!A4423,References!#REF!,2,FALSE),(VLOOKUP($S4423,References!$B$3:$C$8,2,FALSE))),"")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4"/>
        <v>0</v>
      </c>
      <c r="T4424" s="98">
        <f t="shared" si="203"/>
        <v>0</v>
      </c>
      <c r="U4424" s="99" t="str">
        <f>IFERROR(IF(#REF!="S",VLOOKUP('Raw Data'!A4424,References!#REF!,2,FALSE),(VLOOKUP($S4424,References!$B$3:$C$8,2,FALSE))),"")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4"/>
        <v>0</v>
      </c>
      <c r="T4425" s="98">
        <f t="shared" si="203"/>
        <v>0</v>
      </c>
      <c r="U4425" s="99" t="str">
        <f>IFERROR(IF(#REF!="S",VLOOKUP('Raw Data'!A4425,References!#REF!,2,FALSE),(VLOOKUP($S4425,References!$B$3:$C$8,2,FALSE))),"")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4"/>
        <v>0</v>
      </c>
      <c r="T4426" s="98">
        <f t="shared" si="203"/>
        <v>0</v>
      </c>
      <c r="U4426" s="99" t="str">
        <f>IFERROR(IF(#REF!="S",VLOOKUP('Raw Data'!A4426,References!#REF!,2,FALSE),(VLOOKUP($S4426,References!$B$3:$C$8,2,FALSE))),"")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4"/>
        <v>0</v>
      </c>
      <c r="T4427" s="98">
        <f t="shared" si="203"/>
        <v>0</v>
      </c>
      <c r="U4427" s="99" t="str">
        <f>IFERROR(IF(#REF!="S",VLOOKUP('Raw Data'!A4427,References!#REF!,2,FALSE),(VLOOKUP($S4427,References!$B$3:$C$8,2,FALSE))),"")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4"/>
        <v>0</v>
      </c>
      <c r="T4428" s="98">
        <f t="shared" si="203"/>
        <v>0</v>
      </c>
      <c r="U4428" s="99" t="str">
        <f>IFERROR(IF(#REF!="S",VLOOKUP('Raw Data'!A4428,References!#REF!,2,FALSE),(VLOOKUP($S4428,References!$B$3:$C$8,2,FALSE))),"")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4"/>
        <v>0</v>
      </c>
      <c r="T4429" s="98">
        <f t="shared" si="203"/>
        <v>0</v>
      </c>
      <c r="U4429" s="99" t="str">
        <f>IFERROR(IF(#REF!="S",VLOOKUP('Raw Data'!A4429,References!#REF!,2,FALSE),(VLOOKUP($S4429,References!$B$3:$C$8,2,FALSE))),"")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4"/>
        <v>0</v>
      </c>
      <c r="T4430" s="98">
        <f t="shared" si="203"/>
        <v>0</v>
      </c>
      <c r="U4430" s="99" t="str">
        <f>IFERROR(IF(#REF!="S",VLOOKUP('Raw Data'!A4430,References!#REF!,2,FALSE),(VLOOKUP($S4430,References!$B$3:$C$8,2,FALSE))),"")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4"/>
        <v>0</v>
      </c>
      <c r="T4431" s="98">
        <f t="shared" si="203"/>
        <v>0</v>
      </c>
      <c r="U4431" s="99" t="str">
        <f>IFERROR(IF(#REF!="S",VLOOKUP('Raw Data'!A4431,References!#REF!,2,FALSE),(VLOOKUP($S4431,References!$B$3:$C$8,2,FALSE))),"")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4"/>
        <v>0</v>
      </c>
      <c r="T4432" s="98">
        <f t="shared" ref="T4432:T4495" si="205">IF(S4432="50 - Cleaning Fee",1,HOUR($R4432)+MINUTE(R4432)/60)</f>
        <v>0</v>
      </c>
      <c r="U4432" s="99" t="str">
        <f>IFERROR(IF(#REF!="S",VLOOKUP('Raw Data'!A4432,References!#REF!,2,FALSE),(VLOOKUP($S4432,References!$B$3:$C$8,2,FALSE))),"")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4"/>
        <v>0</v>
      </c>
      <c r="T4433" s="98">
        <f t="shared" si="205"/>
        <v>0</v>
      </c>
      <c r="U4433" s="99" t="str">
        <f>IFERROR(IF(#REF!="S",VLOOKUP('Raw Data'!A4433,References!#REF!,2,FALSE),(VLOOKUP($S4433,References!$B$3:$C$8,2,FALSE))),"")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4"/>
        <v>0</v>
      </c>
      <c r="T4434" s="98">
        <f t="shared" si="205"/>
        <v>0</v>
      </c>
      <c r="U4434" s="99" t="str">
        <f>IFERROR(IF(#REF!="S",VLOOKUP('Raw Data'!A4434,References!#REF!,2,FALSE),(VLOOKUP($S4434,References!$B$3:$C$8,2,FALSE))),"")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4"/>
        <v>0</v>
      </c>
      <c r="T4435" s="98">
        <f t="shared" si="205"/>
        <v>0</v>
      </c>
      <c r="U4435" s="99" t="str">
        <f>IFERROR(IF(#REF!="S",VLOOKUP('Raw Data'!A4435,References!#REF!,2,FALSE),(VLOOKUP($S4435,References!$B$3:$C$8,2,FALSE))),"")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4"/>
        <v>0</v>
      </c>
      <c r="T4436" s="98">
        <f t="shared" si="205"/>
        <v>0</v>
      </c>
      <c r="U4436" s="99" t="str">
        <f>IFERROR(IF(#REF!="S",VLOOKUP('Raw Data'!A4436,References!#REF!,2,FALSE),(VLOOKUP($S4436,References!$B$3:$C$8,2,FALSE))),"")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4"/>
        <v>0</v>
      </c>
      <c r="T4437" s="98">
        <f t="shared" si="205"/>
        <v>0</v>
      </c>
      <c r="U4437" s="99" t="str">
        <f>IFERROR(IF(#REF!="S",VLOOKUP('Raw Data'!A4437,References!#REF!,2,FALSE),(VLOOKUP($S4437,References!$B$3:$C$8,2,FALSE))),"")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4"/>
        <v>0</v>
      </c>
      <c r="T4438" s="98">
        <f t="shared" si="205"/>
        <v>0</v>
      </c>
      <c r="U4438" s="99" t="str">
        <f>IFERROR(IF(#REF!="S",VLOOKUP('Raw Data'!A4438,References!#REF!,2,FALSE),(VLOOKUP($S4438,References!$B$3:$C$8,2,FALSE))),"")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4"/>
        <v>0</v>
      </c>
      <c r="T4439" s="98">
        <f t="shared" si="205"/>
        <v>0</v>
      </c>
      <c r="U4439" s="99" t="str">
        <f>IFERROR(IF(#REF!="S",VLOOKUP('Raw Data'!A4439,References!#REF!,2,FALSE),(VLOOKUP($S4439,References!$B$3:$C$8,2,FALSE))),"")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4"/>
        <v>0</v>
      </c>
      <c r="T4440" s="98">
        <f t="shared" si="205"/>
        <v>0</v>
      </c>
      <c r="U4440" s="99" t="str">
        <f>IFERROR(IF(#REF!="S",VLOOKUP('Raw Data'!A4440,References!#REF!,2,FALSE),(VLOOKUP($S4440,References!$B$3:$C$8,2,FALSE))),"")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4"/>
        <v>0</v>
      </c>
      <c r="T4441" s="98">
        <f t="shared" si="205"/>
        <v>0</v>
      </c>
      <c r="U4441" s="99" t="str">
        <f>IFERROR(IF(#REF!="S",VLOOKUP('Raw Data'!A4441,References!#REF!,2,FALSE),(VLOOKUP($S4441,References!$B$3:$C$8,2,FALSE))),"")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4"/>
        <v>0</v>
      </c>
      <c r="T4442" s="98">
        <f t="shared" si="205"/>
        <v>0</v>
      </c>
      <c r="U4442" s="99" t="str">
        <f>IFERROR(IF(#REF!="S",VLOOKUP('Raw Data'!A4442,References!#REF!,2,FALSE),(VLOOKUP($S4442,References!$B$3:$C$8,2,FALSE))),"")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4"/>
        <v>0</v>
      </c>
      <c r="T4443" s="98">
        <f t="shared" si="205"/>
        <v>0</v>
      </c>
      <c r="U4443" s="99" t="str">
        <f>IFERROR(IF(#REF!="S",VLOOKUP('Raw Data'!A4443,References!#REF!,2,FALSE),(VLOOKUP($S4443,References!$B$3:$C$8,2,FALSE))),"")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4"/>
        <v>0</v>
      </c>
      <c r="T4444" s="98">
        <f t="shared" si="205"/>
        <v>0</v>
      </c>
      <c r="U4444" s="99" t="str">
        <f>IFERROR(IF(#REF!="S",VLOOKUP('Raw Data'!A4444,References!#REF!,2,FALSE),(VLOOKUP($S4444,References!$B$3:$C$8,2,FALSE))),"")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4"/>
        <v>0</v>
      </c>
      <c r="T4445" s="98">
        <f t="shared" si="205"/>
        <v>0</v>
      </c>
      <c r="U4445" s="99" t="str">
        <f>IFERROR(IF(#REF!="S",VLOOKUP('Raw Data'!A4445,References!#REF!,2,FALSE),(VLOOKUP($S4445,References!$B$3:$C$8,2,FALSE))),"")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4"/>
        <v>0</v>
      </c>
      <c r="T4446" s="98">
        <f t="shared" si="205"/>
        <v>0</v>
      </c>
      <c r="U4446" s="99" t="str">
        <f>IFERROR(IF(#REF!="S",VLOOKUP('Raw Data'!A4446,References!#REF!,2,FALSE),(VLOOKUP($S4446,References!$B$3:$C$8,2,FALSE))),"")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4"/>
        <v>0</v>
      </c>
      <c r="T4447" s="98">
        <f t="shared" si="205"/>
        <v>0</v>
      </c>
      <c r="U4447" s="99" t="str">
        <f>IFERROR(IF(#REF!="S",VLOOKUP('Raw Data'!A4447,References!#REF!,2,FALSE),(VLOOKUP($S4447,References!$B$3:$C$8,2,FALSE))),"")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4"/>
        <v>0</v>
      </c>
      <c r="T4448" s="98">
        <f t="shared" si="205"/>
        <v>0</v>
      </c>
      <c r="U4448" s="99" t="str">
        <f>IFERROR(IF(#REF!="S",VLOOKUP('Raw Data'!A4448,References!#REF!,2,FALSE),(VLOOKUP($S4448,References!$B$3:$C$8,2,FALSE))),"")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4"/>
        <v>0</v>
      </c>
      <c r="T4449" s="98">
        <f t="shared" si="205"/>
        <v>0</v>
      </c>
      <c r="U4449" s="99" t="str">
        <f>IFERROR(IF(#REF!="S",VLOOKUP('Raw Data'!A4449,References!#REF!,2,FALSE),(VLOOKUP($S4449,References!$B$3:$C$8,2,FALSE))),"")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4"/>
        <v>0</v>
      </c>
      <c r="T4450" s="98">
        <f t="shared" si="205"/>
        <v>0</v>
      </c>
      <c r="U4450" s="99" t="str">
        <f>IFERROR(IF(#REF!="S",VLOOKUP('Raw Data'!A4450,References!#REF!,2,FALSE),(VLOOKUP($S4450,References!$B$3:$C$8,2,FALSE))),"")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4"/>
        <v>0</v>
      </c>
      <c r="T4451" s="98">
        <f t="shared" si="205"/>
        <v>0</v>
      </c>
      <c r="U4451" s="99" t="str">
        <f>IFERROR(IF(#REF!="S",VLOOKUP('Raw Data'!A4451,References!#REF!,2,FALSE),(VLOOKUP($S4451,References!$B$3:$C$8,2,FALSE))),"")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4"/>
        <v>0</v>
      </c>
      <c r="T4452" s="98">
        <f t="shared" si="205"/>
        <v>0</v>
      </c>
      <c r="U4452" s="99" t="str">
        <f>IFERROR(IF(#REF!="S",VLOOKUP('Raw Data'!A4452,References!#REF!,2,FALSE),(VLOOKUP($S4452,References!$B$3:$C$8,2,FALSE))),"")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4"/>
        <v>0</v>
      </c>
      <c r="T4453" s="98">
        <f t="shared" si="205"/>
        <v>0</v>
      </c>
      <c r="U4453" s="99" t="str">
        <f>IFERROR(IF(#REF!="S",VLOOKUP('Raw Data'!A4453,References!#REF!,2,FALSE),(VLOOKUP($S4453,References!$B$3:$C$8,2,FALSE))),"")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4"/>
        <v>0</v>
      </c>
      <c r="T4454" s="98">
        <f t="shared" si="205"/>
        <v>0</v>
      </c>
      <c r="U4454" s="99" t="str">
        <f>IFERROR(IF(#REF!="S",VLOOKUP('Raw Data'!A4454,References!#REF!,2,FALSE),(VLOOKUP($S4454,References!$B$3:$C$8,2,FALSE))),"")</f>
        <v/>
      </c>
      <c r="W4454" s="66" t="str">
        <f>IFERROR(VLOOKUP($O4454,'Customer List'!$A$1:$J$488,10,FALSE),"")</f>
        <v/>
      </c>
    </row>
    <row r="4455" spans="18:23">
      <c r="R4455" s="97">
        <f t="shared" si="204"/>
        <v>0</v>
      </c>
      <c r="T4455" s="98">
        <f t="shared" si="205"/>
        <v>0</v>
      </c>
      <c r="U4455" s="99" t="str">
        <f>IFERROR(IF(#REF!="S",VLOOKUP('Raw Data'!A4455,References!#REF!,2,FALSE),(VLOOKUP($S4455,References!$B$3:$C$8,2,FALSE))),"")</f>
        <v/>
      </c>
      <c r="W4455" s="66" t="str">
        <f>IFERROR(VLOOKUP($O4455,'Customer List'!$A$1:$J$488,10,FALSE),"")</f>
        <v/>
      </c>
    </row>
    <row r="4456" spans="18:23">
      <c r="R4456" s="97">
        <f t="shared" ref="R4456:R4519" si="206">L4456-K4456</f>
        <v>0</v>
      </c>
      <c r="T4456" s="98">
        <f t="shared" si="205"/>
        <v>0</v>
      </c>
      <c r="U4456" s="99" t="str">
        <f>IFERROR(IF(#REF!="S",VLOOKUP('Raw Data'!A4456,References!#REF!,2,FALSE),(VLOOKUP($S4456,References!$B$3:$C$8,2,FALSE))),"")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6"/>
        <v>0</v>
      </c>
      <c r="T4457" s="98">
        <f t="shared" si="205"/>
        <v>0</v>
      </c>
      <c r="U4457" s="99" t="str">
        <f>IFERROR(IF(#REF!="S",VLOOKUP('Raw Data'!A4457,References!#REF!,2,FALSE),(VLOOKUP($S4457,References!$B$3:$C$8,2,FALSE))),"")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6"/>
        <v>0</v>
      </c>
      <c r="T4458" s="98">
        <f t="shared" si="205"/>
        <v>0</v>
      </c>
      <c r="U4458" s="99" t="str">
        <f>IFERROR(IF(#REF!="S",VLOOKUP('Raw Data'!A4458,References!#REF!,2,FALSE),(VLOOKUP($S4458,References!$B$3:$C$8,2,FALSE))),"")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6"/>
        <v>0</v>
      </c>
      <c r="T4459" s="98">
        <f t="shared" si="205"/>
        <v>0</v>
      </c>
      <c r="U4459" s="99" t="str">
        <f>IFERROR(IF(#REF!="S",VLOOKUP('Raw Data'!A4459,References!#REF!,2,FALSE),(VLOOKUP($S4459,References!$B$3:$C$8,2,FALSE))),"")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6"/>
        <v>0</v>
      </c>
      <c r="T4460" s="98">
        <f t="shared" si="205"/>
        <v>0</v>
      </c>
      <c r="U4460" s="99" t="str">
        <f>IFERROR(IF(#REF!="S",VLOOKUP('Raw Data'!A4460,References!#REF!,2,FALSE),(VLOOKUP($S4460,References!$B$3:$C$8,2,FALSE))),"")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6"/>
        <v>0</v>
      </c>
      <c r="T4461" s="98">
        <f t="shared" si="205"/>
        <v>0</v>
      </c>
      <c r="U4461" s="99" t="str">
        <f>IFERROR(IF(#REF!="S",VLOOKUP('Raw Data'!A4461,References!#REF!,2,FALSE),(VLOOKUP($S4461,References!$B$3:$C$8,2,FALSE))),"")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6"/>
        <v>0</v>
      </c>
      <c r="T4462" s="98">
        <f t="shared" si="205"/>
        <v>0</v>
      </c>
      <c r="U4462" s="99" t="str">
        <f>IFERROR(IF(#REF!="S",VLOOKUP('Raw Data'!A4462,References!#REF!,2,FALSE),(VLOOKUP($S4462,References!$B$3:$C$8,2,FALSE))),"")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6"/>
        <v>0</v>
      </c>
      <c r="T4463" s="98">
        <f t="shared" si="205"/>
        <v>0</v>
      </c>
      <c r="U4463" s="99" t="str">
        <f>IFERROR(IF(#REF!="S",VLOOKUP('Raw Data'!A4463,References!#REF!,2,FALSE),(VLOOKUP($S4463,References!$B$3:$C$8,2,FALSE))),"")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6"/>
        <v>0</v>
      </c>
      <c r="T4464" s="98">
        <f t="shared" si="205"/>
        <v>0</v>
      </c>
      <c r="U4464" s="99" t="str">
        <f>IFERROR(IF(#REF!="S",VLOOKUP('Raw Data'!A4464,References!#REF!,2,FALSE),(VLOOKUP($S4464,References!$B$3:$C$8,2,FALSE))),"")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6"/>
        <v>0</v>
      </c>
      <c r="T4465" s="98">
        <f t="shared" si="205"/>
        <v>0</v>
      </c>
      <c r="U4465" s="99" t="str">
        <f>IFERROR(IF(#REF!="S",VLOOKUP('Raw Data'!A4465,References!#REF!,2,FALSE),(VLOOKUP($S4465,References!$B$3:$C$8,2,FALSE))),"")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6"/>
        <v>0</v>
      </c>
      <c r="T4466" s="98">
        <f t="shared" si="205"/>
        <v>0</v>
      </c>
      <c r="U4466" s="99" t="str">
        <f>IFERROR(IF(#REF!="S",VLOOKUP('Raw Data'!A4466,References!#REF!,2,FALSE),(VLOOKUP($S4466,References!$B$3:$C$8,2,FALSE))),"")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6"/>
        <v>0</v>
      </c>
      <c r="T4467" s="98">
        <f t="shared" si="205"/>
        <v>0</v>
      </c>
      <c r="U4467" s="99" t="str">
        <f>IFERROR(IF(#REF!="S",VLOOKUP('Raw Data'!A4467,References!#REF!,2,FALSE),(VLOOKUP($S4467,References!$B$3:$C$8,2,FALSE))),"")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6"/>
        <v>0</v>
      </c>
      <c r="T4468" s="98">
        <f t="shared" si="205"/>
        <v>0</v>
      </c>
      <c r="U4468" s="99" t="str">
        <f>IFERROR(IF(#REF!="S",VLOOKUP('Raw Data'!A4468,References!#REF!,2,FALSE),(VLOOKUP($S4468,References!$B$3:$C$8,2,FALSE))),"")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6"/>
        <v>0</v>
      </c>
      <c r="T4469" s="98">
        <f t="shared" si="205"/>
        <v>0</v>
      </c>
      <c r="U4469" s="99" t="str">
        <f>IFERROR(IF(#REF!="S",VLOOKUP('Raw Data'!A4469,References!#REF!,2,FALSE),(VLOOKUP($S4469,References!$B$3:$C$8,2,FALSE))),"")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6"/>
        <v>0</v>
      </c>
      <c r="T4470" s="98">
        <f t="shared" si="205"/>
        <v>0</v>
      </c>
      <c r="U4470" s="99" t="str">
        <f>IFERROR(IF(#REF!="S",VLOOKUP('Raw Data'!A4470,References!#REF!,2,FALSE),(VLOOKUP($S4470,References!$B$3:$C$8,2,FALSE))),"")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6"/>
        <v>0</v>
      </c>
      <c r="T4471" s="98">
        <f t="shared" si="205"/>
        <v>0</v>
      </c>
      <c r="U4471" s="99" t="str">
        <f>IFERROR(IF(#REF!="S",VLOOKUP('Raw Data'!A4471,References!#REF!,2,FALSE),(VLOOKUP($S4471,References!$B$3:$C$8,2,FALSE))),"")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6"/>
        <v>0</v>
      </c>
      <c r="T4472" s="98">
        <f t="shared" si="205"/>
        <v>0</v>
      </c>
      <c r="U4472" s="99" t="str">
        <f>IFERROR(IF(#REF!="S",VLOOKUP('Raw Data'!A4472,References!#REF!,2,FALSE),(VLOOKUP($S4472,References!$B$3:$C$8,2,FALSE))),"")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6"/>
        <v>0</v>
      </c>
      <c r="T4473" s="98">
        <f t="shared" si="205"/>
        <v>0</v>
      </c>
      <c r="U4473" s="99" t="str">
        <f>IFERROR(IF(#REF!="S",VLOOKUP('Raw Data'!A4473,References!#REF!,2,FALSE),(VLOOKUP($S4473,References!$B$3:$C$8,2,FALSE))),"")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6"/>
        <v>0</v>
      </c>
      <c r="T4474" s="98">
        <f t="shared" si="205"/>
        <v>0</v>
      </c>
      <c r="U4474" s="99" t="str">
        <f>IFERROR(IF(#REF!="S",VLOOKUP('Raw Data'!A4474,References!#REF!,2,FALSE),(VLOOKUP($S4474,References!$B$3:$C$8,2,FALSE))),"")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6"/>
        <v>0</v>
      </c>
      <c r="T4475" s="98">
        <f t="shared" si="205"/>
        <v>0</v>
      </c>
      <c r="U4475" s="99" t="str">
        <f>IFERROR(IF(#REF!="S",VLOOKUP('Raw Data'!A4475,References!#REF!,2,FALSE),(VLOOKUP($S4475,References!$B$3:$C$8,2,FALSE))),"")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6"/>
        <v>0</v>
      </c>
      <c r="T4476" s="98">
        <f t="shared" si="205"/>
        <v>0</v>
      </c>
      <c r="U4476" s="99" t="str">
        <f>IFERROR(IF(#REF!="S",VLOOKUP('Raw Data'!A4476,References!#REF!,2,FALSE),(VLOOKUP($S4476,References!$B$3:$C$8,2,FALSE))),"")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6"/>
        <v>0</v>
      </c>
      <c r="T4477" s="98">
        <f t="shared" si="205"/>
        <v>0</v>
      </c>
      <c r="U4477" s="99" t="str">
        <f>IFERROR(IF(#REF!="S",VLOOKUP('Raw Data'!A4477,References!#REF!,2,FALSE),(VLOOKUP($S4477,References!$B$3:$C$8,2,FALSE))),"")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6"/>
        <v>0</v>
      </c>
      <c r="T4478" s="98">
        <f t="shared" si="205"/>
        <v>0</v>
      </c>
      <c r="U4478" s="99" t="str">
        <f>IFERROR(IF(#REF!="S",VLOOKUP('Raw Data'!A4478,References!#REF!,2,FALSE),(VLOOKUP($S4478,References!$B$3:$C$8,2,FALSE))),"")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6"/>
        <v>0</v>
      </c>
      <c r="T4479" s="98">
        <f t="shared" si="205"/>
        <v>0</v>
      </c>
      <c r="U4479" s="99" t="str">
        <f>IFERROR(IF(#REF!="S",VLOOKUP('Raw Data'!A4479,References!#REF!,2,FALSE),(VLOOKUP($S4479,References!$B$3:$C$8,2,FALSE))),"")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6"/>
        <v>0</v>
      </c>
      <c r="T4480" s="98">
        <f t="shared" si="205"/>
        <v>0</v>
      </c>
      <c r="U4480" s="99" t="str">
        <f>IFERROR(IF(#REF!="S",VLOOKUP('Raw Data'!A4480,References!#REF!,2,FALSE),(VLOOKUP($S4480,References!$B$3:$C$8,2,FALSE))),"")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6"/>
        <v>0</v>
      </c>
      <c r="T4481" s="98">
        <f t="shared" si="205"/>
        <v>0</v>
      </c>
      <c r="U4481" s="99" t="str">
        <f>IFERROR(IF(#REF!="S",VLOOKUP('Raw Data'!A4481,References!#REF!,2,FALSE),(VLOOKUP($S4481,References!$B$3:$C$8,2,FALSE))),"")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6"/>
        <v>0</v>
      </c>
      <c r="T4482" s="98">
        <f t="shared" si="205"/>
        <v>0</v>
      </c>
      <c r="U4482" s="99" t="str">
        <f>IFERROR(IF(#REF!="S",VLOOKUP('Raw Data'!A4482,References!#REF!,2,FALSE),(VLOOKUP($S4482,References!$B$3:$C$8,2,FALSE))),"")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6"/>
        <v>0</v>
      </c>
      <c r="T4483" s="98">
        <f t="shared" si="205"/>
        <v>0</v>
      </c>
      <c r="U4483" s="99" t="str">
        <f>IFERROR(IF(#REF!="S",VLOOKUP('Raw Data'!A4483,References!#REF!,2,FALSE),(VLOOKUP($S4483,References!$B$3:$C$8,2,FALSE))),"")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6"/>
        <v>0</v>
      </c>
      <c r="T4484" s="98">
        <f t="shared" si="205"/>
        <v>0</v>
      </c>
      <c r="U4484" s="99" t="str">
        <f>IFERROR(IF(#REF!="S",VLOOKUP('Raw Data'!A4484,References!#REF!,2,FALSE),(VLOOKUP($S4484,References!$B$3:$C$8,2,FALSE))),"")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6"/>
        <v>0</v>
      </c>
      <c r="T4485" s="98">
        <f t="shared" si="205"/>
        <v>0</v>
      </c>
      <c r="U4485" s="99" t="str">
        <f>IFERROR(IF(#REF!="S",VLOOKUP('Raw Data'!A4485,References!#REF!,2,FALSE),(VLOOKUP($S4485,References!$B$3:$C$8,2,FALSE))),"")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6"/>
        <v>0</v>
      </c>
      <c r="T4486" s="98">
        <f t="shared" si="205"/>
        <v>0</v>
      </c>
      <c r="U4486" s="99" t="str">
        <f>IFERROR(IF(#REF!="S",VLOOKUP('Raw Data'!A4486,References!#REF!,2,FALSE),(VLOOKUP($S4486,References!$B$3:$C$8,2,FALSE))),"")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6"/>
        <v>0</v>
      </c>
      <c r="T4487" s="98">
        <f t="shared" si="205"/>
        <v>0</v>
      </c>
      <c r="U4487" s="99" t="str">
        <f>IFERROR(IF(#REF!="S",VLOOKUP('Raw Data'!A4487,References!#REF!,2,FALSE),(VLOOKUP($S4487,References!$B$3:$C$8,2,FALSE))),"")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6"/>
        <v>0</v>
      </c>
      <c r="T4488" s="98">
        <f t="shared" si="205"/>
        <v>0</v>
      </c>
      <c r="U4488" s="99" t="str">
        <f>IFERROR(IF(#REF!="S",VLOOKUP('Raw Data'!A4488,References!#REF!,2,FALSE),(VLOOKUP($S4488,References!$B$3:$C$8,2,FALSE))),"")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6"/>
        <v>0</v>
      </c>
      <c r="T4489" s="98">
        <f t="shared" si="205"/>
        <v>0</v>
      </c>
      <c r="U4489" s="99" t="str">
        <f>IFERROR(IF(#REF!="S",VLOOKUP('Raw Data'!A4489,References!#REF!,2,FALSE),(VLOOKUP($S4489,References!$B$3:$C$8,2,FALSE))),"")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6"/>
        <v>0</v>
      </c>
      <c r="T4490" s="98">
        <f t="shared" si="205"/>
        <v>0</v>
      </c>
      <c r="U4490" s="99" t="str">
        <f>IFERROR(IF(#REF!="S",VLOOKUP('Raw Data'!A4490,References!#REF!,2,FALSE),(VLOOKUP($S4490,References!$B$3:$C$8,2,FALSE))),"")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6"/>
        <v>0</v>
      </c>
      <c r="T4491" s="98">
        <f t="shared" si="205"/>
        <v>0</v>
      </c>
      <c r="U4491" s="99" t="str">
        <f>IFERROR(IF(#REF!="S",VLOOKUP('Raw Data'!A4491,References!#REF!,2,FALSE),(VLOOKUP($S4491,References!$B$3:$C$8,2,FALSE))),"")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6"/>
        <v>0</v>
      </c>
      <c r="T4492" s="98">
        <f t="shared" si="205"/>
        <v>0</v>
      </c>
      <c r="U4492" s="99" t="str">
        <f>IFERROR(IF(#REF!="S",VLOOKUP('Raw Data'!A4492,References!#REF!,2,FALSE),(VLOOKUP($S4492,References!$B$3:$C$8,2,FALSE))),"")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6"/>
        <v>0</v>
      </c>
      <c r="T4493" s="98">
        <f t="shared" si="205"/>
        <v>0</v>
      </c>
      <c r="U4493" s="99" t="str">
        <f>IFERROR(IF(#REF!="S",VLOOKUP('Raw Data'!A4493,References!#REF!,2,FALSE),(VLOOKUP($S4493,References!$B$3:$C$8,2,FALSE))),"")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6"/>
        <v>0</v>
      </c>
      <c r="T4494" s="98">
        <f t="shared" si="205"/>
        <v>0</v>
      </c>
      <c r="U4494" s="99" t="str">
        <f>IFERROR(IF(#REF!="S",VLOOKUP('Raw Data'!A4494,References!#REF!,2,FALSE),(VLOOKUP($S4494,References!$B$3:$C$8,2,FALSE))),"")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6"/>
        <v>0</v>
      </c>
      <c r="T4495" s="98">
        <f t="shared" si="205"/>
        <v>0</v>
      </c>
      <c r="U4495" s="99" t="str">
        <f>IFERROR(IF(#REF!="S",VLOOKUP('Raw Data'!A4495,References!#REF!,2,FALSE),(VLOOKUP($S4495,References!$B$3:$C$8,2,FALSE))),"")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6"/>
        <v>0</v>
      </c>
      <c r="T4496" s="98">
        <f t="shared" ref="T4496:T4559" si="207">IF(S4496="50 - Cleaning Fee",1,HOUR($R4496)+MINUTE(R4496)/60)</f>
        <v>0</v>
      </c>
      <c r="U4496" s="99" t="str">
        <f>IFERROR(IF(#REF!="S",VLOOKUP('Raw Data'!A4496,References!#REF!,2,FALSE),(VLOOKUP($S4496,References!$B$3:$C$8,2,FALSE))),"")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6"/>
        <v>0</v>
      </c>
      <c r="T4497" s="98">
        <f t="shared" si="207"/>
        <v>0</v>
      </c>
      <c r="U4497" s="99" t="str">
        <f>IFERROR(IF(#REF!="S",VLOOKUP('Raw Data'!A4497,References!#REF!,2,FALSE),(VLOOKUP($S4497,References!$B$3:$C$8,2,FALSE))),"")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6"/>
        <v>0</v>
      </c>
      <c r="T4498" s="98">
        <f t="shared" si="207"/>
        <v>0</v>
      </c>
      <c r="U4498" s="99" t="str">
        <f>IFERROR(IF(#REF!="S",VLOOKUP('Raw Data'!A4498,References!#REF!,2,FALSE),(VLOOKUP($S4498,References!$B$3:$C$8,2,FALSE))),"")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6"/>
        <v>0</v>
      </c>
      <c r="T4499" s="98">
        <f t="shared" si="207"/>
        <v>0</v>
      </c>
      <c r="U4499" s="99" t="str">
        <f>IFERROR(IF(#REF!="S",VLOOKUP('Raw Data'!A4499,References!#REF!,2,FALSE),(VLOOKUP($S4499,References!$B$3:$C$8,2,FALSE))),"")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6"/>
        <v>0</v>
      </c>
      <c r="T4500" s="98">
        <f t="shared" si="207"/>
        <v>0</v>
      </c>
      <c r="U4500" s="99" t="str">
        <f>IFERROR(IF(#REF!="S",VLOOKUP('Raw Data'!A4500,References!#REF!,2,FALSE),(VLOOKUP($S4500,References!$B$3:$C$8,2,FALSE))),"")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6"/>
        <v>0</v>
      </c>
      <c r="T4501" s="98">
        <f t="shared" si="207"/>
        <v>0</v>
      </c>
      <c r="U4501" s="99" t="str">
        <f>IFERROR(IF(#REF!="S",VLOOKUP('Raw Data'!A4501,References!#REF!,2,FALSE),(VLOOKUP($S4501,References!$B$3:$C$8,2,FALSE))),"")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6"/>
        <v>0</v>
      </c>
      <c r="T4502" s="98">
        <f t="shared" si="207"/>
        <v>0</v>
      </c>
      <c r="U4502" s="99" t="str">
        <f>IFERROR(IF(#REF!="S",VLOOKUP('Raw Data'!A4502,References!#REF!,2,FALSE),(VLOOKUP($S4502,References!$B$3:$C$8,2,FALSE))),"")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6"/>
        <v>0</v>
      </c>
      <c r="T4503" s="98">
        <f t="shared" si="207"/>
        <v>0</v>
      </c>
      <c r="U4503" s="99" t="str">
        <f>IFERROR(IF(#REF!="S",VLOOKUP('Raw Data'!A4503,References!#REF!,2,FALSE),(VLOOKUP($S4503,References!$B$3:$C$8,2,FALSE))),"")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6"/>
        <v>0</v>
      </c>
      <c r="T4504" s="98">
        <f t="shared" si="207"/>
        <v>0</v>
      </c>
      <c r="U4504" s="99" t="str">
        <f>IFERROR(IF(#REF!="S",VLOOKUP('Raw Data'!A4504,References!#REF!,2,FALSE),(VLOOKUP($S4504,References!$B$3:$C$8,2,FALSE))),"")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6"/>
        <v>0</v>
      </c>
      <c r="T4505" s="98">
        <f t="shared" si="207"/>
        <v>0</v>
      </c>
      <c r="U4505" s="99" t="str">
        <f>IFERROR(IF(#REF!="S",VLOOKUP('Raw Data'!A4505,References!#REF!,2,FALSE),(VLOOKUP($S4505,References!$B$3:$C$8,2,FALSE))),"")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6"/>
        <v>0</v>
      </c>
      <c r="T4506" s="98">
        <f t="shared" si="207"/>
        <v>0</v>
      </c>
      <c r="U4506" s="99" t="str">
        <f>IFERROR(IF(#REF!="S",VLOOKUP('Raw Data'!A4506,References!#REF!,2,FALSE),(VLOOKUP($S4506,References!$B$3:$C$8,2,FALSE))),"")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6"/>
        <v>0</v>
      </c>
      <c r="T4507" s="98">
        <f t="shared" si="207"/>
        <v>0</v>
      </c>
      <c r="U4507" s="99" t="str">
        <f>IFERROR(IF(#REF!="S",VLOOKUP('Raw Data'!A4507,References!#REF!,2,FALSE),(VLOOKUP($S4507,References!$B$3:$C$8,2,FALSE))),"")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6"/>
        <v>0</v>
      </c>
      <c r="T4508" s="98">
        <f t="shared" si="207"/>
        <v>0</v>
      </c>
      <c r="U4508" s="99" t="str">
        <f>IFERROR(IF(#REF!="S",VLOOKUP('Raw Data'!A4508,References!#REF!,2,FALSE),(VLOOKUP($S4508,References!$B$3:$C$8,2,FALSE))),"")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6"/>
        <v>0</v>
      </c>
      <c r="T4509" s="98">
        <f t="shared" si="207"/>
        <v>0</v>
      </c>
      <c r="U4509" s="99" t="str">
        <f>IFERROR(IF(#REF!="S",VLOOKUP('Raw Data'!A4509,References!#REF!,2,FALSE),(VLOOKUP($S4509,References!$B$3:$C$8,2,FALSE))),"")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6"/>
        <v>0</v>
      </c>
      <c r="T4510" s="98">
        <f t="shared" si="207"/>
        <v>0</v>
      </c>
      <c r="U4510" s="99" t="str">
        <f>IFERROR(IF(#REF!="S",VLOOKUP('Raw Data'!A4510,References!#REF!,2,FALSE),(VLOOKUP($S4510,References!$B$3:$C$8,2,FALSE))),"")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6"/>
        <v>0</v>
      </c>
      <c r="T4511" s="98">
        <f t="shared" si="207"/>
        <v>0</v>
      </c>
      <c r="U4511" s="99" t="str">
        <f>IFERROR(IF(#REF!="S",VLOOKUP('Raw Data'!A4511,References!#REF!,2,FALSE),(VLOOKUP($S4511,References!$B$3:$C$8,2,FALSE))),"")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6"/>
        <v>0</v>
      </c>
      <c r="T4512" s="98">
        <f t="shared" si="207"/>
        <v>0</v>
      </c>
      <c r="U4512" s="99" t="str">
        <f>IFERROR(IF(#REF!="S",VLOOKUP('Raw Data'!A4512,References!#REF!,2,FALSE),(VLOOKUP($S4512,References!$B$3:$C$8,2,FALSE))),"")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6"/>
        <v>0</v>
      </c>
      <c r="T4513" s="98">
        <f t="shared" si="207"/>
        <v>0</v>
      </c>
      <c r="U4513" s="99" t="str">
        <f>IFERROR(IF(#REF!="S",VLOOKUP('Raw Data'!A4513,References!#REF!,2,FALSE),(VLOOKUP($S4513,References!$B$3:$C$8,2,FALSE))),"")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6"/>
        <v>0</v>
      </c>
      <c r="T4514" s="98">
        <f t="shared" si="207"/>
        <v>0</v>
      </c>
      <c r="U4514" s="99" t="str">
        <f>IFERROR(IF(#REF!="S",VLOOKUP('Raw Data'!A4514,References!#REF!,2,FALSE),(VLOOKUP($S4514,References!$B$3:$C$8,2,FALSE))),"")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6"/>
        <v>0</v>
      </c>
      <c r="T4515" s="98">
        <f t="shared" si="207"/>
        <v>0</v>
      </c>
      <c r="U4515" s="99" t="str">
        <f>IFERROR(IF(#REF!="S",VLOOKUP('Raw Data'!A4515,References!#REF!,2,FALSE),(VLOOKUP($S4515,References!$B$3:$C$8,2,FALSE))),"")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6"/>
        <v>0</v>
      </c>
      <c r="T4516" s="98">
        <f t="shared" si="207"/>
        <v>0</v>
      </c>
      <c r="U4516" s="99" t="str">
        <f>IFERROR(IF(#REF!="S",VLOOKUP('Raw Data'!A4516,References!#REF!,2,FALSE),(VLOOKUP($S4516,References!$B$3:$C$8,2,FALSE))),"")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6"/>
        <v>0</v>
      </c>
      <c r="T4517" s="98">
        <f t="shared" si="207"/>
        <v>0</v>
      </c>
      <c r="U4517" s="99" t="str">
        <f>IFERROR(IF(#REF!="S",VLOOKUP('Raw Data'!A4517,References!#REF!,2,FALSE),(VLOOKUP($S4517,References!$B$3:$C$8,2,FALSE))),"")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6"/>
        <v>0</v>
      </c>
      <c r="T4518" s="98">
        <f t="shared" si="207"/>
        <v>0</v>
      </c>
      <c r="U4518" s="99" t="str">
        <f>IFERROR(IF(#REF!="S",VLOOKUP('Raw Data'!A4518,References!#REF!,2,FALSE),(VLOOKUP($S4518,References!$B$3:$C$8,2,FALSE))),"")</f>
        <v/>
      </c>
      <c r="W4518" s="66" t="str">
        <f>IFERROR(VLOOKUP($O4518,'Customer List'!$A$1:$J$488,10,FALSE),"")</f>
        <v/>
      </c>
    </row>
    <row r="4519" spans="18:23">
      <c r="R4519" s="97">
        <f t="shared" si="206"/>
        <v>0</v>
      </c>
      <c r="T4519" s="98">
        <f t="shared" si="207"/>
        <v>0</v>
      </c>
      <c r="U4519" s="99" t="str">
        <f>IFERROR(IF(#REF!="S",VLOOKUP('Raw Data'!A4519,References!#REF!,2,FALSE),(VLOOKUP($S4519,References!$B$3:$C$8,2,FALSE))),"")</f>
        <v/>
      </c>
      <c r="W4519" s="66" t="str">
        <f>IFERROR(VLOOKUP($O4519,'Customer List'!$A$1:$J$488,10,FALSE),"")</f>
        <v/>
      </c>
    </row>
    <row r="4520" spans="18:23">
      <c r="R4520" s="97">
        <f t="shared" ref="R4520:R4583" si="208">L4520-K4520</f>
        <v>0</v>
      </c>
      <c r="T4520" s="98">
        <f t="shared" si="207"/>
        <v>0</v>
      </c>
      <c r="U4520" s="99" t="str">
        <f>IFERROR(IF(#REF!="S",VLOOKUP('Raw Data'!A4520,References!#REF!,2,FALSE),(VLOOKUP($S4520,References!$B$3:$C$8,2,FALSE))),"")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08"/>
        <v>0</v>
      </c>
      <c r="T4521" s="98">
        <f t="shared" si="207"/>
        <v>0</v>
      </c>
      <c r="U4521" s="99" t="str">
        <f>IFERROR(IF(#REF!="S",VLOOKUP('Raw Data'!A4521,References!#REF!,2,FALSE),(VLOOKUP($S4521,References!$B$3:$C$8,2,FALSE))),"")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08"/>
        <v>0</v>
      </c>
      <c r="T4522" s="98">
        <f t="shared" si="207"/>
        <v>0</v>
      </c>
      <c r="U4522" s="99" t="str">
        <f>IFERROR(IF(#REF!="S",VLOOKUP('Raw Data'!A4522,References!#REF!,2,FALSE),(VLOOKUP($S4522,References!$B$3:$C$8,2,FALSE))),"")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08"/>
        <v>0</v>
      </c>
      <c r="T4523" s="98">
        <f t="shared" si="207"/>
        <v>0</v>
      </c>
      <c r="U4523" s="99" t="str">
        <f>IFERROR(IF(#REF!="S",VLOOKUP('Raw Data'!A4523,References!#REF!,2,FALSE),(VLOOKUP($S4523,References!$B$3:$C$8,2,FALSE))),"")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08"/>
        <v>0</v>
      </c>
      <c r="T4524" s="98">
        <f t="shared" si="207"/>
        <v>0</v>
      </c>
      <c r="U4524" s="99" t="str">
        <f>IFERROR(IF(#REF!="S",VLOOKUP('Raw Data'!A4524,References!#REF!,2,FALSE),(VLOOKUP($S4524,References!$B$3:$C$8,2,FALSE))),"")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08"/>
        <v>0</v>
      </c>
      <c r="T4525" s="98">
        <f t="shared" si="207"/>
        <v>0</v>
      </c>
      <c r="U4525" s="99" t="str">
        <f>IFERROR(IF(#REF!="S",VLOOKUP('Raw Data'!A4525,References!#REF!,2,FALSE),(VLOOKUP($S4525,References!$B$3:$C$8,2,FALSE))),"")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08"/>
        <v>0</v>
      </c>
      <c r="T4526" s="98">
        <f t="shared" si="207"/>
        <v>0</v>
      </c>
      <c r="U4526" s="99" t="str">
        <f>IFERROR(IF(#REF!="S",VLOOKUP('Raw Data'!A4526,References!#REF!,2,FALSE),(VLOOKUP($S4526,References!$B$3:$C$8,2,FALSE))),"")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08"/>
        <v>0</v>
      </c>
      <c r="T4527" s="98">
        <f t="shared" si="207"/>
        <v>0</v>
      </c>
      <c r="U4527" s="99" t="str">
        <f>IFERROR(IF(#REF!="S",VLOOKUP('Raw Data'!A4527,References!#REF!,2,FALSE),(VLOOKUP($S4527,References!$B$3:$C$8,2,FALSE))),"")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08"/>
        <v>0</v>
      </c>
      <c r="T4528" s="98">
        <f t="shared" si="207"/>
        <v>0</v>
      </c>
      <c r="U4528" s="99" t="str">
        <f>IFERROR(IF(#REF!="S",VLOOKUP('Raw Data'!A4528,References!#REF!,2,FALSE),(VLOOKUP($S4528,References!$B$3:$C$8,2,FALSE))),"")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08"/>
        <v>0</v>
      </c>
      <c r="T4529" s="98">
        <f t="shared" si="207"/>
        <v>0</v>
      </c>
      <c r="U4529" s="99" t="str">
        <f>IFERROR(IF(#REF!="S",VLOOKUP('Raw Data'!A4529,References!#REF!,2,FALSE),(VLOOKUP($S4529,References!$B$3:$C$8,2,FALSE))),"")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08"/>
        <v>0</v>
      </c>
      <c r="T4530" s="98">
        <f t="shared" si="207"/>
        <v>0</v>
      </c>
      <c r="U4530" s="99" t="str">
        <f>IFERROR(IF(#REF!="S",VLOOKUP('Raw Data'!A4530,References!#REF!,2,FALSE),(VLOOKUP($S4530,References!$B$3:$C$8,2,FALSE))),"")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08"/>
        <v>0</v>
      </c>
      <c r="T4531" s="98">
        <f t="shared" si="207"/>
        <v>0</v>
      </c>
      <c r="U4531" s="99" t="str">
        <f>IFERROR(IF(#REF!="S",VLOOKUP('Raw Data'!A4531,References!#REF!,2,FALSE),(VLOOKUP($S4531,References!$B$3:$C$8,2,FALSE))),"")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08"/>
        <v>0</v>
      </c>
      <c r="T4532" s="98">
        <f t="shared" si="207"/>
        <v>0</v>
      </c>
      <c r="U4532" s="99" t="str">
        <f>IFERROR(IF(#REF!="S",VLOOKUP('Raw Data'!A4532,References!#REF!,2,FALSE),(VLOOKUP($S4532,References!$B$3:$C$8,2,FALSE))),"")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08"/>
        <v>0</v>
      </c>
      <c r="T4533" s="98">
        <f t="shared" si="207"/>
        <v>0</v>
      </c>
      <c r="U4533" s="99" t="str">
        <f>IFERROR(IF(#REF!="S",VLOOKUP('Raw Data'!A4533,References!#REF!,2,FALSE),(VLOOKUP($S4533,References!$B$3:$C$8,2,FALSE))),"")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08"/>
        <v>0</v>
      </c>
      <c r="T4534" s="98">
        <f t="shared" si="207"/>
        <v>0</v>
      </c>
      <c r="U4534" s="99" t="str">
        <f>IFERROR(IF(#REF!="S",VLOOKUP('Raw Data'!A4534,References!#REF!,2,FALSE),(VLOOKUP($S4534,References!$B$3:$C$8,2,FALSE))),"")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08"/>
        <v>0</v>
      </c>
      <c r="T4535" s="98">
        <f t="shared" si="207"/>
        <v>0</v>
      </c>
      <c r="U4535" s="99" t="str">
        <f>IFERROR(IF(#REF!="S",VLOOKUP('Raw Data'!A4535,References!#REF!,2,FALSE),(VLOOKUP($S4535,References!$B$3:$C$8,2,FALSE))),"")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08"/>
        <v>0</v>
      </c>
      <c r="T4536" s="98">
        <f t="shared" si="207"/>
        <v>0</v>
      </c>
      <c r="U4536" s="99" t="str">
        <f>IFERROR(IF(#REF!="S",VLOOKUP('Raw Data'!A4536,References!#REF!,2,FALSE),(VLOOKUP($S4536,References!$B$3:$C$8,2,FALSE))),"")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08"/>
        <v>0</v>
      </c>
      <c r="T4537" s="98">
        <f t="shared" si="207"/>
        <v>0</v>
      </c>
      <c r="U4537" s="99" t="str">
        <f>IFERROR(IF(#REF!="S",VLOOKUP('Raw Data'!A4537,References!#REF!,2,FALSE),(VLOOKUP($S4537,References!$B$3:$C$8,2,FALSE))),"")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08"/>
        <v>0</v>
      </c>
      <c r="T4538" s="98">
        <f t="shared" si="207"/>
        <v>0</v>
      </c>
      <c r="U4538" s="99" t="str">
        <f>IFERROR(IF(#REF!="S",VLOOKUP('Raw Data'!A4538,References!#REF!,2,FALSE),(VLOOKUP($S4538,References!$B$3:$C$8,2,FALSE))),"")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08"/>
        <v>0</v>
      </c>
      <c r="T4539" s="98">
        <f t="shared" si="207"/>
        <v>0</v>
      </c>
      <c r="U4539" s="99" t="str">
        <f>IFERROR(IF(#REF!="S",VLOOKUP('Raw Data'!A4539,References!#REF!,2,FALSE),(VLOOKUP($S4539,References!$B$3:$C$8,2,FALSE))),"")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08"/>
        <v>0</v>
      </c>
      <c r="T4540" s="98">
        <f t="shared" si="207"/>
        <v>0</v>
      </c>
      <c r="U4540" s="99" t="str">
        <f>IFERROR(IF(#REF!="S",VLOOKUP('Raw Data'!A4540,References!#REF!,2,FALSE),(VLOOKUP($S4540,References!$B$3:$C$8,2,FALSE))),"")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08"/>
        <v>0</v>
      </c>
      <c r="T4541" s="98">
        <f t="shared" si="207"/>
        <v>0</v>
      </c>
      <c r="U4541" s="99" t="str">
        <f>IFERROR(IF(#REF!="S",VLOOKUP('Raw Data'!A4541,References!#REF!,2,FALSE),(VLOOKUP($S4541,References!$B$3:$C$8,2,FALSE))),"")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08"/>
        <v>0</v>
      </c>
      <c r="T4542" s="98">
        <f t="shared" si="207"/>
        <v>0</v>
      </c>
      <c r="U4542" s="99" t="str">
        <f>IFERROR(IF(#REF!="S",VLOOKUP('Raw Data'!A4542,References!#REF!,2,FALSE),(VLOOKUP($S4542,References!$B$3:$C$8,2,FALSE))),"")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08"/>
        <v>0</v>
      </c>
      <c r="T4543" s="98">
        <f t="shared" si="207"/>
        <v>0</v>
      </c>
      <c r="U4543" s="99" t="str">
        <f>IFERROR(IF(#REF!="S",VLOOKUP('Raw Data'!A4543,References!#REF!,2,FALSE),(VLOOKUP($S4543,References!$B$3:$C$8,2,FALSE))),"")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08"/>
        <v>0</v>
      </c>
      <c r="T4544" s="98">
        <f t="shared" si="207"/>
        <v>0</v>
      </c>
      <c r="U4544" s="99" t="str">
        <f>IFERROR(IF(#REF!="S",VLOOKUP('Raw Data'!A4544,References!#REF!,2,FALSE),(VLOOKUP($S4544,References!$B$3:$C$8,2,FALSE))),"")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08"/>
        <v>0</v>
      </c>
      <c r="T4545" s="98">
        <f t="shared" si="207"/>
        <v>0</v>
      </c>
      <c r="U4545" s="99" t="str">
        <f>IFERROR(IF(#REF!="S",VLOOKUP('Raw Data'!A4545,References!#REF!,2,FALSE),(VLOOKUP($S4545,References!$B$3:$C$8,2,FALSE))),"")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08"/>
        <v>0</v>
      </c>
      <c r="T4546" s="98">
        <f t="shared" si="207"/>
        <v>0</v>
      </c>
      <c r="U4546" s="99" t="str">
        <f>IFERROR(IF(#REF!="S",VLOOKUP('Raw Data'!A4546,References!#REF!,2,FALSE),(VLOOKUP($S4546,References!$B$3:$C$8,2,FALSE))),"")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08"/>
        <v>0</v>
      </c>
      <c r="T4547" s="98">
        <f t="shared" si="207"/>
        <v>0</v>
      </c>
      <c r="U4547" s="99" t="str">
        <f>IFERROR(IF(#REF!="S",VLOOKUP('Raw Data'!A4547,References!#REF!,2,FALSE),(VLOOKUP($S4547,References!$B$3:$C$8,2,FALSE))),"")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08"/>
        <v>0</v>
      </c>
      <c r="T4548" s="98">
        <f t="shared" si="207"/>
        <v>0</v>
      </c>
      <c r="U4548" s="99" t="str">
        <f>IFERROR(IF(#REF!="S",VLOOKUP('Raw Data'!A4548,References!#REF!,2,FALSE),(VLOOKUP($S4548,References!$B$3:$C$8,2,FALSE))),"")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08"/>
        <v>0</v>
      </c>
      <c r="T4549" s="98">
        <f t="shared" si="207"/>
        <v>0</v>
      </c>
      <c r="U4549" s="99" t="str">
        <f>IFERROR(IF(#REF!="S",VLOOKUP('Raw Data'!A4549,References!#REF!,2,FALSE),(VLOOKUP($S4549,References!$B$3:$C$8,2,FALSE))),"")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08"/>
        <v>0</v>
      </c>
      <c r="T4550" s="98">
        <f t="shared" si="207"/>
        <v>0</v>
      </c>
      <c r="U4550" s="99" t="str">
        <f>IFERROR(IF(#REF!="S",VLOOKUP('Raw Data'!A4550,References!#REF!,2,FALSE),(VLOOKUP($S4550,References!$B$3:$C$8,2,FALSE))),"")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08"/>
        <v>0</v>
      </c>
      <c r="T4551" s="98">
        <f t="shared" si="207"/>
        <v>0</v>
      </c>
      <c r="U4551" s="99" t="str">
        <f>IFERROR(IF(#REF!="S",VLOOKUP('Raw Data'!A4551,References!#REF!,2,FALSE),(VLOOKUP($S4551,References!$B$3:$C$8,2,FALSE))),"")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08"/>
        <v>0</v>
      </c>
      <c r="T4552" s="98">
        <f t="shared" si="207"/>
        <v>0</v>
      </c>
      <c r="U4552" s="99" t="str">
        <f>IFERROR(IF(#REF!="S",VLOOKUP('Raw Data'!A4552,References!#REF!,2,FALSE),(VLOOKUP($S4552,References!$B$3:$C$8,2,FALSE))),"")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08"/>
        <v>0</v>
      </c>
      <c r="T4553" s="98">
        <f t="shared" si="207"/>
        <v>0</v>
      </c>
      <c r="U4553" s="99" t="str">
        <f>IFERROR(IF(#REF!="S",VLOOKUP('Raw Data'!A4553,References!#REF!,2,FALSE),(VLOOKUP($S4553,References!$B$3:$C$8,2,FALSE))),"")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08"/>
        <v>0</v>
      </c>
      <c r="T4554" s="98">
        <f t="shared" si="207"/>
        <v>0</v>
      </c>
      <c r="U4554" s="99" t="str">
        <f>IFERROR(IF(#REF!="S",VLOOKUP('Raw Data'!A4554,References!#REF!,2,FALSE),(VLOOKUP($S4554,References!$B$3:$C$8,2,FALSE))),"")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08"/>
        <v>0</v>
      </c>
      <c r="T4555" s="98">
        <f t="shared" si="207"/>
        <v>0</v>
      </c>
      <c r="U4555" s="99" t="str">
        <f>IFERROR(IF(#REF!="S",VLOOKUP('Raw Data'!A4555,References!#REF!,2,FALSE),(VLOOKUP($S4555,References!$B$3:$C$8,2,FALSE))),"")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08"/>
        <v>0</v>
      </c>
      <c r="T4556" s="98">
        <f t="shared" si="207"/>
        <v>0</v>
      </c>
      <c r="U4556" s="99" t="str">
        <f>IFERROR(IF(#REF!="S",VLOOKUP('Raw Data'!A4556,References!#REF!,2,FALSE),(VLOOKUP($S4556,References!$B$3:$C$8,2,FALSE))),"")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08"/>
        <v>0</v>
      </c>
      <c r="T4557" s="98">
        <f t="shared" si="207"/>
        <v>0</v>
      </c>
      <c r="U4557" s="99" t="str">
        <f>IFERROR(IF(#REF!="S",VLOOKUP('Raw Data'!A4557,References!#REF!,2,FALSE),(VLOOKUP($S4557,References!$B$3:$C$8,2,FALSE))),"")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08"/>
        <v>0</v>
      </c>
      <c r="T4558" s="98">
        <f t="shared" si="207"/>
        <v>0</v>
      </c>
      <c r="U4558" s="99" t="str">
        <f>IFERROR(IF(#REF!="S",VLOOKUP('Raw Data'!A4558,References!#REF!,2,FALSE),(VLOOKUP($S4558,References!$B$3:$C$8,2,FALSE))),"")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08"/>
        <v>0</v>
      </c>
      <c r="T4559" s="98">
        <f t="shared" si="207"/>
        <v>0</v>
      </c>
      <c r="U4559" s="99" t="str">
        <f>IFERROR(IF(#REF!="S",VLOOKUP('Raw Data'!A4559,References!#REF!,2,FALSE),(VLOOKUP($S4559,References!$B$3:$C$8,2,FALSE))),"")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08"/>
        <v>0</v>
      </c>
      <c r="T4560" s="98">
        <f t="shared" ref="T4560:T4623" si="209">IF(S4560="50 - Cleaning Fee",1,HOUR($R4560)+MINUTE(R4560)/60)</f>
        <v>0</v>
      </c>
      <c r="U4560" s="99" t="str">
        <f>IFERROR(IF(#REF!="S",VLOOKUP('Raw Data'!A4560,References!#REF!,2,FALSE),(VLOOKUP($S4560,References!$B$3:$C$8,2,FALSE))),"")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08"/>
        <v>0</v>
      </c>
      <c r="T4561" s="98">
        <f t="shared" si="209"/>
        <v>0</v>
      </c>
      <c r="U4561" s="99" t="str">
        <f>IFERROR(IF(#REF!="S",VLOOKUP('Raw Data'!A4561,References!#REF!,2,FALSE),(VLOOKUP($S4561,References!$B$3:$C$8,2,FALSE))),"")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08"/>
        <v>0</v>
      </c>
      <c r="T4562" s="98">
        <f t="shared" si="209"/>
        <v>0</v>
      </c>
      <c r="U4562" s="99" t="str">
        <f>IFERROR(IF(#REF!="S",VLOOKUP('Raw Data'!A4562,References!#REF!,2,FALSE),(VLOOKUP($S4562,References!$B$3:$C$8,2,FALSE))),"")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08"/>
        <v>0</v>
      </c>
      <c r="T4563" s="98">
        <f t="shared" si="209"/>
        <v>0</v>
      </c>
      <c r="U4563" s="99" t="str">
        <f>IFERROR(IF(#REF!="S",VLOOKUP('Raw Data'!A4563,References!#REF!,2,FALSE),(VLOOKUP($S4563,References!$B$3:$C$8,2,FALSE))),"")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08"/>
        <v>0</v>
      </c>
      <c r="T4564" s="98">
        <f t="shared" si="209"/>
        <v>0</v>
      </c>
      <c r="U4564" s="99" t="str">
        <f>IFERROR(IF(#REF!="S",VLOOKUP('Raw Data'!A4564,References!#REF!,2,FALSE),(VLOOKUP($S4564,References!$B$3:$C$8,2,FALSE))),"")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08"/>
        <v>0</v>
      </c>
      <c r="T4565" s="98">
        <f t="shared" si="209"/>
        <v>0</v>
      </c>
      <c r="U4565" s="99" t="str">
        <f>IFERROR(IF(#REF!="S",VLOOKUP('Raw Data'!A4565,References!#REF!,2,FALSE),(VLOOKUP($S4565,References!$B$3:$C$8,2,FALSE))),"")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08"/>
        <v>0</v>
      </c>
      <c r="T4566" s="98">
        <f t="shared" si="209"/>
        <v>0</v>
      </c>
      <c r="U4566" s="99" t="str">
        <f>IFERROR(IF(#REF!="S",VLOOKUP('Raw Data'!A4566,References!#REF!,2,FALSE),(VLOOKUP($S4566,References!$B$3:$C$8,2,FALSE))),"")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08"/>
        <v>0</v>
      </c>
      <c r="T4567" s="98">
        <f t="shared" si="209"/>
        <v>0</v>
      </c>
      <c r="U4567" s="99" t="str">
        <f>IFERROR(IF(#REF!="S",VLOOKUP('Raw Data'!A4567,References!#REF!,2,FALSE),(VLOOKUP($S4567,References!$B$3:$C$8,2,FALSE))),"")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08"/>
        <v>0</v>
      </c>
      <c r="T4568" s="98">
        <f t="shared" si="209"/>
        <v>0</v>
      </c>
      <c r="U4568" s="99" t="str">
        <f>IFERROR(IF(#REF!="S",VLOOKUP('Raw Data'!A4568,References!#REF!,2,FALSE),(VLOOKUP($S4568,References!$B$3:$C$8,2,FALSE))),"")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08"/>
        <v>0</v>
      </c>
      <c r="T4569" s="98">
        <f t="shared" si="209"/>
        <v>0</v>
      </c>
      <c r="U4569" s="99" t="str">
        <f>IFERROR(IF(#REF!="S",VLOOKUP('Raw Data'!A4569,References!#REF!,2,FALSE),(VLOOKUP($S4569,References!$B$3:$C$8,2,FALSE))),"")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08"/>
        <v>0</v>
      </c>
      <c r="T4570" s="98">
        <f t="shared" si="209"/>
        <v>0</v>
      </c>
      <c r="U4570" s="99" t="str">
        <f>IFERROR(IF(#REF!="S",VLOOKUP('Raw Data'!A4570,References!#REF!,2,FALSE),(VLOOKUP($S4570,References!$B$3:$C$8,2,FALSE))),"")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08"/>
        <v>0</v>
      </c>
      <c r="T4571" s="98">
        <f t="shared" si="209"/>
        <v>0</v>
      </c>
      <c r="U4571" s="99" t="str">
        <f>IFERROR(IF(#REF!="S",VLOOKUP('Raw Data'!A4571,References!#REF!,2,FALSE),(VLOOKUP($S4571,References!$B$3:$C$8,2,FALSE))),"")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08"/>
        <v>0</v>
      </c>
      <c r="T4572" s="98">
        <f t="shared" si="209"/>
        <v>0</v>
      </c>
      <c r="U4572" s="99" t="str">
        <f>IFERROR(IF(#REF!="S",VLOOKUP('Raw Data'!A4572,References!#REF!,2,FALSE),(VLOOKUP($S4572,References!$B$3:$C$8,2,FALSE))),"")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08"/>
        <v>0</v>
      </c>
      <c r="T4573" s="98">
        <f t="shared" si="209"/>
        <v>0</v>
      </c>
      <c r="U4573" s="99" t="str">
        <f>IFERROR(IF(#REF!="S",VLOOKUP('Raw Data'!A4573,References!#REF!,2,FALSE),(VLOOKUP($S4573,References!$B$3:$C$8,2,FALSE))),"")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08"/>
        <v>0</v>
      </c>
      <c r="T4574" s="98">
        <f t="shared" si="209"/>
        <v>0</v>
      </c>
      <c r="U4574" s="99" t="str">
        <f>IFERROR(IF(#REF!="S",VLOOKUP('Raw Data'!A4574,References!#REF!,2,FALSE),(VLOOKUP($S4574,References!$B$3:$C$8,2,FALSE))),"")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08"/>
        <v>0</v>
      </c>
      <c r="T4575" s="98">
        <f t="shared" si="209"/>
        <v>0</v>
      </c>
      <c r="U4575" s="99" t="str">
        <f>IFERROR(IF(#REF!="S",VLOOKUP('Raw Data'!A4575,References!#REF!,2,FALSE),(VLOOKUP($S4575,References!$B$3:$C$8,2,FALSE))),"")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08"/>
        <v>0</v>
      </c>
      <c r="T4576" s="98">
        <f t="shared" si="209"/>
        <v>0</v>
      </c>
      <c r="U4576" s="99" t="str">
        <f>IFERROR(IF(#REF!="S",VLOOKUP('Raw Data'!A4576,References!#REF!,2,FALSE),(VLOOKUP($S4576,References!$B$3:$C$8,2,FALSE))),"")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08"/>
        <v>0</v>
      </c>
      <c r="T4577" s="98">
        <f t="shared" si="209"/>
        <v>0</v>
      </c>
      <c r="U4577" s="99" t="str">
        <f>IFERROR(IF(#REF!="S",VLOOKUP('Raw Data'!A4577,References!#REF!,2,FALSE),(VLOOKUP($S4577,References!$B$3:$C$8,2,FALSE))),"")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08"/>
        <v>0</v>
      </c>
      <c r="T4578" s="98">
        <f t="shared" si="209"/>
        <v>0</v>
      </c>
      <c r="U4578" s="99" t="str">
        <f>IFERROR(IF(#REF!="S",VLOOKUP('Raw Data'!A4578,References!#REF!,2,FALSE),(VLOOKUP($S4578,References!$B$3:$C$8,2,FALSE))),"")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08"/>
        <v>0</v>
      </c>
      <c r="T4579" s="98">
        <f t="shared" si="209"/>
        <v>0</v>
      </c>
      <c r="U4579" s="99" t="str">
        <f>IFERROR(IF(#REF!="S",VLOOKUP('Raw Data'!A4579,References!#REF!,2,FALSE),(VLOOKUP($S4579,References!$B$3:$C$8,2,FALSE))),"")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08"/>
        <v>0</v>
      </c>
      <c r="T4580" s="98">
        <f t="shared" si="209"/>
        <v>0</v>
      </c>
      <c r="U4580" s="99" t="str">
        <f>IFERROR(IF(#REF!="S",VLOOKUP('Raw Data'!A4580,References!#REF!,2,FALSE),(VLOOKUP($S4580,References!$B$3:$C$8,2,FALSE))),"")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08"/>
        <v>0</v>
      </c>
      <c r="T4581" s="98">
        <f t="shared" si="209"/>
        <v>0</v>
      </c>
      <c r="U4581" s="99" t="str">
        <f>IFERROR(IF(#REF!="S",VLOOKUP('Raw Data'!A4581,References!#REF!,2,FALSE),(VLOOKUP($S4581,References!$B$3:$C$8,2,FALSE))),"")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08"/>
        <v>0</v>
      </c>
      <c r="T4582" s="98">
        <f t="shared" si="209"/>
        <v>0</v>
      </c>
      <c r="U4582" s="99" t="str">
        <f>IFERROR(IF(#REF!="S",VLOOKUP('Raw Data'!A4582,References!#REF!,2,FALSE),(VLOOKUP($S4582,References!$B$3:$C$8,2,FALSE))),"")</f>
        <v/>
      </c>
      <c r="W4582" s="66" t="str">
        <f>IFERROR(VLOOKUP($O4582,'Customer List'!$A$1:$J$488,10,FALSE),"")</f>
        <v/>
      </c>
    </row>
    <row r="4583" spans="18:23">
      <c r="R4583" s="97">
        <f t="shared" si="208"/>
        <v>0</v>
      </c>
      <c r="T4583" s="98">
        <f t="shared" si="209"/>
        <v>0</v>
      </c>
      <c r="U4583" s="99" t="str">
        <f>IFERROR(IF(#REF!="S",VLOOKUP('Raw Data'!A4583,References!#REF!,2,FALSE),(VLOOKUP($S4583,References!$B$3:$C$8,2,FALSE))),"")</f>
        <v/>
      </c>
      <c r="W4583" s="66" t="str">
        <f>IFERROR(VLOOKUP($O4583,'Customer List'!$A$1:$J$488,10,FALSE),"")</f>
        <v/>
      </c>
    </row>
    <row r="4584" spans="18:23">
      <c r="R4584" s="97">
        <f t="shared" ref="R4584:R4647" si="210">L4584-K4584</f>
        <v>0</v>
      </c>
      <c r="T4584" s="98">
        <f t="shared" si="209"/>
        <v>0</v>
      </c>
      <c r="U4584" s="99" t="str">
        <f>IFERROR(IF(#REF!="S",VLOOKUP('Raw Data'!A4584,References!#REF!,2,FALSE),(VLOOKUP($S4584,References!$B$3:$C$8,2,FALSE))),"")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0"/>
        <v>0</v>
      </c>
      <c r="T4585" s="98">
        <f t="shared" si="209"/>
        <v>0</v>
      </c>
      <c r="U4585" s="99" t="str">
        <f>IFERROR(IF(#REF!="S",VLOOKUP('Raw Data'!A4585,References!#REF!,2,FALSE),(VLOOKUP($S4585,References!$B$3:$C$8,2,FALSE))),"")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0"/>
        <v>0</v>
      </c>
      <c r="T4586" s="98">
        <f t="shared" si="209"/>
        <v>0</v>
      </c>
      <c r="U4586" s="99" t="str">
        <f>IFERROR(IF(#REF!="S",VLOOKUP('Raw Data'!A4586,References!#REF!,2,FALSE),(VLOOKUP($S4586,References!$B$3:$C$8,2,FALSE))),"")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0"/>
        <v>0</v>
      </c>
      <c r="T4587" s="98">
        <f t="shared" si="209"/>
        <v>0</v>
      </c>
      <c r="U4587" s="99" t="str">
        <f>IFERROR(IF(#REF!="S",VLOOKUP('Raw Data'!A4587,References!#REF!,2,FALSE),(VLOOKUP($S4587,References!$B$3:$C$8,2,FALSE))),"")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0"/>
        <v>0</v>
      </c>
      <c r="T4588" s="98">
        <f t="shared" si="209"/>
        <v>0</v>
      </c>
      <c r="U4588" s="99" t="str">
        <f>IFERROR(IF(#REF!="S",VLOOKUP('Raw Data'!A4588,References!#REF!,2,FALSE),(VLOOKUP($S4588,References!$B$3:$C$8,2,FALSE))),"")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0"/>
        <v>0</v>
      </c>
      <c r="T4589" s="98">
        <f t="shared" si="209"/>
        <v>0</v>
      </c>
      <c r="U4589" s="99" t="str">
        <f>IFERROR(IF(#REF!="S",VLOOKUP('Raw Data'!A4589,References!#REF!,2,FALSE),(VLOOKUP($S4589,References!$B$3:$C$8,2,FALSE))),"")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0"/>
        <v>0</v>
      </c>
      <c r="T4590" s="98">
        <f t="shared" si="209"/>
        <v>0</v>
      </c>
      <c r="U4590" s="99" t="str">
        <f>IFERROR(IF(#REF!="S",VLOOKUP('Raw Data'!A4590,References!#REF!,2,FALSE),(VLOOKUP($S4590,References!$B$3:$C$8,2,FALSE))),"")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0"/>
        <v>0</v>
      </c>
      <c r="T4591" s="98">
        <f t="shared" si="209"/>
        <v>0</v>
      </c>
      <c r="U4591" s="99" t="str">
        <f>IFERROR(IF(#REF!="S",VLOOKUP('Raw Data'!A4591,References!#REF!,2,FALSE),(VLOOKUP($S4591,References!$B$3:$C$8,2,FALSE))),"")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0"/>
        <v>0</v>
      </c>
      <c r="T4592" s="98">
        <f t="shared" si="209"/>
        <v>0</v>
      </c>
      <c r="U4592" s="99" t="str">
        <f>IFERROR(IF(#REF!="S",VLOOKUP('Raw Data'!A4592,References!#REF!,2,FALSE),(VLOOKUP($S4592,References!$B$3:$C$8,2,FALSE))),"")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0"/>
        <v>0</v>
      </c>
      <c r="T4593" s="98">
        <f t="shared" si="209"/>
        <v>0</v>
      </c>
      <c r="U4593" s="99" t="str">
        <f>IFERROR(IF(#REF!="S",VLOOKUP('Raw Data'!A4593,References!#REF!,2,FALSE),(VLOOKUP($S4593,References!$B$3:$C$8,2,FALSE))),"")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0"/>
        <v>0</v>
      </c>
      <c r="T4594" s="98">
        <f t="shared" si="209"/>
        <v>0</v>
      </c>
      <c r="U4594" s="99" t="str">
        <f>IFERROR(IF(#REF!="S",VLOOKUP('Raw Data'!A4594,References!#REF!,2,FALSE),(VLOOKUP($S4594,References!$B$3:$C$8,2,FALSE))),"")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0"/>
        <v>0</v>
      </c>
      <c r="T4595" s="98">
        <f t="shared" si="209"/>
        <v>0</v>
      </c>
      <c r="U4595" s="99" t="str">
        <f>IFERROR(IF(#REF!="S",VLOOKUP('Raw Data'!A4595,References!#REF!,2,FALSE),(VLOOKUP($S4595,References!$B$3:$C$8,2,FALSE))),"")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0"/>
        <v>0</v>
      </c>
      <c r="T4596" s="98">
        <f t="shared" si="209"/>
        <v>0</v>
      </c>
      <c r="U4596" s="99" t="str">
        <f>IFERROR(IF(#REF!="S",VLOOKUP('Raw Data'!A4596,References!#REF!,2,FALSE),(VLOOKUP($S4596,References!$B$3:$C$8,2,FALSE))),"")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0"/>
        <v>0</v>
      </c>
      <c r="T4597" s="98">
        <f t="shared" si="209"/>
        <v>0</v>
      </c>
      <c r="U4597" s="99" t="str">
        <f>IFERROR(IF(#REF!="S",VLOOKUP('Raw Data'!A4597,References!#REF!,2,FALSE),(VLOOKUP($S4597,References!$B$3:$C$8,2,FALSE))),"")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0"/>
        <v>0</v>
      </c>
      <c r="T4598" s="98">
        <f t="shared" si="209"/>
        <v>0</v>
      </c>
      <c r="U4598" s="99" t="str">
        <f>IFERROR(IF(#REF!="S",VLOOKUP('Raw Data'!A4598,References!#REF!,2,FALSE),(VLOOKUP($S4598,References!$B$3:$C$8,2,FALSE))),"")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0"/>
        <v>0</v>
      </c>
      <c r="T4599" s="98">
        <f t="shared" si="209"/>
        <v>0</v>
      </c>
      <c r="U4599" s="99" t="str">
        <f>IFERROR(IF(#REF!="S",VLOOKUP('Raw Data'!A4599,References!#REF!,2,FALSE),(VLOOKUP($S4599,References!$B$3:$C$8,2,FALSE))),"")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0"/>
        <v>0</v>
      </c>
      <c r="T4600" s="98">
        <f t="shared" si="209"/>
        <v>0</v>
      </c>
      <c r="U4600" s="99" t="str">
        <f>IFERROR(IF(#REF!="S",VLOOKUP('Raw Data'!A4600,References!#REF!,2,FALSE),(VLOOKUP($S4600,References!$B$3:$C$8,2,FALSE))),"")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0"/>
        <v>0</v>
      </c>
      <c r="T4601" s="98">
        <f t="shared" si="209"/>
        <v>0</v>
      </c>
      <c r="U4601" s="99" t="str">
        <f>IFERROR(IF(#REF!="S",VLOOKUP('Raw Data'!A4601,References!#REF!,2,FALSE),(VLOOKUP($S4601,References!$B$3:$C$8,2,FALSE))),"")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0"/>
        <v>0</v>
      </c>
      <c r="T4602" s="98">
        <f t="shared" si="209"/>
        <v>0</v>
      </c>
      <c r="U4602" s="99" t="str">
        <f>IFERROR(IF(#REF!="S",VLOOKUP('Raw Data'!A4602,References!#REF!,2,FALSE),(VLOOKUP($S4602,References!$B$3:$C$8,2,FALSE))),"")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0"/>
        <v>0</v>
      </c>
      <c r="T4603" s="98">
        <f t="shared" si="209"/>
        <v>0</v>
      </c>
      <c r="U4603" s="99" t="str">
        <f>IFERROR(IF(#REF!="S",VLOOKUP('Raw Data'!A4603,References!#REF!,2,FALSE),(VLOOKUP($S4603,References!$B$3:$C$8,2,FALSE))),"")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0"/>
        <v>0</v>
      </c>
      <c r="T4604" s="98">
        <f t="shared" si="209"/>
        <v>0</v>
      </c>
      <c r="U4604" s="99" t="str">
        <f>IFERROR(IF(#REF!="S",VLOOKUP('Raw Data'!A4604,References!#REF!,2,FALSE),(VLOOKUP($S4604,References!$B$3:$C$8,2,FALSE))),"")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0"/>
        <v>0</v>
      </c>
      <c r="T4605" s="98">
        <f t="shared" si="209"/>
        <v>0</v>
      </c>
      <c r="U4605" s="99" t="str">
        <f>IFERROR(IF(#REF!="S",VLOOKUP('Raw Data'!A4605,References!#REF!,2,FALSE),(VLOOKUP($S4605,References!$B$3:$C$8,2,FALSE))),"")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0"/>
        <v>0</v>
      </c>
      <c r="T4606" s="98">
        <f t="shared" si="209"/>
        <v>0</v>
      </c>
      <c r="U4606" s="99" t="str">
        <f>IFERROR(IF(#REF!="S",VLOOKUP('Raw Data'!A4606,References!#REF!,2,FALSE),(VLOOKUP($S4606,References!$B$3:$C$8,2,FALSE))),"")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0"/>
        <v>0</v>
      </c>
      <c r="T4607" s="98">
        <f t="shared" si="209"/>
        <v>0</v>
      </c>
      <c r="U4607" s="99" t="str">
        <f>IFERROR(IF(#REF!="S",VLOOKUP('Raw Data'!A4607,References!#REF!,2,FALSE),(VLOOKUP($S4607,References!$B$3:$C$8,2,FALSE))),"")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0"/>
        <v>0</v>
      </c>
      <c r="T4608" s="98">
        <f t="shared" si="209"/>
        <v>0</v>
      </c>
      <c r="U4608" s="99" t="str">
        <f>IFERROR(IF(#REF!="S",VLOOKUP('Raw Data'!A4608,References!#REF!,2,FALSE),(VLOOKUP($S4608,References!$B$3:$C$8,2,FALSE))),"")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0"/>
        <v>0</v>
      </c>
      <c r="T4609" s="98">
        <f t="shared" si="209"/>
        <v>0</v>
      </c>
      <c r="U4609" s="99" t="str">
        <f>IFERROR(IF(#REF!="S",VLOOKUP('Raw Data'!A4609,References!#REF!,2,FALSE),(VLOOKUP($S4609,References!$B$3:$C$8,2,FALSE))),"")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0"/>
        <v>0</v>
      </c>
      <c r="T4610" s="98">
        <f t="shared" si="209"/>
        <v>0</v>
      </c>
      <c r="U4610" s="99" t="str">
        <f>IFERROR(IF(#REF!="S",VLOOKUP('Raw Data'!A4610,References!#REF!,2,FALSE),(VLOOKUP($S4610,References!$B$3:$C$8,2,FALSE))),"")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0"/>
        <v>0</v>
      </c>
      <c r="T4611" s="98">
        <f t="shared" si="209"/>
        <v>0</v>
      </c>
      <c r="U4611" s="99" t="str">
        <f>IFERROR(IF(#REF!="S",VLOOKUP('Raw Data'!A4611,References!#REF!,2,FALSE),(VLOOKUP($S4611,References!$B$3:$C$8,2,FALSE))),"")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0"/>
        <v>0</v>
      </c>
      <c r="T4612" s="98">
        <f t="shared" si="209"/>
        <v>0</v>
      </c>
      <c r="U4612" s="99" t="str">
        <f>IFERROR(IF(#REF!="S",VLOOKUP('Raw Data'!A4612,References!#REF!,2,FALSE),(VLOOKUP($S4612,References!$B$3:$C$8,2,FALSE))),"")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0"/>
        <v>0</v>
      </c>
      <c r="T4613" s="98">
        <f t="shared" si="209"/>
        <v>0</v>
      </c>
      <c r="U4613" s="99" t="str">
        <f>IFERROR(IF(#REF!="S",VLOOKUP('Raw Data'!A4613,References!#REF!,2,FALSE),(VLOOKUP($S4613,References!$B$3:$C$8,2,FALSE))),"")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0"/>
        <v>0</v>
      </c>
      <c r="T4614" s="98">
        <f t="shared" si="209"/>
        <v>0</v>
      </c>
      <c r="U4614" s="99" t="str">
        <f>IFERROR(IF(#REF!="S",VLOOKUP('Raw Data'!A4614,References!#REF!,2,FALSE),(VLOOKUP($S4614,References!$B$3:$C$8,2,FALSE))),"")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0"/>
        <v>0</v>
      </c>
      <c r="T4615" s="98">
        <f t="shared" si="209"/>
        <v>0</v>
      </c>
      <c r="U4615" s="99" t="str">
        <f>IFERROR(IF(#REF!="S",VLOOKUP('Raw Data'!A4615,References!#REF!,2,FALSE),(VLOOKUP($S4615,References!$B$3:$C$8,2,FALSE))),"")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0"/>
        <v>0</v>
      </c>
      <c r="T4616" s="98">
        <f t="shared" si="209"/>
        <v>0</v>
      </c>
      <c r="U4616" s="99" t="str">
        <f>IFERROR(IF(#REF!="S",VLOOKUP('Raw Data'!A4616,References!#REF!,2,FALSE),(VLOOKUP($S4616,References!$B$3:$C$8,2,FALSE))),"")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0"/>
        <v>0</v>
      </c>
      <c r="T4617" s="98">
        <f t="shared" si="209"/>
        <v>0</v>
      </c>
      <c r="U4617" s="99" t="str">
        <f>IFERROR(IF(#REF!="S",VLOOKUP('Raw Data'!A4617,References!#REF!,2,FALSE),(VLOOKUP($S4617,References!$B$3:$C$8,2,FALSE))),"")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0"/>
        <v>0</v>
      </c>
      <c r="T4618" s="98">
        <f t="shared" si="209"/>
        <v>0</v>
      </c>
      <c r="U4618" s="99" t="str">
        <f>IFERROR(IF(#REF!="S",VLOOKUP('Raw Data'!A4618,References!#REF!,2,FALSE),(VLOOKUP($S4618,References!$B$3:$C$8,2,FALSE))),"")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0"/>
        <v>0</v>
      </c>
      <c r="T4619" s="98">
        <f t="shared" si="209"/>
        <v>0</v>
      </c>
      <c r="U4619" s="99" t="str">
        <f>IFERROR(IF(#REF!="S",VLOOKUP('Raw Data'!A4619,References!#REF!,2,FALSE),(VLOOKUP($S4619,References!$B$3:$C$8,2,FALSE))),"")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0"/>
        <v>0</v>
      </c>
      <c r="T4620" s="98">
        <f t="shared" si="209"/>
        <v>0</v>
      </c>
      <c r="U4620" s="99" t="str">
        <f>IFERROR(IF(#REF!="S",VLOOKUP('Raw Data'!A4620,References!#REF!,2,FALSE),(VLOOKUP($S4620,References!$B$3:$C$8,2,FALSE))),"")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0"/>
        <v>0</v>
      </c>
      <c r="T4621" s="98">
        <f t="shared" si="209"/>
        <v>0</v>
      </c>
      <c r="U4621" s="99" t="str">
        <f>IFERROR(IF(#REF!="S",VLOOKUP('Raw Data'!A4621,References!#REF!,2,FALSE),(VLOOKUP($S4621,References!$B$3:$C$8,2,FALSE))),"")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0"/>
        <v>0</v>
      </c>
      <c r="T4622" s="98">
        <f t="shared" si="209"/>
        <v>0</v>
      </c>
      <c r="U4622" s="99" t="str">
        <f>IFERROR(IF(#REF!="S",VLOOKUP('Raw Data'!A4622,References!#REF!,2,FALSE),(VLOOKUP($S4622,References!$B$3:$C$8,2,FALSE))),"")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0"/>
        <v>0</v>
      </c>
      <c r="T4623" s="98">
        <f t="shared" si="209"/>
        <v>0</v>
      </c>
      <c r="U4623" s="99" t="str">
        <f>IFERROR(IF(#REF!="S",VLOOKUP('Raw Data'!A4623,References!#REF!,2,FALSE),(VLOOKUP($S4623,References!$B$3:$C$8,2,FALSE))),"")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0"/>
        <v>0</v>
      </c>
      <c r="T4624" s="98">
        <f t="shared" ref="T4624:T4687" si="211">IF(S4624="50 - Cleaning Fee",1,HOUR($R4624)+MINUTE(R4624)/60)</f>
        <v>0</v>
      </c>
      <c r="U4624" s="99" t="str">
        <f>IFERROR(IF(#REF!="S",VLOOKUP('Raw Data'!A4624,References!#REF!,2,FALSE),(VLOOKUP($S4624,References!$B$3:$C$8,2,FALSE))),"")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0"/>
        <v>0</v>
      </c>
      <c r="T4625" s="98">
        <f t="shared" si="211"/>
        <v>0</v>
      </c>
      <c r="U4625" s="99" t="str">
        <f>IFERROR(IF(#REF!="S",VLOOKUP('Raw Data'!A4625,References!#REF!,2,FALSE),(VLOOKUP($S4625,References!$B$3:$C$8,2,FALSE))),"")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0"/>
        <v>0</v>
      </c>
      <c r="T4626" s="98">
        <f t="shared" si="211"/>
        <v>0</v>
      </c>
      <c r="U4626" s="99" t="str">
        <f>IFERROR(IF(#REF!="S",VLOOKUP('Raw Data'!A4626,References!#REF!,2,FALSE),(VLOOKUP($S4626,References!$B$3:$C$8,2,FALSE))),"")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0"/>
        <v>0</v>
      </c>
      <c r="T4627" s="98">
        <f t="shared" si="211"/>
        <v>0</v>
      </c>
      <c r="U4627" s="99" t="str">
        <f>IFERROR(IF(#REF!="S",VLOOKUP('Raw Data'!A4627,References!#REF!,2,FALSE),(VLOOKUP($S4627,References!$B$3:$C$8,2,FALSE))),"")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0"/>
        <v>0</v>
      </c>
      <c r="T4628" s="98">
        <f t="shared" si="211"/>
        <v>0</v>
      </c>
      <c r="U4628" s="99" t="str">
        <f>IFERROR(IF(#REF!="S",VLOOKUP('Raw Data'!A4628,References!#REF!,2,FALSE),(VLOOKUP($S4628,References!$B$3:$C$8,2,FALSE))),"")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0"/>
        <v>0</v>
      </c>
      <c r="T4629" s="98">
        <f t="shared" si="211"/>
        <v>0</v>
      </c>
      <c r="U4629" s="99" t="str">
        <f>IFERROR(IF(#REF!="S",VLOOKUP('Raw Data'!A4629,References!#REF!,2,FALSE),(VLOOKUP($S4629,References!$B$3:$C$8,2,FALSE))),"")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0"/>
        <v>0</v>
      </c>
      <c r="T4630" s="98">
        <f t="shared" si="211"/>
        <v>0</v>
      </c>
      <c r="U4630" s="99" t="str">
        <f>IFERROR(IF(#REF!="S",VLOOKUP('Raw Data'!A4630,References!#REF!,2,FALSE),(VLOOKUP($S4630,References!$B$3:$C$8,2,FALSE))),"")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0"/>
        <v>0</v>
      </c>
      <c r="T4631" s="98">
        <f t="shared" si="211"/>
        <v>0</v>
      </c>
      <c r="U4631" s="99" t="str">
        <f>IFERROR(IF(#REF!="S",VLOOKUP('Raw Data'!A4631,References!#REF!,2,FALSE),(VLOOKUP($S4631,References!$B$3:$C$8,2,FALSE))),"")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0"/>
        <v>0</v>
      </c>
      <c r="T4632" s="98">
        <f t="shared" si="211"/>
        <v>0</v>
      </c>
      <c r="U4632" s="99" t="str">
        <f>IFERROR(IF(#REF!="S",VLOOKUP('Raw Data'!A4632,References!#REF!,2,FALSE),(VLOOKUP($S4632,References!$B$3:$C$8,2,FALSE))),"")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0"/>
        <v>0</v>
      </c>
      <c r="T4633" s="98">
        <f t="shared" si="211"/>
        <v>0</v>
      </c>
      <c r="U4633" s="99" t="str">
        <f>IFERROR(IF(#REF!="S",VLOOKUP('Raw Data'!A4633,References!#REF!,2,FALSE),(VLOOKUP($S4633,References!$B$3:$C$8,2,FALSE))),"")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0"/>
        <v>0</v>
      </c>
      <c r="T4634" s="98">
        <f t="shared" si="211"/>
        <v>0</v>
      </c>
      <c r="U4634" s="99" t="str">
        <f>IFERROR(IF(#REF!="S",VLOOKUP('Raw Data'!A4634,References!#REF!,2,FALSE),(VLOOKUP($S4634,References!$B$3:$C$8,2,FALSE))),"")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0"/>
        <v>0</v>
      </c>
      <c r="T4635" s="98">
        <f t="shared" si="211"/>
        <v>0</v>
      </c>
      <c r="U4635" s="99" t="str">
        <f>IFERROR(IF(#REF!="S",VLOOKUP('Raw Data'!A4635,References!#REF!,2,FALSE),(VLOOKUP($S4635,References!$B$3:$C$8,2,FALSE))),"")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0"/>
        <v>0</v>
      </c>
      <c r="T4636" s="98">
        <f t="shared" si="211"/>
        <v>0</v>
      </c>
      <c r="U4636" s="99" t="str">
        <f>IFERROR(IF(#REF!="S",VLOOKUP('Raw Data'!A4636,References!#REF!,2,FALSE),(VLOOKUP($S4636,References!$B$3:$C$8,2,FALSE))),"")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0"/>
        <v>0</v>
      </c>
      <c r="T4637" s="98">
        <f t="shared" si="211"/>
        <v>0</v>
      </c>
      <c r="U4637" s="99" t="str">
        <f>IFERROR(IF(#REF!="S",VLOOKUP('Raw Data'!A4637,References!#REF!,2,FALSE),(VLOOKUP($S4637,References!$B$3:$C$8,2,FALSE))),"")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0"/>
        <v>0</v>
      </c>
      <c r="T4638" s="98">
        <f t="shared" si="211"/>
        <v>0</v>
      </c>
      <c r="U4638" s="99" t="str">
        <f>IFERROR(IF(#REF!="S",VLOOKUP('Raw Data'!A4638,References!#REF!,2,FALSE),(VLOOKUP($S4638,References!$B$3:$C$8,2,FALSE))),"")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0"/>
        <v>0</v>
      </c>
      <c r="T4639" s="98">
        <f t="shared" si="211"/>
        <v>0</v>
      </c>
      <c r="U4639" s="99" t="str">
        <f>IFERROR(IF(#REF!="S",VLOOKUP('Raw Data'!A4639,References!#REF!,2,FALSE),(VLOOKUP($S4639,References!$B$3:$C$8,2,FALSE))),"")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0"/>
        <v>0</v>
      </c>
      <c r="T4640" s="98">
        <f t="shared" si="211"/>
        <v>0</v>
      </c>
      <c r="U4640" s="99" t="str">
        <f>IFERROR(IF(#REF!="S",VLOOKUP('Raw Data'!A4640,References!#REF!,2,FALSE),(VLOOKUP($S4640,References!$B$3:$C$8,2,FALSE))),"")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0"/>
        <v>0</v>
      </c>
      <c r="T4641" s="98">
        <f t="shared" si="211"/>
        <v>0</v>
      </c>
      <c r="U4641" s="99" t="str">
        <f>IFERROR(IF(#REF!="S",VLOOKUP('Raw Data'!A4641,References!#REF!,2,FALSE),(VLOOKUP($S4641,References!$B$3:$C$8,2,FALSE))),"")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0"/>
        <v>0</v>
      </c>
      <c r="T4642" s="98">
        <f t="shared" si="211"/>
        <v>0</v>
      </c>
      <c r="U4642" s="99" t="str">
        <f>IFERROR(IF(#REF!="S",VLOOKUP('Raw Data'!A4642,References!#REF!,2,FALSE),(VLOOKUP($S4642,References!$B$3:$C$8,2,FALSE))),"")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0"/>
        <v>0</v>
      </c>
      <c r="T4643" s="98">
        <f t="shared" si="211"/>
        <v>0</v>
      </c>
      <c r="U4643" s="99" t="str">
        <f>IFERROR(IF(#REF!="S",VLOOKUP('Raw Data'!A4643,References!#REF!,2,FALSE),(VLOOKUP($S4643,References!$B$3:$C$8,2,FALSE))),"")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0"/>
        <v>0</v>
      </c>
      <c r="T4644" s="98">
        <f t="shared" si="211"/>
        <v>0</v>
      </c>
      <c r="U4644" s="99" t="str">
        <f>IFERROR(IF(#REF!="S",VLOOKUP('Raw Data'!A4644,References!#REF!,2,FALSE),(VLOOKUP($S4644,References!$B$3:$C$8,2,FALSE))),"")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0"/>
        <v>0</v>
      </c>
      <c r="T4645" s="98">
        <f t="shared" si="211"/>
        <v>0</v>
      </c>
      <c r="U4645" s="99" t="str">
        <f>IFERROR(IF(#REF!="S",VLOOKUP('Raw Data'!A4645,References!#REF!,2,FALSE),(VLOOKUP($S4645,References!$B$3:$C$8,2,FALSE))),"")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0"/>
        <v>0</v>
      </c>
      <c r="T4646" s="98">
        <f t="shared" si="211"/>
        <v>0</v>
      </c>
      <c r="U4646" s="99" t="str">
        <f>IFERROR(IF(#REF!="S",VLOOKUP('Raw Data'!A4646,References!#REF!,2,FALSE),(VLOOKUP($S4646,References!$B$3:$C$8,2,FALSE))),"")</f>
        <v/>
      </c>
      <c r="W4646" s="66" t="str">
        <f>IFERROR(VLOOKUP($O4646,'Customer List'!$A$1:$J$488,10,FALSE),"")</f>
        <v/>
      </c>
    </row>
    <row r="4647" spans="18:23">
      <c r="R4647" s="97">
        <f t="shared" si="210"/>
        <v>0</v>
      </c>
      <c r="T4647" s="98">
        <f t="shared" si="211"/>
        <v>0</v>
      </c>
      <c r="U4647" s="99" t="str">
        <f>IFERROR(IF(#REF!="S",VLOOKUP('Raw Data'!A4647,References!#REF!,2,FALSE),(VLOOKUP($S4647,References!$B$3:$C$8,2,FALSE))),"")</f>
        <v/>
      </c>
      <c r="W4647" s="66" t="str">
        <f>IFERROR(VLOOKUP($O4647,'Customer List'!$A$1:$J$488,10,FALSE),"")</f>
        <v/>
      </c>
    </row>
    <row r="4648" spans="18:23">
      <c r="R4648" s="97">
        <f t="shared" ref="R4648:R4711" si="212">L4648-K4648</f>
        <v>0</v>
      </c>
      <c r="T4648" s="98">
        <f t="shared" si="211"/>
        <v>0</v>
      </c>
      <c r="U4648" s="99" t="str">
        <f>IFERROR(IF(#REF!="S",VLOOKUP('Raw Data'!A4648,References!#REF!,2,FALSE),(VLOOKUP($S4648,References!$B$3:$C$8,2,FALSE))),"")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2"/>
        <v>0</v>
      </c>
      <c r="T4649" s="98">
        <f t="shared" si="211"/>
        <v>0</v>
      </c>
      <c r="U4649" s="99" t="str">
        <f>IFERROR(IF(#REF!="S",VLOOKUP('Raw Data'!A4649,References!#REF!,2,FALSE),(VLOOKUP($S4649,References!$B$3:$C$8,2,FALSE))),"")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2"/>
        <v>0</v>
      </c>
      <c r="T4650" s="98">
        <f t="shared" si="211"/>
        <v>0</v>
      </c>
      <c r="U4650" s="99" t="str">
        <f>IFERROR(IF(#REF!="S",VLOOKUP('Raw Data'!A4650,References!#REF!,2,FALSE),(VLOOKUP($S4650,References!$B$3:$C$8,2,FALSE))),"")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2"/>
        <v>0</v>
      </c>
      <c r="T4651" s="98">
        <f t="shared" si="211"/>
        <v>0</v>
      </c>
      <c r="U4651" s="99" t="str">
        <f>IFERROR(IF(#REF!="S",VLOOKUP('Raw Data'!A4651,References!#REF!,2,FALSE),(VLOOKUP($S4651,References!$B$3:$C$8,2,FALSE))),"")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2"/>
        <v>0</v>
      </c>
      <c r="T4652" s="98">
        <f t="shared" si="211"/>
        <v>0</v>
      </c>
      <c r="U4652" s="99" t="str">
        <f>IFERROR(IF(#REF!="S",VLOOKUP('Raw Data'!A4652,References!#REF!,2,FALSE),(VLOOKUP($S4652,References!$B$3:$C$8,2,FALSE))),"")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2"/>
        <v>0</v>
      </c>
      <c r="T4653" s="98">
        <f t="shared" si="211"/>
        <v>0</v>
      </c>
      <c r="U4653" s="99" t="str">
        <f>IFERROR(IF(#REF!="S",VLOOKUP('Raw Data'!A4653,References!#REF!,2,FALSE),(VLOOKUP($S4653,References!$B$3:$C$8,2,FALSE))),"")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2"/>
        <v>0</v>
      </c>
      <c r="T4654" s="98">
        <f t="shared" si="211"/>
        <v>0</v>
      </c>
      <c r="U4654" s="99" t="str">
        <f>IFERROR(IF(#REF!="S",VLOOKUP('Raw Data'!A4654,References!#REF!,2,FALSE),(VLOOKUP($S4654,References!$B$3:$C$8,2,FALSE))),"")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2"/>
        <v>0</v>
      </c>
      <c r="T4655" s="98">
        <f t="shared" si="211"/>
        <v>0</v>
      </c>
      <c r="U4655" s="99" t="str">
        <f>IFERROR(IF(#REF!="S",VLOOKUP('Raw Data'!A4655,References!#REF!,2,FALSE),(VLOOKUP($S4655,References!$B$3:$C$8,2,FALSE))),"")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2"/>
        <v>0</v>
      </c>
      <c r="T4656" s="98">
        <f t="shared" si="211"/>
        <v>0</v>
      </c>
      <c r="U4656" s="99" t="str">
        <f>IFERROR(IF(#REF!="S",VLOOKUP('Raw Data'!A4656,References!#REF!,2,FALSE),(VLOOKUP($S4656,References!$B$3:$C$8,2,FALSE))),"")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2"/>
        <v>0</v>
      </c>
      <c r="T4657" s="98">
        <f t="shared" si="211"/>
        <v>0</v>
      </c>
      <c r="U4657" s="99" t="str">
        <f>IFERROR(IF(#REF!="S",VLOOKUP('Raw Data'!A4657,References!#REF!,2,FALSE),(VLOOKUP($S4657,References!$B$3:$C$8,2,FALSE))),"")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2"/>
        <v>0</v>
      </c>
      <c r="T4658" s="98">
        <f t="shared" si="211"/>
        <v>0</v>
      </c>
      <c r="U4658" s="99" t="str">
        <f>IFERROR(IF(#REF!="S",VLOOKUP('Raw Data'!A4658,References!#REF!,2,FALSE),(VLOOKUP($S4658,References!$B$3:$C$8,2,FALSE))),"")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2"/>
        <v>0</v>
      </c>
      <c r="T4659" s="98">
        <f t="shared" si="211"/>
        <v>0</v>
      </c>
      <c r="U4659" s="99" t="str">
        <f>IFERROR(IF(#REF!="S",VLOOKUP('Raw Data'!A4659,References!#REF!,2,FALSE),(VLOOKUP($S4659,References!$B$3:$C$8,2,FALSE))),"")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2"/>
        <v>0</v>
      </c>
      <c r="T4660" s="98">
        <f t="shared" si="211"/>
        <v>0</v>
      </c>
      <c r="U4660" s="99" t="str">
        <f>IFERROR(IF(#REF!="S",VLOOKUP('Raw Data'!A4660,References!#REF!,2,FALSE),(VLOOKUP($S4660,References!$B$3:$C$8,2,FALSE))),"")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2"/>
        <v>0</v>
      </c>
      <c r="T4661" s="98">
        <f t="shared" si="211"/>
        <v>0</v>
      </c>
      <c r="U4661" s="99" t="str">
        <f>IFERROR(IF(#REF!="S",VLOOKUP('Raw Data'!A4661,References!#REF!,2,FALSE),(VLOOKUP($S4661,References!$B$3:$C$8,2,FALSE))),"")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2"/>
        <v>0</v>
      </c>
      <c r="T4662" s="98">
        <f t="shared" si="211"/>
        <v>0</v>
      </c>
      <c r="U4662" s="99" t="str">
        <f>IFERROR(IF(#REF!="S",VLOOKUP('Raw Data'!A4662,References!#REF!,2,FALSE),(VLOOKUP($S4662,References!$B$3:$C$8,2,FALSE))),"")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2"/>
        <v>0</v>
      </c>
      <c r="T4663" s="98">
        <f t="shared" si="211"/>
        <v>0</v>
      </c>
      <c r="U4663" s="99" t="str">
        <f>IFERROR(IF(#REF!="S",VLOOKUP('Raw Data'!A4663,References!#REF!,2,FALSE),(VLOOKUP($S4663,References!$B$3:$C$8,2,FALSE))),"")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2"/>
        <v>0</v>
      </c>
      <c r="T4664" s="98">
        <f t="shared" si="211"/>
        <v>0</v>
      </c>
      <c r="U4664" s="99" t="str">
        <f>IFERROR(IF(#REF!="S",VLOOKUP('Raw Data'!A4664,References!#REF!,2,FALSE),(VLOOKUP($S4664,References!$B$3:$C$8,2,FALSE))),"")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2"/>
        <v>0</v>
      </c>
      <c r="T4665" s="98">
        <f t="shared" si="211"/>
        <v>0</v>
      </c>
      <c r="U4665" s="99" t="str">
        <f>IFERROR(IF(#REF!="S",VLOOKUP('Raw Data'!A4665,References!#REF!,2,FALSE),(VLOOKUP($S4665,References!$B$3:$C$8,2,FALSE))),"")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2"/>
        <v>0</v>
      </c>
      <c r="T4666" s="98">
        <f t="shared" si="211"/>
        <v>0</v>
      </c>
      <c r="U4666" s="99" t="str">
        <f>IFERROR(IF(#REF!="S",VLOOKUP('Raw Data'!A4666,References!#REF!,2,FALSE),(VLOOKUP($S4666,References!$B$3:$C$8,2,FALSE))),"")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2"/>
        <v>0</v>
      </c>
      <c r="T4667" s="98">
        <f t="shared" si="211"/>
        <v>0</v>
      </c>
      <c r="U4667" s="99" t="str">
        <f>IFERROR(IF(#REF!="S",VLOOKUP('Raw Data'!A4667,References!#REF!,2,FALSE),(VLOOKUP($S4667,References!$B$3:$C$8,2,FALSE))),"")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2"/>
        <v>0</v>
      </c>
      <c r="T4668" s="98">
        <f t="shared" si="211"/>
        <v>0</v>
      </c>
      <c r="U4668" s="99" t="str">
        <f>IFERROR(IF(#REF!="S",VLOOKUP('Raw Data'!A4668,References!#REF!,2,FALSE),(VLOOKUP($S4668,References!$B$3:$C$8,2,FALSE))),"")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2"/>
        <v>0</v>
      </c>
      <c r="T4669" s="98">
        <f t="shared" si="211"/>
        <v>0</v>
      </c>
      <c r="U4669" s="99" t="str">
        <f>IFERROR(IF(#REF!="S",VLOOKUP('Raw Data'!A4669,References!#REF!,2,FALSE),(VLOOKUP($S4669,References!$B$3:$C$8,2,FALSE))),"")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2"/>
        <v>0</v>
      </c>
      <c r="T4670" s="98">
        <f t="shared" si="211"/>
        <v>0</v>
      </c>
      <c r="U4670" s="99" t="str">
        <f>IFERROR(IF(#REF!="S",VLOOKUP('Raw Data'!A4670,References!#REF!,2,FALSE),(VLOOKUP($S4670,References!$B$3:$C$8,2,FALSE))),"")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2"/>
        <v>0</v>
      </c>
      <c r="T4671" s="98">
        <f t="shared" si="211"/>
        <v>0</v>
      </c>
      <c r="U4671" s="99" t="str">
        <f>IFERROR(IF(#REF!="S",VLOOKUP('Raw Data'!A4671,References!#REF!,2,FALSE),(VLOOKUP($S4671,References!$B$3:$C$8,2,FALSE))),"")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2"/>
        <v>0</v>
      </c>
      <c r="T4672" s="98">
        <f t="shared" si="211"/>
        <v>0</v>
      </c>
      <c r="U4672" s="99" t="str">
        <f>IFERROR(IF(#REF!="S",VLOOKUP('Raw Data'!A4672,References!#REF!,2,FALSE),(VLOOKUP($S4672,References!$B$3:$C$8,2,FALSE))),"")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2"/>
        <v>0</v>
      </c>
      <c r="T4673" s="98">
        <f t="shared" si="211"/>
        <v>0</v>
      </c>
      <c r="U4673" s="99" t="str">
        <f>IFERROR(IF(#REF!="S",VLOOKUP('Raw Data'!A4673,References!#REF!,2,FALSE),(VLOOKUP($S4673,References!$B$3:$C$8,2,FALSE))),"")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2"/>
        <v>0</v>
      </c>
      <c r="T4674" s="98">
        <f t="shared" si="211"/>
        <v>0</v>
      </c>
      <c r="U4674" s="99" t="str">
        <f>IFERROR(IF(#REF!="S",VLOOKUP('Raw Data'!A4674,References!#REF!,2,FALSE),(VLOOKUP($S4674,References!$B$3:$C$8,2,FALSE))),"")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2"/>
        <v>0</v>
      </c>
      <c r="T4675" s="98">
        <f t="shared" si="211"/>
        <v>0</v>
      </c>
      <c r="U4675" s="99" t="str">
        <f>IFERROR(IF(#REF!="S",VLOOKUP('Raw Data'!A4675,References!#REF!,2,FALSE),(VLOOKUP($S4675,References!$B$3:$C$8,2,FALSE))),"")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2"/>
        <v>0</v>
      </c>
      <c r="T4676" s="98">
        <f t="shared" si="211"/>
        <v>0</v>
      </c>
      <c r="U4676" s="99" t="str">
        <f>IFERROR(IF(#REF!="S",VLOOKUP('Raw Data'!A4676,References!#REF!,2,FALSE),(VLOOKUP($S4676,References!$B$3:$C$8,2,FALSE))),"")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2"/>
        <v>0</v>
      </c>
      <c r="T4677" s="98">
        <f t="shared" si="211"/>
        <v>0</v>
      </c>
      <c r="U4677" s="99" t="str">
        <f>IFERROR(IF(#REF!="S",VLOOKUP('Raw Data'!A4677,References!#REF!,2,FALSE),(VLOOKUP($S4677,References!$B$3:$C$8,2,FALSE))),"")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2"/>
        <v>0</v>
      </c>
      <c r="T4678" s="98">
        <f t="shared" si="211"/>
        <v>0</v>
      </c>
      <c r="U4678" s="99" t="str">
        <f>IFERROR(IF(#REF!="S",VLOOKUP('Raw Data'!A4678,References!#REF!,2,FALSE),(VLOOKUP($S4678,References!$B$3:$C$8,2,FALSE))),"")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2"/>
        <v>0</v>
      </c>
      <c r="T4679" s="98">
        <f t="shared" si="211"/>
        <v>0</v>
      </c>
      <c r="U4679" s="99" t="str">
        <f>IFERROR(IF(#REF!="S",VLOOKUP('Raw Data'!A4679,References!#REF!,2,FALSE),(VLOOKUP($S4679,References!$B$3:$C$8,2,FALSE))),"")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2"/>
        <v>0</v>
      </c>
      <c r="T4680" s="98">
        <f t="shared" si="211"/>
        <v>0</v>
      </c>
      <c r="U4680" s="99" t="str">
        <f>IFERROR(IF(#REF!="S",VLOOKUP('Raw Data'!A4680,References!#REF!,2,FALSE),(VLOOKUP($S4680,References!$B$3:$C$8,2,FALSE))),"")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2"/>
        <v>0</v>
      </c>
      <c r="T4681" s="98">
        <f t="shared" si="211"/>
        <v>0</v>
      </c>
      <c r="U4681" s="99" t="str">
        <f>IFERROR(IF(#REF!="S",VLOOKUP('Raw Data'!A4681,References!#REF!,2,FALSE),(VLOOKUP($S4681,References!$B$3:$C$8,2,FALSE))),"")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2"/>
        <v>0</v>
      </c>
      <c r="T4682" s="98">
        <f t="shared" si="211"/>
        <v>0</v>
      </c>
      <c r="U4682" s="99" t="str">
        <f>IFERROR(IF(#REF!="S",VLOOKUP('Raw Data'!A4682,References!#REF!,2,FALSE),(VLOOKUP($S4682,References!$B$3:$C$8,2,FALSE))),"")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2"/>
        <v>0</v>
      </c>
      <c r="T4683" s="98">
        <f t="shared" si="211"/>
        <v>0</v>
      </c>
      <c r="U4683" s="99" t="str">
        <f>IFERROR(IF(#REF!="S",VLOOKUP('Raw Data'!A4683,References!#REF!,2,FALSE),(VLOOKUP($S4683,References!$B$3:$C$8,2,FALSE))),"")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2"/>
        <v>0</v>
      </c>
      <c r="T4684" s="98">
        <f t="shared" si="211"/>
        <v>0</v>
      </c>
      <c r="U4684" s="99" t="str">
        <f>IFERROR(IF(#REF!="S",VLOOKUP('Raw Data'!A4684,References!#REF!,2,FALSE),(VLOOKUP($S4684,References!$B$3:$C$8,2,FALSE))),"")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2"/>
        <v>0</v>
      </c>
      <c r="T4685" s="98">
        <f t="shared" si="211"/>
        <v>0</v>
      </c>
      <c r="U4685" s="99" t="str">
        <f>IFERROR(IF(#REF!="S",VLOOKUP('Raw Data'!A4685,References!#REF!,2,FALSE),(VLOOKUP($S4685,References!$B$3:$C$8,2,FALSE))),"")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2"/>
        <v>0</v>
      </c>
      <c r="T4686" s="98">
        <f t="shared" si="211"/>
        <v>0</v>
      </c>
      <c r="U4686" s="99" t="str">
        <f>IFERROR(IF(#REF!="S",VLOOKUP('Raw Data'!A4686,References!#REF!,2,FALSE),(VLOOKUP($S4686,References!$B$3:$C$8,2,FALSE))),"")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2"/>
        <v>0</v>
      </c>
      <c r="T4687" s="98">
        <f t="shared" si="211"/>
        <v>0</v>
      </c>
      <c r="U4687" s="99" t="str">
        <f>IFERROR(IF(#REF!="S",VLOOKUP('Raw Data'!A4687,References!#REF!,2,FALSE),(VLOOKUP($S4687,References!$B$3:$C$8,2,FALSE))),"")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2"/>
        <v>0</v>
      </c>
      <c r="T4688" s="98">
        <f t="shared" ref="T4688:T4751" si="213">IF(S4688="50 - Cleaning Fee",1,HOUR($R4688)+MINUTE(R4688)/60)</f>
        <v>0</v>
      </c>
      <c r="U4688" s="99" t="str">
        <f>IFERROR(IF(#REF!="S",VLOOKUP('Raw Data'!A4688,References!#REF!,2,FALSE),(VLOOKUP($S4688,References!$B$3:$C$8,2,FALSE))),"")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2"/>
        <v>0</v>
      </c>
      <c r="T4689" s="98">
        <f t="shared" si="213"/>
        <v>0</v>
      </c>
      <c r="U4689" s="99" t="str">
        <f>IFERROR(IF(#REF!="S",VLOOKUP('Raw Data'!A4689,References!#REF!,2,FALSE),(VLOOKUP($S4689,References!$B$3:$C$8,2,FALSE))),"")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2"/>
        <v>0</v>
      </c>
      <c r="T4690" s="98">
        <f t="shared" si="213"/>
        <v>0</v>
      </c>
      <c r="U4690" s="99" t="str">
        <f>IFERROR(IF(#REF!="S",VLOOKUP('Raw Data'!A4690,References!#REF!,2,FALSE),(VLOOKUP($S4690,References!$B$3:$C$8,2,FALSE))),"")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2"/>
        <v>0</v>
      </c>
      <c r="T4691" s="98">
        <f t="shared" si="213"/>
        <v>0</v>
      </c>
      <c r="U4691" s="99" t="str">
        <f>IFERROR(IF(#REF!="S",VLOOKUP('Raw Data'!A4691,References!#REF!,2,FALSE),(VLOOKUP($S4691,References!$B$3:$C$8,2,FALSE))),"")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2"/>
        <v>0</v>
      </c>
      <c r="T4692" s="98">
        <f t="shared" si="213"/>
        <v>0</v>
      </c>
      <c r="U4692" s="99" t="str">
        <f>IFERROR(IF(#REF!="S",VLOOKUP('Raw Data'!A4692,References!#REF!,2,FALSE),(VLOOKUP($S4692,References!$B$3:$C$8,2,FALSE))),"")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2"/>
        <v>0</v>
      </c>
      <c r="T4693" s="98">
        <f t="shared" si="213"/>
        <v>0</v>
      </c>
      <c r="U4693" s="99" t="str">
        <f>IFERROR(IF(#REF!="S",VLOOKUP('Raw Data'!A4693,References!#REF!,2,FALSE),(VLOOKUP($S4693,References!$B$3:$C$8,2,FALSE))),"")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2"/>
        <v>0</v>
      </c>
      <c r="T4694" s="98">
        <f t="shared" si="213"/>
        <v>0</v>
      </c>
      <c r="U4694" s="99" t="str">
        <f>IFERROR(IF(#REF!="S",VLOOKUP('Raw Data'!A4694,References!#REF!,2,FALSE),(VLOOKUP($S4694,References!$B$3:$C$8,2,FALSE))),"")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2"/>
        <v>0</v>
      </c>
      <c r="T4695" s="98">
        <f t="shared" si="213"/>
        <v>0</v>
      </c>
      <c r="U4695" s="99" t="str">
        <f>IFERROR(IF(#REF!="S",VLOOKUP('Raw Data'!A4695,References!#REF!,2,FALSE),(VLOOKUP($S4695,References!$B$3:$C$8,2,FALSE))),"")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2"/>
        <v>0</v>
      </c>
      <c r="T4696" s="98">
        <f t="shared" si="213"/>
        <v>0</v>
      </c>
      <c r="U4696" s="99" t="str">
        <f>IFERROR(IF(#REF!="S",VLOOKUP('Raw Data'!A4696,References!#REF!,2,FALSE),(VLOOKUP($S4696,References!$B$3:$C$8,2,FALSE))),"")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2"/>
        <v>0</v>
      </c>
      <c r="T4697" s="98">
        <f t="shared" si="213"/>
        <v>0</v>
      </c>
      <c r="U4697" s="99" t="str">
        <f>IFERROR(IF(#REF!="S",VLOOKUP('Raw Data'!A4697,References!#REF!,2,FALSE),(VLOOKUP($S4697,References!$B$3:$C$8,2,FALSE))),"")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2"/>
        <v>0</v>
      </c>
      <c r="T4698" s="98">
        <f t="shared" si="213"/>
        <v>0</v>
      </c>
      <c r="U4698" s="99" t="str">
        <f>IFERROR(IF(#REF!="S",VLOOKUP('Raw Data'!A4698,References!#REF!,2,FALSE),(VLOOKUP($S4698,References!$B$3:$C$8,2,FALSE))),"")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2"/>
        <v>0</v>
      </c>
      <c r="T4699" s="98">
        <f t="shared" si="213"/>
        <v>0</v>
      </c>
      <c r="U4699" s="99" t="str">
        <f>IFERROR(IF(#REF!="S",VLOOKUP('Raw Data'!A4699,References!#REF!,2,FALSE),(VLOOKUP($S4699,References!$B$3:$C$8,2,FALSE))),"")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2"/>
        <v>0</v>
      </c>
      <c r="T4700" s="98">
        <f t="shared" si="213"/>
        <v>0</v>
      </c>
      <c r="U4700" s="99" t="str">
        <f>IFERROR(IF(#REF!="S",VLOOKUP('Raw Data'!A4700,References!#REF!,2,FALSE),(VLOOKUP($S4700,References!$B$3:$C$8,2,FALSE))),"")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2"/>
        <v>0</v>
      </c>
      <c r="T4701" s="98">
        <f t="shared" si="213"/>
        <v>0</v>
      </c>
      <c r="U4701" s="99" t="str">
        <f>IFERROR(IF(#REF!="S",VLOOKUP('Raw Data'!A4701,References!#REF!,2,FALSE),(VLOOKUP($S4701,References!$B$3:$C$8,2,FALSE))),"")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2"/>
        <v>0</v>
      </c>
      <c r="T4702" s="98">
        <f t="shared" si="213"/>
        <v>0</v>
      </c>
      <c r="U4702" s="99" t="str">
        <f>IFERROR(IF(#REF!="S",VLOOKUP('Raw Data'!A4702,References!#REF!,2,FALSE),(VLOOKUP($S4702,References!$B$3:$C$8,2,FALSE))),"")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2"/>
        <v>0</v>
      </c>
      <c r="T4703" s="98">
        <f t="shared" si="213"/>
        <v>0</v>
      </c>
      <c r="U4703" s="99" t="str">
        <f>IFERROR(IF(#REF!="S",VLOOKUP('Raw Data'!A4703,References!#REF!,2,FALSE),(VLOOKUP($S4703,References!$B$3:$C$8,2,FALSE))),"")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2"/>
        <v>0</v>
      </c>
      <c r="T4704" s="98">
        <f t="shared" si="213"/>
        <v>0</v>
      </c>
      <c r="U4704" s="99" t="str">
        <f>IFERROR(IF(#REF!="S",VLOOKUP('Raw Data'!A4704,References!#REF!,2,FALSE),(VLOOKUP($S4704,References!$B$3:$C$8,2,FALSE))),"")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2"/>
        <v>0</v>
      </c>
      <c r="T4705" s="98">
        <f t="shared" si="213"/>
        <v>0</v>
      </c>
      <c r="U4705" s="99" t="str">
        <f>IFERROR(IF(#REF!="S",VLOOKUP('Raw Data'!A4705,References!#REF!,2,FALSE),(VLOOKUP($S4705,References!$B$3:$C$8,2,FALSE))),"")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2"/>
        <v>0</v>
      </c>
      <c r="T4706" s="98">
        <f t="shared" si="213"/>
        <v>0</v>
      </c>
      <c r="U4706" s="99" t="str">
        <f>IFERROR(IF(#REF!="S",VLOOKUP('Raw Data'!A4706,References!#REF!,2,FALSE),(VLOOKUP($S4706,References!$B$3:$C$8,2,FALSE))),"")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2"/>
        <v>0</v>
      </c>
      <c r="T4707" s="98">
        <f t="shared" si="213"/>
        <v>0</v>
      </c>
      <c r="U4707" s="99" t="str">
        <f>IFERROR(IF(#REF!="S",VLOOKUP('Raw Data'!A4707,References!#REF!,2,FALSE),(VLOOKUP($S4707,References!$B$3:$C$8,2,FALSE))),"")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2"/>
        <v>0</v>
      </c>
      <c r="T4708" s="98">
        <f t="shared" si="213"/>
        <v>0</v>
      </c>
      <c r="U4708" s="99" t="str">
        <f>IFERROR(IF(#REF!="S",VLOOKUP('Raw Data'!A4708,References!#REF!,2,FALSE),(VLOOKUP($S4708,References!$B$3:$C$8,2,FALSE))),"")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2"/>
        <v>0</v>
      </c>
      <c r="T4709" s="98">
        <f t="shared" si="213"/>
        <v>0</v>
      </c>
      <c r="U4709" s="99" t="str">
        <f>IFERROR(IF(#REF!="S",VLOOKUP('Raw Data'!A4709,References!#REF!,2,FALSE),(VLOOKUP($S4709,References!$B$3:$C$8,2,FALSE))),"")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2"/>
        <v>0</v>
      </c>
      <c r="T4710" s="98">
        <f t="shared" si="213"/>
        <v>0</v>
      </c>
      <c r="U4710" s="99" t="str">
        <f>IFERROR(IF(#REF!="S",VLOOKUP('Raw Data'!A4710,References!#REF!,2,FALSE),(VLOOKUP($S4710,References!$B$3:$C$8,2,FALSE))),"")</f>
        <v/>
      </c>
      <c r="W4710" s="66" t="str">
        <f>IFERROR(VLOOKUP($O4710,'Customer List'!$A$1:$J$488,10,FALSE),"")</f>
        <v/>
      </c>
    </row>
    <row r="4711" spans="18:23">
      <c r="R4711" s="97">
        <f t="shared" si="212"/>
        <v>0</v>
      </c>
      <c r="T4711" s="98">
        <f t="shared" si="213"/>
        <v>0</v>
      </c>
      <c r="U4711" s="99" t="str">
        <f>IFERROR(IF(#REF!="S",VLOOKUP('Raw Data'!A4711,References!#REF!,2,FALSE),(VLOOKUP($S4711,References!$B$3:$C$8,2,FALSE))),"")</f>
        <v/>
      </c>
      <c r="W4711" s="66" t="str">
        <f>IFERROR(VLOOKUP($O4711,'Customer List'!$A$1:$J$488,10,FALSE),"")</f>
        <v/>
      </c>
    </row>
    <row r="4712" spans="18:23">
      <c r="R4712" s="97">
        <f t="shared" ref="R4712:R4775" si="214">L4712-K4712</f>
        <v>0</v>
      </c>
      <c r="T4712" s="98">
        <f t="shared" si="213"/>
        <v>0</v>
      </c>
      <c r="U4712" s="99" t="str">
        <f>IFERROR(IF(#REF!="S",VLOOKUP('Raw Data'!A4712,References!#REF!,2,FALSE),(VLOOKUP($S4712,References!$B$3:$C$8,2,FALSE))),"")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4"/>
        <v>0</v>
      </c>
      <c r="T4713" s="98">
        <f t="shared" si="213"/>
        <v>0</v>
      </c>
      <c r="U4713" s="99" t="str">
        <f>IFERROR(IF(#REF!="S",VLOOKUP('Raw Data'!A4713,References!#REF!,2,FALSE),(VLOOKUP($S4713,References!$B$3:$C$8,2,FALSE))),"")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4"/>
        <v>0</v>
      </c>
      <c r="T4714" s="98">
        <f t="shared" si="213"/>
        <v>0</v>
      </c>
      <c r="U4714" s="99" t="str">
        <f>IFERROR(IF(#REF!="S",VLOOKUP('Raw Data'!A4714,References!#REF!,2,FALSE),(VLOOKUP($S4714,References!$B$3:$C$8,2,FALSE))),"")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4"/>
        <v>0</v>
      </c>
      <c r="T4715" s="98">
        <f t="shared" si="213"/>
        <v>0</v>
      </c>
      <c r="U4715" s="99" t="str">
        <f>IFERROR(IF(#REF!="S",VLOOKUP('Raw Data'!A4715,References!#REF!,2,FALSE),(VLOOKUP($S4715,References!$B$3:$C$8,2,FALSE))),"")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4"/>
        <v>0</v>
      </c>
      <c r="T4716" s="98">
        <f t="shared" si="213"/>
        <v>0</v>
      </c>
      <c r="U4716" s="99" t="str">
        <f>IFERROR(IF(#REF!="S",VLOOKUP('Raw Data'!A4716,References!#REF!,2,FALSE),(VLOOKUP($S4716,References!$B$3:$C$8,2,FALSE))),"")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4"/>
        <v>0</v>
      </c>
      <c r="T4717" s="98">
        <f t="shared" si="213"/>
        <v>0</v>
      </c>
      <c r="U4717" s="99" t="str">
        <f>IFERROR(IF(#REF!="S",VLOOKUP('Raw Data'!A4717,References!#REF!,2,FALSE),(VLOOKUP($S4717,References!$B$3:$C$8,2,FALSE))),"")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4"/>
        <v>0</v>
      </c>
      <c r="T4718" s="98">
        <f t="shared" si="213"/>
        <v>0</v>
      </c>
      <c r="U4718" s="99" t="str">
        <f>IFERROR(IF(#REF!="S",VLOOKUP('Raw Data'!A4718,References!#REF!,2,FALSE),(VLOOKUP($S4718,References!$B$3:$C$8,2,FALSE))),"")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4"/>
        <v>0</v>
      </c>
      <c r="T4719" s="98">
        <f t="shared" si="213"/>
        <v>0</v>
      </c>
      <c r="U4719" s="99" t="str">
        <f>IFERROR(IF(#REF!="S",VLOOKUP('Raw Data'!A4719,References!#REF!,2,FALSE),(VLOOKUP($S4719,References!$B$3:$C$8,2,FALSE))),"")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4"/>
        <v>0</v>
      </c>
      <c r="T4720" s="98">
        <f t="shared" si="213"/>
        <v>0</v>
      </c>
      <c r="U4720" s="99" t="str">
        <f>IFERROR(IF(#REF!="S",VLOOKUP('Raw Data'!A4720,References!#REF!,2,FALSE),(VLOOKUP($S4720,References!$B$3:$C$8,2,FALSE))),"")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4"/>
        <v>0</v>
      </c>
      <c r="T4721" s="98">
        <f t="shared" si="213"/>
        <v>0</v>
      </c>
      <c r="U4721" s="99" t="str">
        <f>IFERROR(IF(#REF!="S",VLOOKUP('Raw Data'!A4721,References!#REF!,2,FALSE),(VLOOKUP($S4721,References!$B$3:$C$8,2,FALSE))),"")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4"/>
        <v>0</v>
      </c>
      <c r="T4722" s="98">
        <f t="shared" si="213"/>
        <v>0</v>
      </c>
      <c r="U4722" s="99" t="str">
        <f>IFERROR(IF(#REF!="S",VLOOKUP('Raw Data'!A4722,References!#REF!,2,FALSE),(VLOOKUP($S4722,References!$B$3:$C$8,2,FALSE))),"")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4"/>
        <v>0</v>
      </c>
      <c r="T4723" s="98">
        <f t="shared" si="213"/>
        <v>0</v>
      </c>
      <c r="U4723" s="99" t="str">
        <f>IFERROR(IF(#REF!="S",VLOOKUP('Raw Data'!A4723,References!#REF!,2,FALSE),(VLOOKUP($S4723,References!$B$3:$C$8,2,FALSE))),"")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4"/>
        <v>0</v>
      </c>
      <c r="T4724" s="98">
        <f t="shared" si="213"/>
        <v>0</v>
      </c>
      <c r="U4724" s="99" t="str">
        <f>IFERROR(IF(#REF!="S",VLOOKUP('Raw Data'!A4724,References!#REF!,2,FALSE),(VLOOKUP($S4724,References!$B$3:$C$8,2,FALSE))),"")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4"/>
        <v>0</v>
      </c>
      <c r="T4725" s="98">
        <f t="shared" si="213"/>
        <v>0</v>
      </c>
      <c r="U4725" s="99" t="str">
        <f>IFERROR(IF(#REF!="S",VLOOKUP('Raw Data'!A4725,References!#REF!,2,FALSE),(VLOOKUP($S4725,References!$B$3:$C$8,2,FALSE))),"")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4"/>
        <v>0</v>
      </c>
      <c r="T4726" s="98">
        <f t="shared" si="213"/>
        <v>0</v>
      </c>
      <c r="U4726" s="99" t="str">
        <f>IFERROR(IF(#REF!="S",VLOOKUP('Raw Data'!A4726,References!#REF!,2,FALSE),(VLOOKUP($S4726,References!$B$3:$C$8,2,FALSE))),"")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4"/>
        <v>0</v>
      </c>
      <c r="T4727" s="98">
        <f t="shared" si="213"/>
        <v>0</v>
      </c>
      <c r="U4727" s="99" t="str">
        <f>IFERROR(IF(#REF!="S",VLOOKUP('Raw Data'!A4727,References!#REF!,2,FALSE),(VLOOKUP($S4727,References!$B$3:$C$8,2,FALSE))),"")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4"/>
        <v>0</v>
      </c>
      <c r="T4728" s="98">
        <f t="shared" si="213"/>
        <v>0</v>
      </c>
      <c r="U4728" s="99" t="str">
        <f>IFERROR(IF(#REF!="S",VLOOKUP('Raw Data'!A4728,References!#REF!,2,FALSE),(VLOOKUP($S4728,References!$B$3:$C$8,2,FALSE))),"")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4"/>
        <v>0</v>
      </c>
      <c r="T4729" s="98">
        <f t="shared" si="213"/>
        <v>0</v>
      </c>
      <c r="U4729" s="99" t="str">
        <f>IFERROR(IF(#REF!="S",VLOOKUP('Raw Data'!A4729,References!#REF!,2,FALSE),(VLOOKUP($S4729,References!$B$3:$C$8,2,FALSE))),"")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4"/>
        <v>0</v>
      </c>
      <c r="T4730" s="98">
        <f t="shared" si="213"/>
        <v>0</v>
      </c>
      <c r="U4730" s="99" t="str">
        <f>IFERROR(IF(#REF!="S",VLOOKUP('Raw Data'!A4730,References!#REF!,2,FALSE),(VLOOKUP($S4730,References!$B$3:$C$8,2,FALSE))),"")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4"/>
        <v>0</v>
      </c>
      <c r="T4731" s="98">
        <f t="shared" si="213"/>
        <v>0</v>
      </c>
      <c r="U4731" s="99" t="str">
        <f>IFERROR(IF(#REF!="S",VLOOKUP('Raw Data'!A4731,References!#REF!,2,FALSE),(VLOOKUP($S4731,References!$B$3:$C$8,2,FALSE))),"")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4"/>
        <v>0</v>
      </c>
      <c r="T4732" s="98">
        <f t="shared" si="213"/>
        <v>0</v>
      </c>
      <c r="U4732" s="99" t="str">
        <f>IFERROR(IF(#REF!="S",VLOOKUP('Raw Data'!A4732,References!#REF!,2,FALSE),(VLOOKUP($S4732,References!$B$3:$C$8,2,FALSE))),"")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4"/>
        <v>0</v>
      </c>
      <c r="T4733" s="98">
        <f t="shared" si="213"/>
        <v>0</v>
      </c>
      <c r="U4733" s="99" t="str">
        <f>IFERROR(IF(#REF!="S",VLOOKUP('Raw Data'!A4733,References!#REF!,2,FALSE),(VLOOKUP($S4733,References!$B$3:$C$8,2,FALSE))),"")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4"/>
        <v>0</v>
      </c>
      <c r="T4734" s="98">
        <f t="shared" si="213"/>
        <v>0</v>
      </c>
      <c r="U4734" s="99" t="str">
        <f>IFERROR(IF(#REF!="S",VLOOKUP('Raw Data'!A4734,References!#REF!,2,FALSE),(VLOOKUP($S4734,References!$B$3:$C$8,2,FALSE))),"")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4"/>
        <v>0</v>
      </c>
      <c r="T4735" s="98">
        <f t="shared" si="213"/>
        <v>0</v>
      </c>
      <c r="U4735" s="99" t="str">
        <f>IFERROR(IF(#REF!="S",VLOOKUP('Raw Data'!A4735,References!#REF!,2,FALSE),(VLOOKUP($S4735,References!$B$3:$C$8,2,FALSE))),"")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4"/>
        <v>0</v>
      </c>
      <c r="T4736" s="98">
        <f t="shared" si="213"/>
        <v>0</v>
      </c>
      <c r="U4736" s="99" t="str">
        <f>IFERROR(IF(#REF!="S",VLOOKUP('Raw Data'!A4736,References!#REF!,2,FALSE),(VLOOKUP($S4736,References!$B$3:$C$8,2,FALSE))),"")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4"/>
        <v>0</v>
      </c>
      <c r="T4737" s="98">
        <f t="shared" si="213"/>
        <v>0</v>
      </c>
      <c r="U4737" s="99" t="str">
        <f>IFERROR(IF(#REF!="S",VLOOKUP('Raw Data'!A4737,References!#REF!,2,FALSE),(VLOOKUP($S4737,References!$B$3:$C$8,2,FALSE))),"")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4"/>
        <v>0</v>
      </c>
      <c r="T4738" s="98">
        <f t="shared" si="213"/>
        <v>0</v>
      </c>
      <c r="U4738" s="99" t="str">
        <f>IFERROR(IF(#REF!="S",VLOOKUP('Raw Data'!A4738,References!#REF!,2,FALSE),(VLOOKUP($S4738,References!$B$3:$C$8,2,FALSE))),"")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4"/>
        <v>0</v>
      </c>
      <c r="T4739" s="98">
        <f t="shared" si="213"/>
        <v>0</v>
      </c>
      <c r="U4739" s="99" t="str">
        <f>IFERROR(IF(#REF!="S",VLOOKUP('Raw Data'!A4739,References!#REF!,2,FALSE),(VLOOKUP($S4739,References!$B$3:$C$8,2,FALSE))),"")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4"/>
        <v>0</v>
      </c>
      <c r="T4740" s="98">
        <f t="shared" si="213"/>
        <v>0</v>
      </c>
      <c r="U4740" s="99" t="str">
        <f>IFERROR(IF(#REF!="S",VLOOKUP('Raw Data'!A4740,References!#REF!,2,FALSE),(VLOOKUP($S4740,References!$B$3:$C$8,2,FALSE))),"")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4"/>
        <v>0</v>
      </c>
      <c r="T4741" s="98">
        <f t="shared" si="213"/>
        <v>0</v>
      </c>
      <c r="U4741" s="99" t="str">
        <f>IFERROR(IF(#REF!="S",VLOOKUP('Raw Data'!A4741,References!#REF!,2,FALSE),(VLOOKUP($S4741,References!$B$3:$C$8,2,FALSE))),"")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4"/>
        <v>0</v>
      </c>
      <c r="T4742" s="98">
        <f t="shared" si="213"/>
        <v>0</v>
      </c>
      <c r="U4742" s="99" t="str">
        <f>IFERROR(IF(#REF!="S",VLOOKUP('Raw Data'!A4742,References!#REF!,2,FALSE),(VLOOKUP($S4742,References!$B$3:$C$8,2,FALSE))),"")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4"/>
        <v>0</v>
      </c>
      <c r="T4743" s="98">
        <f t="shared" si="213"/>
        <v>0</v>
      </c>
      <c r="U4743" s="99" t="str">
        <f>IFERROR(IF(#REF!="S",VLOOKUP('Raw Data'!A4743,References!#REF!,2,FALSE),(VLOOKUP($S4743,References!$B$3:$C$8,2,FALSE))),"")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4"/>
        <v>0</v>
      </c>
      <c r="T4744" s="98">
        <f t="shared" si="213"/>
        <v>0</v>
      </c>
      <c r="U4744" s="99" t="str">
        <f>IFERROR(IF(#REF!="S",VLOOKUP('Raw Data'!A4744,References!#REF!,2,FALSE),(VLOOKUP($S4744,References!$B$3:$C$8,2,FALSE))),"")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4"/>
        <v>0</v>
      </c>
      <c r="T4745" s="98">
        <f t="shared" si="213"/>
        <v>0</v>
      </c>
      <c r="U4745" s="99" t="str">
        <f>IFERROR(IF(#REF!="S",VLOOKUP('Raw Data'!A4745,References!#REF!,2,FALSE),(VLOOKUP($S4745,References!$B$3:$C$8,2,FALSE))),"")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4"/>
        <v>0</v>
      </c>
      <c r="T4746" s="98">
        <f t="shared" si="213"/>
        <v>0</v>
      </c>
      <c r="U4746" s="99" t="str">
        <f>IFERROR(IF(#REF!="S",VLOOKUP('Raw Data'!A4746,References!#REF!,2,FALSE),(VLOOKUP($S4746,References!$B$3:$C$8,2,FALSE))),"")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4"/>
        <v>0</v>
      </c>
      <c r="T4747" s="98">
        <f t="shared" si="213"/>
        <v>0</v>
      </c>
      <c r="U4747" s="99" t="str">
        <f>IFERROR(IF(#REF!="S",VLOOKUP('Raw Data'!A4747,References!#REF!,2,FALSE),(VLOOKUP($S4747,References!$B$3:$C$8,2,FALSE))),"")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4"/>
        <v>0</v>
      </c>
      <c r="T4748" s="98">
        <f t="shared" si="213"/>
        <v>0</v>
      </c>
      <c r="U4748" s="99" t="str">
        <f>IFERROR(IF(#REF!="S",VLOOKUP('Raw Data'!A4748,References!#REF!,2,FALSE),(VLOOKUP($S4748,References!$B$3:$C$8,2,FALSE))),"")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4"/>
        <v>0</v>
      </c>
      <c r="T4749" s="98">
        <f t="shared" si="213"/>
        <v>0</v>
      </c>
      <c r="U4749" s="99" t="str">
        <f>IFERROR(IF(#REF!="S",VLOOKUP('Raw Data'!A4749,References!#REF!,2,FALSE),(VLOOKUP($S4749,References!$B$3:$C$8,2,FALSE))),"")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4"/>
        <v>0</v>
      </c>
      <c r="T4750" s="98">
        <f t="shared" si="213"/>
        <v>0</v>
      </c>
      <c r="U4750" s="99" t="str">
        <f>IFERROR(IF(#REF!="S",VLOOKUP('Raw Data'!A4750,References!#REF!,2,FALSE),(VLOOKUP($S4750,References!$B$3:$C$8,2,FALSE))),"")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4"/>
        <v>0</v>
      </c>
      <c r="T4751" s="98">
        <f t="shared" si="213"/>
        <v>0</v>
      </c>
      <c r="U4751" s="99" t="str">
        <f>IFERROR(IF(#REF!="S",VLOOKUP('Raw Data'!A4751,References!#REF!,2,FALSE),(VLOOKUP($S4751,References!$B$3:$C$8,2,FALSE))),"")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4"/>
        <v>0</v>
      </c>
      <c r="T4752" s="98">
        <f t="shared" ref="T4752:T4815" si="215">IF(S4752="50 - Cleaning Fee",1,HOUR($R4752)+MINUTE(R4752)/60)</f>
        <v>0</v>
      </c>
      <c r="U4752" s="99" t="str">
        <f>IFERROR(IF(#REF!="S",VLOOKUP('Raw Data'!A4752,References!#REF!,2,FALSE),(VLOOKUP($S4752,References!$B$3:$C$8,2,FALSE))),"")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4"/>
        <v>0</v>
      </c>
      <c r="T4753" s="98">
        <f t="shared" si="215"/>
        <v>0</v>
      </c>
      <c r="U4753" s="99" t="str">
        <f>IFERROR(IF(#REF!="S",VLOOKUP('Raw Data'!A4753,References!#REF!,2,FALSE),(VLOOKUP($S4753,References!$B$3:$C$8,2,FALSE))),"")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4"/>
        <v>0</v>
      </c>
      <c r="T4754" s="98">
        <f t="shared" si="215"/>
        <v>0</v>
      </c>
      <c r="U4754" s="99" t="str">
        <f>IFERROR(IF(#REF!="S",VLOOKUP('Raw Data'!A4754,References!#REF!,2,FALSE),(VLOOKUP($S4754,References!$B$3:$C$8,2,FALSE))),"")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4"/>
        <v>0</v>
      </c>
      <c r="T4755" s="98">
        <f t="shared" si="215"/>
        <v>0</v>
      </c>
      <c r="U4755" s="99" t="str">
        <f>IFERROR(IF(#REF!="S",VLOOKUP('Raw Data'!A4755,References!#REF!,2,FALSE),(VLOOKUP($S4755,References!$B$3:$C$8,2,FALSE))),"")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4"/>
        <v>0</v>
      </c>
      <c r="T4756" s="98">
        <f t="shared" si="215"/>
        <v>0</v>
      </c>
      <c r="U4756" s="99" t="str">
        <f>IFERROR(IF(#REF!="S",VLOOKUP('Raw Data'!A4756,References!#REF!,2,FALSE),(VLOOKUP($S4756,References!$B$3:$C$8,2,FALSE))),"")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4"/>
        <v>0</v>
      </c>
      <c r="T4757" s="98">
        <f t="shared" si="215"/>
        <v>0</v>
      </c>
      <c r="U4757" s="99" t="str">
        <f>IFERROR(IF(#REF!="S",VLOOKUP('Raw Data'!A4757,References!#REF!,2,FALSE),(VLOOKUP($S4757,References!$B$3:$C$8,2,FALSE))),"")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4"/>
        <v>0</v>
      </c>
      <c r="T4758" s="98">
        <f t="shared" si="215"/>
        <v>0</v>
      </c>
      <c r="U4758" s="99" t="str">
        <f>IFERROR(IF(#REF!="S",VLOOKUP('Raw Data'!A4758,References!#REF!,2,FALSE),(VLOOKUP($S4758,References!$B$3:$C$8,2,FALSE))),"")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4"/>
        <v>0</v>
      </c>
      <c r="T4759" s="98">
        <f t="shared" si="215"/>
        <v>0</v>
      </c>
      <c r="U4759" s="99" t="str">
        <f>IFERROR(IF(#REF!="S",VLOOKUP('Raw Data'!A4759,References!#REF!,2,FALSE),(VLOOKUP($S4759,References!$B$3:$C$8,2,FALSE))),"")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4"/>
        <v>0</v>
      </c>
      <c r="T4760" s="98">
        <f t="shared" si="215"/>
        <v>0</v>
      </c>
      <c r="U4760" s="99" t="str">
        <f>IFERROR(IF(#REF!="S",VLOOKUP('Raw Data'!A4760,References!#REF!,2,FALSE),(VLOOKUP($S4760,References!$B$3:$C$8,2,FALSE))),"")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4"/>
        <v>0</v>
      </c>
      <c r="T4761" s="98">
        <f t="shared" si="215"/>
        <v>0</v>
      </c>
      <c r="U4761" s="99" t="str">
        <f>IFERROR(IF(#REF!="S",VLOOKUP('Raw Data'!A4761,References!#REF!,2,FALSE),(VLOOKUP($S4761,References!$B$3:$C$8,2,FALSE))),"")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4"/>
        <v>0</v>
      </c>
      <c r="T4762" s="98">
        <f t="shared" si="215"/>
        <v>0</v>
      </c>
      <c r="U4762" s="99" t="str">
        <f>IFERROR(IF(#REF!="S",VLOOKUP('Raw Data'!A4762,References!#REF!,2,FALSE),(VLOOKUP($S4762,References!$B$3:$C$8,2,FALSE))),"")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4"/>
        <v>0</v>
      </c>
      <c r="T4763" s="98">
        <f t="shared" si="215"/>
        <v>0</v>
      </c>
      <c r="U4763" s="99" t="str">
        <f>IFERROR(IF(#REF!="S",VLOOKUP('Raw Data'!A4763,References!#REF!,2,FALSE),(VLOOKUP($S4763,References!$B$3:$C$8,2,FALSE))),"")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4"/>
        <v>0</v>
      </c>
      <c r="T4764" s="98">
        <f t="shared" si="215"/>
        <v>0</v>
      </c>
      <c r="U4764" s="99" t="str">
        <f>IFERROR(IF(#REF!="S",VLOOKUP('Raw Data'!A4764,References!#REF!,2,FALSE),(VLOOKUP($S4764,References!$B$3:$C$8,2,FALSE))),"")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4"/>
        <v>0</v>
      </c>
      <c r="T4765" s="98">
        <f t="shared" si="215"/>
        <v>0</v>
      </c>
      <c r="U4765" s="99" t="str">
        <f>IFERROR(IF(#REF!="S",VLOOKUP('Raw Data'!A4765,References!#REF!,2,FALSE),(VLOOKUP($S4765,References!$B$3:$C$8,2,FALSE))),"")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4"/>
        <v>0</v>
      </c>
      <c r="T4766" s="98">
        <f t="shared" si="215"/>
        <v>0</v>
      </c>
      <c r="U4766" s="99" t="str">
        <f>IFERROR(IF(#REF!="S",VLOOKUP('Raw Data'!A4766,References!#REF!,2,FALSE),(VLOOKUP($S4766,References!$B$3:$C$8,2,FALSE))),"")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4"/>
        <v>0</v>
      </c>
      <c r="T4767" s="98">
        <f t="shared" si="215"/>
        <v>0</v>
      </c>
      <c r="U4767" s="99" t="str">
        <f>IFERROR(IF(#REF!="S",VLOOKUP('Raw Data'!A4767,References!#REF!,2,FALSE),(VLOOKUP($S4767,References!$B$3:$C$8,2,FALSE))),"")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4"/>
        <v>0</v>
      </c>
      <c r="T4768" s="98">
        <f t="shared" si="215"/>
        <v>0</v>
      </c>
      <c r="U4768" s="99" t="str">
        <f>IFERROR(IF(#REF!="S",VLOOKUP('Raw Data'!A4768,References!#REF!,2,FALSE),(VLOOKUP($S4768,References!$B$3:$C$8,2,FALSE))),"")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4"/>
        <v>0</v>
      </c>
      <c r="T4769" s="98">
        <f t="shared" si="215"/>
        <v>0</v>
      </c>
      <c r="U4769" s="99" t="str">
        <f>IFERROR(IF(#REF!="S",VLOOKUP('Raw Data'!A4769,References!#REF!,2,FALSE),(VLOOKUP($S4769,References!$B$3:$C$8,2,FALSE))),"")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4"/>
        <v>0</v>
      </c>
      <c r="T4770" s="98">
        <f t="shared" si="215"/>
        <v>0</v>
      </c>
      <c r="U4770" s="99" t="str">
        <f>IFERROR(IF(#REF!="S",VLOOKUP('Raw Data'!A4770,References!#REF!,2,FALSE),(VLOOKUP($S4770,References!$B$3:$C$8,2,FALSE))),"")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4"/>
        <v>0</v>
      </c>
      <c r="T4771" s="98">
        <f t="shared" si="215"/>
        <v>0</v>
      </c>
      <c r="U4771" s="99" t="str">
        <f>IFERROR(IF(#REF!="S",VLOOKUP('Raw Data'!A4771,References!#REF!,2,FALSE),(VLOOKUP($S4771,References!$B$3:$C$8,2,FALSE))),"")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4"/>
        <v>0</v>
      </c>
      <c r="T4772" s="98">
        <f t="shared" si="215"/>
        <v>0</v>
      </c>
      <c r="U4772" s="99" t="str">
        <f>IFERROR(IF(#REF!="S",VLOOKUP('Raw Data'!A4772,References!#REF!,2,FALSE),(VLOOKUP($S4772,References!$B$3:$C$8,2,FALSE))),"")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4"/>
        <v>0</v>
      </c>
      <c r="T4773" s="98">
        <f t="shared" si="215"/>
        <v>0</v>
      </c>
      <c r="U4773" s="99" t="str">
        <f>IFERROR(IF(#REF!="S",VLOOKUP('Raw Data'!A4773,References!#REF!,2,FALSE),(VLOOKUP($S4773,References!$B$3:$C$8,2,FALSE))),"")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4"/>
        <v>0</v>
      </c>
      <c r="T4774" s="98">
        <f t="shared" si="215"/>
        <v>0</v>
      </c>
      <c r="U4774" s="99" t="str">
        <f>IFERROR(IF(#REF!="S",VLOOKUP('Raw Data'!A4774,References!#REF!,2,FALSE),(VLOOKUP($S4774,References!$B$3:$C$8,2,FALSE))),"")</f>
        <v/>
      </c>
      <c r="W4774" s="66" t="str">
        <f>IFERROR(VLOOKUP($O4774,'Customer List'!$A$1:$J$488,10,FALSE),"")</f>
        <v/>
      </c>
    </row>
    <row r="4775" spans="18:23">
      <c r="R4775" s="97">
        <f t="shared" si="214"/>
        <v>0</v>
      </c>
      <c r="T4775" s="98">
        <f t="shared" si="215"/>
        <v>0</v>
      </c>
      <c r="U4775" s="99" t="str">
        <f>IFERROR(IF(#REF!="S",VLOOKUP('Raw Data'!A4775,References!#REF!,2,FALSE),(VLOOKUP($S4775,References!$B$3:$C$8,2,FALSE))),"")</f>
        <v/>
      </c>
      <c r="W4775" s="66" t="str">
        <f>IFERROR(VLOOKUP($O4775,'Customer List'!$A$1:$J$488,10,FALSE),"")</f>
        <v/>
      </c>
    </row>
    <row r="4776" spans="18:23">
      <c r="R4776" s="97">
        <f t="shared" ref="R4776:R4839" si="216">L4776-K4776</f>
        <v>0</v>
      </c>
      <c r="T4776" s="98">
        <f t="shared" si="215"/>
        <v>0</v>
      </c>
      <c r="U4776" s="99" t="str">
        <f>IFERROR(IF(#REF!="S",VLOOKUP('Raw Data'!A4776,References!#REF!,2,FALSE),(VLOOKUP($S4776,References!$B$3:$C$8,2,FALSE))),"")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6"/>
        <v>0</v>
      </c>
      <c r="T4777" s="98">
        <f t="shared" si="215"/>
        <v>0</v>
      </c>
      <c r="U4777" s="99" t="str">
        <f>IFERROR(IF(#REF!="S",VLOOKUP('Raw Data'!A4777,References!#REF!,2,FALSE),(VLOOKUP($S4777,References!$B$3:$C$8,2,FALSE))),"")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6"/>
        <v>0</v>
      </c>
      <c r="T4778" s="98">
        <f t="shared" si="215"/>
        <v>0</v>
      </c>
      <c r="U4778" s="99" t="str">
        <f>IFERROR(IF(#REF!="S",VLOOKUP('Raw Data'!A4778,References!#REF!,2,FALSE),(VLOOKUP($S4778,References!$B$3:$C$8,2,FALSE))),"")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6"/>
        <v>0</v>
      </c>
      <c r="T4779" s="98">
        <f t="shared" si="215"/>
        <v>0</v>
      </c>
      <c r="U4779" s="99" t="str">
        <f>IFERROR(IF(#REF!="S",VLOOKUP('Raw Data'!A4779,References!#REF!,2,FALSE),(VLOOKUP($S4779,References!$B$3:$C$8,2,FALSE))),"")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6"/>
        <v>0</v>
      </c>
      <c r="T4780" s="98">
        <f t="shared" si="215"/>
        <v>0</v>
      </c>
      <c r="U4780" s="99" t="str">
        <f>IFERROR(IF(#REF!="S",VLOOKUP('Raw Data'!A4780,References!#REF!,2,FALSE),(VLOOKUP($S4780,References!$B$3:$C$8,2,FALSE))),"")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6"/>
        <v>0</v>
      </c>
      <c r="T4781" s="98">
        <f t="shared" si="215"/>
        <v>0</v>
      </c>
      <c r="U4781" s="99" t="str">
        <f>IFERROR(IF(#REF!="S",VLOOKUP('Raw Data'!A4781,References!#REF!,2,FALSE),(VLOOKUP($S4781,References!$B$3:$C$8,2,FALSE))),"")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6"/>
        <v>0</v>
      </c>
      <c r="T4782" s="98">
        <f t="shared" si="215"/>
        <v>0</v>
      </c>
      <c r="U4782" s="99" t="str">
        <f>IFERROR(IF(#REF!="S",VLOOKUP('Raw Data'!A4782,References!#REF!,2,FALSE),(VLOOKUP($S4782,References!$B$3:$C$8,2,FALSE))),"")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6"/>
        <v>0</v>
      </c>
      <c r="T4783" s="98">
        <f t="shared" si="215"/>
        <v>0</v>
      </c>
      <c r="U4783" s="99" t="str">
        <f>IFERROR(IF(#REF!="S",VLOOKUP('Raw Data'!A4783,References!#REF!,2,FALSE),(VLOOKUP($S4783,References!$B$3:$C$8,2,FALSE))),"")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6"/>
        <v>0</v>
      </c>
      <c r="T4784" s="98">
        <f t="shared" si="215"/>
        <v>0</v>
      </c>
      <c r="U4784" s="99" t="str">
        <f>IFERROR(IF(#REF!="S",VLOOKUP('Raw Data'!A4784,References!#REF!,2,FALSE),(VLOOKUP($S4784,References!$B$3:$C$8,2,FALSE))),"")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6"/>
        <v>0</v>
      </c>
      <c r="T4785" s="98">
        <f t="shared" si="215"/>
        <v>0</v>
      </c>
      <c r="U4785" s="99" t="str">
        <f>IFERROR(IF(#REF!="S",VLOOKUP('Raw Data'!A4785,References!#REF!,2,FALSE),(VLOOKUP($S4785,References!$B$3:$C$8,2,FALSE))),"")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6"/>
        <v>0</v>
      </c>
      <c r="T4786" s="98">
        <f t="shared" si="215"/>
        <v>0</v>
      </c>
      <c r="U4786" s="99" t="str">
        <f>IFERROR(IF(#REF!="S",VLOOKUP('Raw Data'!A4786,References!#REF!,2,FALSE),(VLOOKUP($S4786,References!$B$3:$C$8,2,FALSE))),"")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6"/>
        <v>0</v>
      </c>
      <c r="T4787" s="98">
        <f t="shared" si="215"/>
        <v>0</v>
      </c>
      <c r="U4787" s="99" t="str">
        <f>IFERROR(IF(#REF!="S",VLOOKUP('Raw Data'!A4787,References!#REF!,2,FALSE),(VLOOKUP($S4787,References!$B$3:$C$8,2,FALSE))),"")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6"/>
        <v>0</v>
      </c>
      <c r="T4788" s="98">
        <f t="shared" si="215"/>
        <v>0</v>
      </c>
      <c r="U4788" s="99" t="str">
        <f>IFERROR(IF(#REF!="S",VLOOKUP('Raw Data'!A4788,References!#REF!,2,FALSE),(VLOOKUP($S4788,References!$B$3:$C$8,2,FALSE))),"")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6"/>
        <v>0</v>
      </c>
      <c r="T4789" s="98">
        <f t="shared" si="215"/>
        <v>0</v>
      </c>
      <c r="U4789" s="99" t="str">
        <f>IFERROR(IF(#REF!="S",VLOOKUP('Raw Data'!A4789,References!#REF!,2,FALSE),(VLOOKUP($S4789,References!$B$3:$C$8,2,FALSE))),"")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6"/>
        <v>0</v>
      </c>
      <c r="T4790" s="98">
        <f t="shared" si="215"/>
        <v>0</v>
      </c>
      <c r="U4790" s="99" t="str">
        <f>IFERROR(IF(#REF!="S",VLOOKUP('Raw Data'!A4790,References!#REF!,2,FALSE),(VLOOKUP($S4790,References!$B$3:$C$8,2,FALSE))),"")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6"/>
        <v>0</v>
      </c>
      <c r="T4791" s="98">
        <f t="shared" si="215"/>
        <v>0</v>
      </c>
      <c r="U4791" s="99" t="str">
        <f>IFERROR(IF(#REF!="S",VLOOKUP('Raw Data'!A4791,References!#REF!,2,FALSE),(VLOOKUP($S4791,References!$B$3:$C$8,2,FALSE))),"")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6"/>
        <v>0</v>
      </c>
      <c r="T4792" s="98">
        <f t="shared" si="215"/>
        <v>0</v>
      </c>
      <c r="U4792" s="99" t="str">
        <f>IFERROR(IF(#REF!="S",VLOOKUP('Raw Data'!A4792,References!#REF!,2,FALSE),(VLOOKUP($S4792,References!$B$3:$C$8,2,FALSE))),"")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6"/>
        <v>0</v>
      </c>
      <c r="T4793" s="98">
        <f t="shared" si="215"/>
        <v>0</v>
      </c>
      <c r="U4793" s="99" t="str">
        <f>IFERROR(IF(#REF!="S",VLOOKUP('Raw Data'!A4793,References!#REF!,2,FALSE),(VLOOKUP($S4793,References!$B$3:$C$8,2,FALSE))),"")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6"/>
        <v>0</v>
      </c>
      <c r="T4794" s="98">
        <f t="shared" si="215"/>
        <v>0</v>
      </c>
      <c r="U4794" s="99" t="str">
        <f>IFERROR(IF(#REF!="S",VLOOKUP('Raw Data'!A4794,References!#REF!,2,FALSE),(VLOOKUP($S4794,References!$B$3:$C$8,2,FALSE))),"")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6"/>
        <v>0</v>
      </c>
      <c r="T4795" s="98">
        <f t="shared" si="215"/>
        <v>0</v>
      </c>
      <c r="U4795" s="99" t="str">
        <f>IFERROR(IF(#REF!="S",VLOOKUP('Raw Data'!A4795,References!#REF!,2,FALSE),(VLOOKUP($S4795,References!$B$3:$C$8,2,FALSE))),"")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6"/>
        <v>0</v>
      </c>
      <c r="T4796" s="98">
        <f t="shared" si="215"/>
        <v>0</v>
      </c>
      <c r="U4796" s="99" t="str">
        <f>IFERROR(IF(#REF!="S",VLOOKUP('Raw Data'!A4796,References!#REF!,2,FALSE),(VLOOKUP($S4796,References!$B$3:$C$8,2,FALSE))),"")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6"/>
        <v>0</v>
      </c>
      <c r="T4797" s="98">
        <f t="shared" si="215"/>
        <v>0</v>
      </c>
      <c r="U4797" s="99" t="str">
        <f>IFERROR(IF(#REF!="S",VLOOKUP('Raw Data'!A4797,References!#REF!,2,FALSE),(VLOOKUP($S4797,References!$B$3:$C$8,2,FALSE))),"")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6"/>
        <v>0</v>
      </c>
      <c r="T4798" s="98">
        <f t="shared" si="215"/>
        <v>0</v>
      </c>
      <c r="U4798" s="99" t="str">
        <f>IFERROR(IF(#REF!="S",VLOOKUP('Raw Data'!A4798,References!#REF!,2,FALSE),(VLOOKUP($S4798,References!$B$3:$C$8,2,FALSE))),"")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6"/>
        <v>0</v>
      </c>
      <c r="T4799" s="98">
        <f t="shared" si="215"/>
        <v>0</v>
      </c>
      <c r="U4799" s="99" t="str">
        <f>IFERROR(IF(#REF!="S",VLOOKUP('Raw Data'!A4799,References!#REF!,2,FALSE),(VLOOKUP($S4799,References!$B$3:$C$8,2,FALSE))),"")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6"/>
        <v>0</v>
      </c>
      <c r="T4800" s="98">
        <f t="shared" si="215"/>
        <v>0</v>
      </c>
      <c r="U4800" s="99" t="str">
        <f>IFERROR(IF(#REF!="S",VLOOKUP('Raw Data'!A4800,References!#REF!,2,FALSE),(VLOOKUP($S4800,References!$B$3:$C$8,2,FALSE))),"")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6"/>
        <v>0</v>
      </c>
      <c r="T4801" s="98">
        <f t="shared" si="215"/>
        <v>0</v>
      </c>
      <c r="U4801" s="99" t="str">
        <f>IFERROR(IF(#REF!="S",VLOOKUP('Raw Data'!A4801,References!#REF!,2,FALSE),(VLOOKUP($S4801,References!$B$3:$C$8,2,FALSE))),"")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6"/>
        <v>0</v>
      </c>
      <c r="T4802" s="98">
        <f t="shared" si="215"/>
        <v>0</v>
      </c>
      <c r="U4802" s="99" t="str">
        <f>IFERROR(IF(#REF!="S",VLOOKUP('Raw Data'!A4802,References!#REF!,2,FALSE),(VLOOKUP($S4802,References!$B$3:$C$8,2,FALSE))),"")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6"/>
        <v>0</v>
      </c>
      <c r="T4803" s="98">
        <f t="shared" si="215"/>
        <v>0</v>
      </c>
      <c r="U4803" s="99" t="str">
        <f>IFERROR(IF(#REF!="S",VLOOKUP('Raw Data'!A4803,References!#REF!,2,FALSE),(VLOOKUP($S4803,References!$B$3:$C$8,2,FALSE))),"")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6"/>
        <v>0</v>
      </c>
      <c r="T4804" s="98">
        <f t="shared" si="215"/>
        <v>0</v>
      </c>
      <c r="U4804" s="99" t="str">
        <f>IFERROR(IF(#REF!="S",VLOOKUP('Raw Data'!A4804,References!#REF!,2,FALSE),(VLOOKUP($S4804,References!$B$3:$C$8,2,FALSE))),"")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6"/>
        <v>0</v>
      </c>
      <c r="T4805" s="98">
        <f t="shared" si="215"/>
        <v>0</v>
      </c>
      <c r="U4805" s="99" t="str">
        <f>IFERROR(IF(#REF!="S",VLOOKUP('Raw Data'!A4805,References!#REF!,2,FALSE),(VLOOKUP($S4805,References!$B$3:$C$8,2,FALSE))),"")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6"/>
        <v>0</v>
      </c>
      <c r="T4806" s="98">
        <f t="shared" si="215"/>
        <v>0</v>
      </c>
      <c r="U4806" s="99" t="str">
        <f>IFERROR(IF(#REF!="S",VLOOKUP('Raw Data'!A4806,References!#REF!,2,FALSE),(VLOOKUP($S4806,References!$B$3:$C$8,2,FALSE))),"")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6"/>
        <v>0</v>
      </c>
      <c r="T4807" s="98">
        <f t="shared" si="215"/>
        <v>0</v>
      </c>
      <c r="U4807" s="99" t="str">
        <f>IFERROR(IF(#REF!="S",VLOOKUP('Raw Data'!A4807,References!#REF!,2,FALSE),(VLOOKUP($S4807,References!$B$3:$C$8,2,FALSE))),"")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6"/>
        <v>0</v>
      </c>
      <c r="T4808" s="98">
        <f t="shared" si="215"/>
        <v>0</v>
      </c>
      <c r="U4808" s="99" t="str">
        <f>IFERROR(IF(#REF!="S",VLOOKUP('Raw Data'!A4808,References!#REF!,2,FALSE),(VLOOKUP($S4808,References!$B$3:$C$8,2,FALSE))),"")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6"/>
        <v>0</v>
      </c>
      <c r="T4809" s="98">
        <f t="shared" si="215"/>
        <v>0</v>
      </c>
      <c r="U4809" s="99" t="str">
        <f>IFERROR(IF(#REF!="S",VLOOKUP('Raw Data'!A4809,References!#REF!,2,FALSE),(VLOOKUP($S4809,References!$B$3:$C$8,2,FALSE))),"")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6"/>
        <v>0</v>
      </c>
      <c r="T4810" s="98">
        <f t="shared" si="215"/>
        <v>0</v>
      </c>
      <c r="U4810" s="99" t="str">
        <f>IFERROR(IF(#REF!="S",VLOOKUP('Raw Data'!A4810,References!#REF!,2,FALSE),(VLOOKUP($S4810,References!$B$3:$C$8,2,FALSE))),"")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6"/>
        <v>0</v>
      </c>
      <c r="T4811" s="98">
        <f t="shared" si="215"/>
        <v>0</v>
      </c>
      <c r="U4811" s="99" t="str">
        <f>IFERROR(IF(#REF!="S",VLOOKUP('Raw Data'!A4811,References!#REF!,2,FALSE),(VLOOKUP($S4811,References!$B$3:$C$8,2,FALSE))),"")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6"/>
        <v>0</v>
      </c>
      <c r="T4812" s="98">
        <f t="shared" si="215"/>
        <v>0</v>
      </c>
      <c r="U4812" s="99" t="str">
        <f>IFERROR(IF(#REF!="S",VLOOKUP('Raw Data'!A4812,References!#REF!,2,FALSE),(VLOOKUP($S4812,References!$B$3:$C$8,2,FALSE))),"")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6"/>
        <v>0</v>
      </c>
      <c r="T4813" s="98">
        <f t="shared" si="215"/>
        <v>0</v>
      </c>
      <c r="U4813" s="99" t="str">
        <f>IFERROR(IF(#REF!="S",VLOOKUP('Raw Data'!A4813,References!#REF!,2,FALSE),(VLOOKUP($S4813,References!$B$3:$C$8,2,FALSE))),"")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6"/>
        <v>0</v>
      </c>
      <c r="T4814" s="98">
        <f t="shared" si="215"/>
        <v>0</v>
      </c>
      <c r="U4814" s="99" t="str">
        <f>IFERROR(IF(#REF!="S",VLOOKUP('Raw Data'!A4814,References!#REF!,2,FALSE),(VLOOKUP($S4814,References!$B$3:$C$8,2,FALSE))),"")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6"/>
        <v>0</v>
      </c>
      <c r="T4815" s="98">
        <f t="shared" si="215"/>
        <v>0</v>
      </c>
      <c r="U4815" s="99" t="str">
        <f>IFERROR(IF(#REF!="S",VLOOKUP('Raw Data'!A4815,References!#REF!,2,FALSE),(VLOOKUP($S4815,References!$B$3:$C$8,2,FALSE))),"")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6"/>
        <v>0</v>
      </c>
      <c r="T4816" s="98">
        <f t="shared" ref="T4816:T4879" si="217">IF(S4816="50 - Cleaning Fee",1,HOUR($R4816)+MINUTE(R4816)/60)</f>
        <v>0</v>
      </c>
      <c r="U4816" s="99" t="str">
        <f>IFERROR(IF(#REF!="S",VLOOKUP('Raw Data'!A4816,References!#REF!,2,FALSE),(VLOOKUP($S4816,References!$B$3:$C$8,2,FALSE))),"")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6"/>
        <v>0</v>
      </c>
      <c r="T4817" s="98">
        <f t="shared" si="217"/>
        <v>0</v>
      </c>
      <c r="U4817" s="99" t="str">
        <f>IFERROR(IF(#REF!="S",VLOOKUP('Raw Data'!A4817,References!#REF!,2,FALSE),(VLOOKUP($S4817,References!$B$3:$C$8,2,FALSE))),"")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6"/>
        <v>0</v>
      </c>
      <c r="T4818" s="98">
        <f t="shared" si="217"/>
        <v>0</v>
      </c>
      <c r="U4818" s="99" t="str">
        <f>IFERROR(IF(#REF!="S",VLOOKUP('Raw Data'!A4818,References!#REF!,2,FALSE),(VLOOKUP($S4818,References!$B$3:$C$8,2,FALSE))),"")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6"/>
        <v>0</v>
      </c>
      <c r="T4819" s="98">
        <f t="shared" si="217"/>
        <v>0</v>
      </c>
      <c r="U4819" s="99" t="str">
        <f>IFERROR(IF(#REF!="S",VLOOKUP('Raw Data'!A4819,References!#REF!,2,FALSE),(VLOOKUP($S4819,References!$B$3:$C$8,2,FALSE))),"")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6"/>
        <v>0</v>
      </c>
      <c r="T4820" s="98">
        <f t="shared" si="217"/>
        <v>0</v>
      </c>
      <c r="U4820" s="99" t="str">
        <f>IFERROR(IF(#REF!="S",VLOOKUP('Raw Data'!A4820,References!#REF!,2,FALSE),(VLOOKUP($S4820,References!$B$3:$C$8,2,FALSE))),"")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6"/>
        <v>0</v>
      </c>
      <c r="T4821" s="98">
        <f t="shared" si="217"/>
        <v>0</v>
      </c>
      <c r="U4821" s="99" t="str">
        <f>IFERROR(IF(#REF!="S",VLOOKUP('Raw Data'!A4821,References!#REF!,2,FALSE),(VLOOKUP($S4821,References!$B$3:$C$8,2,FALSE))),"")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6"/>
        <v>0</v>
      </c>
      <c r="T4822" s="98">
        <f t="shared" si="217"/>
        <v>0</v>
      </c>
      <c r="U4822" s="99" t="str">
        <f>IFERROR(IF(#REF!="S",VLOOKUP('Raw Data'!A4822,References!#REF!,2,FALSE),(VLOOKUP($S4822,References!$B$3:$C$8,2,FALSE))),"")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6"/>
        <v>0</v>
      </c>
      <c r="T4823" s="98">
        <f t="shared" si="217"/>
        <v>0</v>
      </c>
      <c r="U4823" s="99" t="str">
        <f>IFERROR(IF(#REF!="S",VLOOKUP('Raw Data'!A4823,References!#REF!,2,FALSE),(VLOOKUP($S4823,References!$B$3:$C$8,2,FALSE))),"")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6"/>
        <v>0</v>
      </c>
      <c r="T4824" s="98">
        <f t="shared" si="217"/>
        <v>0</v>
      </c>
      <c r="U4824" s="99" t="str">
        <f>IFERROR(IF(#REF!="S",VLOOKUP('Raw Data'!A4824,References!#REF!,2,FALSE),(VLOOKUP($S4824,References!$B$3:$C$8,2,FALSE))),"")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6"/>
        <v>0</v>
      </c>
      <c r="T4825" s="98">
        <f t="shared" si="217"/>
        <v>0</v>
      </c>
      <c r="U4825" s="99" t="str">
        <f>IFERROR(IF(#REF!="S",VLOOKUP('Raw Data'!A4825,References!#REF!,2,FALSE),(VLOOKUP($S4825,References!$B$3:$C$8,2,FALSE))),"")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6"/>
        <v>0</v>
      </c>
      <c r="T4826" s="98">
        <f t="shared" si="217"/>
        <v>0</v>
      </c>
      <c r="U4826" s="99" t="str">
        <f>IFERROR(IF(#REF!="S",VLOOKUP('Raw Data'!A4826,References!#REF!,2,FALSE),(VLOOKUP($S4826,References!$B$3:$C$8,2,FALSE))),"")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6"/>
        <v>0</v>
      </c>
      <c r="T4827" s="98">
        <f t="shared" si="217"/>
        <v>0</v>
      </c>
      <c r="U4827" s="99" t="str">
        <f>IFERROR(IF(#REF!="S",VLOOKUP('Raw Data'!A4827,References!#REF!,2,FALSE),(VLOOKUP($S4827,References!$B$3:$C$8,2,FALSE))),"")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6"/>
        <v>0</v>
      </c>
      <c r="T4828" s="98">
        <f t="shared" si="217"/>
        <v>0</v>
      </c>
      <c r="U4828" s="99" t="str">
        <f>IFERROR(IF(#REF!="S",VLOOKUP('Raw Data'!A4828,References!#REF!,2,FALSE),(VLOOKUP($S4828,References!$B$3:$C$8,2,FALSE))),"")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6"/>
        <v>0</v>
      </c>
      <c r="T4829" s="98">
        <f t="shared" si="217"/>
        <v>0</v>
      </c>
      <c r="U4829" s="99" t="str">
        <f>IFERROR(IF(#REF!="S",VLOOKUP('Raw Data'!A4829,References!#REF!,2,FALSE),(VLOOKUP($S4829,References!$B$3:$C$8,2,FALSE))),"")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6"/>
        <v>0</v>
      </c>
      <c r="T4830" s="98">
        <f t="shared" si="217"/>
        <v>0</v>
      </c>
      <c r="U4830" s="99" t="str">
        <f>IFERROR(IF(#REF!="S",VLOOKUP('Raw Data'!A4830,References!#REF!,2,FALSE),(VLOOKUP($S4830,References!$B$3:$C$8,2,FALSE))),"")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6"/>
        <v>0</v>
      </c>
      <c r="T4831" s="98">
        <f t="shared" si="217"/>
        <v>0</v>
      </c>
      <c r="U4831" s="99" t="str">
        <f>IFERROR(IF(#REF!="S",VLOOKUP('Raw Data'!A4831,References!#REF!,2,FALSE),(VLOOKUP($S4831,References!$B$3:$C$8,2,FALSE))),"")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6"/>
        <v>0</v>
      </c>
      <c r="T4832" s="98">
        <f t="shared" si="217"/>
        <v>0</v>
      </c>
      <c r="U4832" s="99" t="str">
        <f>IFERROR(IF(#REF!="S",VLOOKUP('Raw Data'!A4832,References!#REF!,2,FALSE),(VLOOKUP($S4832,References!$B$3:$C$8,2,FALSE))),"")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6"/>
        <v>0</v>
      </c>
      <c r="T4833" s="98">
        <f t="shared" si="217"/>
        <v>0</v>
      </c>
      <c r="U4833" s="99" t="str">
        <f>IFERROR(IF(#REF!="S",VLOOKUP('Raw Data'!A4833,References!#REF!,2,FALSE),(VLOOKUP($S4833,References!$B$3:$C$8,2,FALSE))),"")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6"/>
        <v>0</v>
      </c>
      <c r="T4834" s="98">
        <f t="shared" si="217"/>
        <v>0</v>
      </c>
      <c r="U4834" s="99" t="str">
        <f>IFERROR(IF(#REF!="S",VLOOKUP('Raw Data'!A4834,References!#REF!,2,FALSE),(VLOOKUP($S4834,References!$B$3:$C$8,2,FALSE))),"")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6"/>
        <v>0</v>
      </c>
      <c r="T4835" s="98">
        <f t="shared" si="217"/>
        <v>0</v>
      </c>
      <c r="U4835" s="99" t="str">
        <f>IFERROR(IF(#REF!="S",VLOOKUP('Raw Data'!A4835,References!#REF!,2,FALSE),(VLOOKUP($S4835,References!$B$3:$C$8,2,FALSE))),"")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6"/>
        <v>0</v>
      </c>
      <c r="T4836" s="98">
        <f t="shared" si="217"/>
        <v>0</v>
      </c>
      <c r="U4836" s="99" t="str">
        <f>IFERROR(IF(#REF!="S",VLOOKUP('Raw Data'!A4836,References!#REF!,2,FALSE),(VLOOKUP($S4836,References!$B$3:$C$8,2,FALSE))),"")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6"/>
        <v>0</v>
      </c>
      <c r="T4837" s="98">
        <f t="shared" si="217"/>
        <v>0</v>
      </c>
      <c r="U4837" s="99" t="str">
        <f>IFERROR(IF(#REF!="S",VLOOKUP('Raw Data'!A4837,References!#REF!,2,FALSE),(VLOOKUP($S4837,References!$B$3:$C$8,2,FALSE))),"")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6"/>
        <v>0</v>
      </c>
      <c r="T4838" s="98">
        <f t="shared" si="217"/>
        <v>0</v>
      </c>
      <c r="U4838" s="99" t="str">
        <f>IFERROR(IF(#REF!="S",VLOOKUP('Raw Data'!A4838,References!#REF!,2,FALSE),(VLOOKUP($S4838,References!$B$3:$C$8,2,FALSE))),"")</f>
        <v/>
      </c>
      <c r="W4838" s="66" t="str">
        <f>IFERROR(VLOOKUP($O4838,'Customer List'!$A$1:$J$488,10,FALSE),"")</f>
        <v/>
      </c>
    </row>
    <row r="4839" spans="18:23">
      <c r="R4839" s="97">
        <f t="shared" si="216"/>
        <v>0</v>
      </c>
      <c r="T4839" s="98">
        <f t="shared" si="217"/>
        <v>0</v>
      </c>
      <c r="U4839" s="99" t="str">
        <f>IFERROR(IF(#REF!="S",VLOOKUP('Raw Data'!A4839,References!#REF!,2,FALSE),(VLOOKUP($S4839,References!$B$3:$C$8,2,FALSE))),"")</f>
        <v/>
      </c>
      <c r="W4839" s="66" t="str">
        <f>IFERROR(VLOOKUP($O4839,'Customer List'!$A$1:$J$488,10,FALSE),"")</f>
        <v/>
      </c>
    </row>
    <row r="4840" spans="18:23">
      <c r="R4840" s="97">
        <f t="shared" ref="R4840:R4903" si="218">L4840-K4840</f>
        <v>0</v>
      </c>
      <c r="T4840" s="98">
        <f t="shared" si="217"/>
        <v>0</v>
      </c>
      <c r="U4840" s="99" t="str">
        <f>IFERROR(IF(#REF!="S",VLOOKUP('Raw Data'!A4840,References!#REF!,2,FALSE),(VLOOKUP($S4840,References!$B$3:$C$8,2,FALSE))),"")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18"/>
        <v>0</v>
      </c>
      <c r="T4841" s="98">
        <f t="shared" si="217"/>
        <v>0</v>
      </c>
      <c r="U4841" s="99" t="str">
        <f>IFERROR(IF(#REF!="S",VLOOKUP('Raw Data'!A4841,References!#REF!,2,FALSE),(VLOOKUP($S4841,References!$B$3:$C$8,2,FALSE))),"")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18"/>
        <v>0</v>
      </c>
      <c r="T4842" s="98">
        <f t="shared" si="217"/>
        <v>0</v>
      </c>
      <c r="U4842" s="99" t="str">
        <f>IFERROR(IF(#REF!="S",VLOOKUP('Raw Data'!A4842,References!#REF!,2,FALSE),(VLOOKUP($S4842,References!$B$3:$C$8,2,FALSE))),"")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18"/>
        <v>0</v>
      </c>
      <c r="T4843" s="98">
        <f t="shared" si="217"/>
        <v>0</v>
      </c>
      <c r="U4843" s="99" t="str">
        <f>IFERROR(IF(#REF!="S",VLOOKUP('Raw Data'!A4843,References!#REF!,2,FALSE),(VLOOKUP($S4843,References!$B$3:$C$8,2,FALSE))),"")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18"/>
        <v>0</v>
      </c>
      <c r="T4844" s="98">
        <f t="shared" si="217"/>
        <v>0</v>
      </c>
      <c r="U4844" s="99" t="str">
        <f>IFERROR(IF(#REF!="S",VLOOKUP('Raw Data'!A4844,References!#REF!,2,FALSE),(VLOOKUP($S4844,References!$B$3:$C$8,2,FALSE))),"")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18"/>
        <v>0</v>
      </c>
      <c r="T4845" s="98">
        <f t="shared" si="217"/>
        <v>0</v>
      </c>
      <c r="U4845" s="99" t="str">
        <f>IFERROR(IF(#REF!="S",VLOOKUP('Raw Data'!A4845,References!#REF!,2,FALSE),(VLOOKUP($S4845,References!$B$3:$C$8,2,FALSE))),"")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18"/>
        <v>0</v>
      </c>
      <c r="T4846" s="98">
        <f t="shared" si="217"/>
        <v>0</v>
      </c>
      <c r="U4846" s="99" t="str">
        <f>IFERROR(IF(#REF!="S",VLOOKUP('Raw Data'!A4846,References!#REF!,2,FALSE),(VLOOKUP($S4846,References!$B$3:$C$8,2,FALSE))),"")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18"/>
        <v>0</v>
      </c>
      <c r="T4847" s="98">
        <f t="shared" si="217"/>
        <v>0</v>
      </c>
      <c r="U4847" s="99" t="str">
        <f>IFERROR(IF(#REF!="S",VLOOKUP('Raw Data'!A4847,References!#REF!,2,FALSE),(VLOOKUP($S4847,References!$B$3:$C$8,2,FALSE))),"")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18"/>
        <v>0</v>
      </c>
      <c r="T4848" s="98">
        <f t="shared" si="217"/>
        <v>0</v>
      </c>
      <c r="U4848" s="99" t="str">
        <f>IFERROR(IF(#REF!="S",VLOOKUP('Raw Data'!A4848,References!#REF!,2,FALSE),(VLOOKUP($S4848,References!$B$3:$C$8,2,FALSE))),"")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18"/>
        <v>0</v>
      </c>
      <c r="T4849" s="98">
        <f t="shared" si="217"/>
        <v>0</v>
      </c>
      <c r="U4849" s="99" t="str">
        <f>IFERROR(IF(#REF!="S",VLOOKUP('Raw Data'!A4849,References!#REF!,2,FALSE),(VLOOKUP($S4849,References!$B$3:$C$8,2,FALSE))),"")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18"/>
        <v>0</v>
      </c>
      <c r="T4850" s="98">
        <f t="shared" si="217"/>
        <v>0</v>
      </c>
      <c r="U4850" s="99" t="str">
        <f>IFERROR(IF(#REF!="S",VLOOKUP('Raw Data'!A4850,References!#REF!,2,FALSE),(VLOOKUP($S4850,References!$B$3:$C$8,2,FALSE))),"")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18"/>
        <v>0</v>
      </c>
      <c r="T4851" s="98">
        <f t="shared" si="217"/>
        <v>0</v>
      </c>
      <c r="U4851" s="99" t="str">
        <f>IFERROR(IF(#REF!="S",VLOOKUP('Raw Data'!A4851,References!#REF!,2,FALSE),(VLOOKUP($S4851,References!$B$3:$C$8,2,FALSE))),"")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18"/>
        <v>0</v>
      </c>
      <c r="T4852" s="98">
        <f t="shared" si="217"/>
        <v>0</v>
      </c>
      <c r="U4852" s="99" t="str">
        <f>IFERROR(IF(#REF!="S",VLOOKUP('Raw Data'!A4852,References!#REF!,2,FALSE),(VLOOKUP($S4852,References!$B$3:$C$8,2,FALSE))),"")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18"/>
        <v>0</v>
      </c>
      <c r="T4853" s="98">
        <f t="shared" si="217"/>
        <v>0</v>
      </c>
      <c r="U4853" s="99" t="str">
        <f>IFERROR(IF(#REF!="S",VLOOKUP('Raw Data'!A4853,References!#REF!,2,FALSE),(VLOOKUP($S4853,References!$B$3:$C$8,2,FALSE))),"")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18"/>
        <v>0</v>
      </c>
      <c r="T4854" s="98">
        <f t="shared" si="217"/>
        <v>0</v>
      </c>
      <c r="U4854" s="99" t="str">
        <f>IFERROR(IF(#REF!="S",VLOOKUP('Raw Data'!A4854,References!#REF!,2,FALSE),(VLOOKUP($S4854,References!$B$3:$C$8,2,FALSE))),"")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18"/>
        <v>0</v>
      </c>
      <c r="T4855" s="98">
        <f t="shared" si="217"/>
        <v>0</v>
      </c>
      <c r="U4855" s="99" t="str">
        <f>IFERROR(IF(#REF!="S",VLOOKUP('Raw Data'!A4855,References!#REF!,2,FALSE),(VLOOKUP($S4855,References!$B$3:$C$8,2,FALSE))),"")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18"/>
        <v>0</v>
      </c>
      <c r="T4856" s="98">
        <f t="shared" si="217"/>
        <v>0</v>
      </c>
      <c r="U4856" s="99" t="str">
        <f>IFERROR(IF(#REF!="S",VLOOKUP('Raw Data'!A4856,References!#REF!,2,FALSE),(VLOOKUP($S4856,References!$B$3:$C$8,2,FALSE))),"")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18"/>
        <v>0</v>
      </c>
      <c r="T4857" s="98">
        <f t="shared" si="217"/>
        <v>0</v>
      </c>
      <c r="U4857" s="99" t="str">
        <f>IFERROR(IF(#REF!="S",VLOOKUP('Raw Data'!A4857,References!#REF!,2,FALSE),(VLOOKUP($S4857,References!$B$3:$C$8,2,FALSE))),"")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18"/>
        <v>0</v>
      </c>
      <c r="T4858" s="98">
        <f t="shared" si="217"/>
        <v>0</v>
      </c>
      <c r="U4858" s="99" t="str">
        <f>IFERROR(IF(#REF!="S",VLOOKUP('Raw Data'!A4858,References!#REF!,2,FALSE),(VLOOKUP($S4858,References!$B$3:$C$8,2,FALSE))),"")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18"/>
        <v>0</v>
      </c>
      <c r="T4859" s="98">
        <f t="shared" si="217"/>
        <v>0</v>
      </c>
      <c r="U4859" s="99" t="str">
        <f>IFERROR(IF(#REF!="S",VLOOKUP('Raw Data'!A4859,References!#REF!,2,FALSE),(VLOOKUP($S4859,References!$B$3:$C$8,2,FALSE))),"")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18"/>
        <v>0</v>
      </c>
      <c r="T4860" s="98">
        <f t="shared" si="217"/>
        <v>0</v>
      </c>
      <c r="U4860" s="99" t="str">
        <f>IFERROR(IF(#REF!="S",VLOOKUP('Raw Data'!A4860,References!#REF!,2,FALSE),(VLOOKUP($S4860,References!$B$3:$C$8,2,FALSE))),"")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18"/>
        <v>0</v>
      </c>
      <c r="T4861" s="98">
        <f t="shared" si="217"/>
        <v>0</v>
      </c>
      <c r="U4861" s="99" t="str">
        <f>IFERROR(IF(#REF!="S",VLOOKUP('Raw Data'!A4861,References!#REF!,2,FALSE),(VLOOKUP($S4861,References!$B$3:$C$8,2,FALSE))),"")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18"/>
        <v>0</v>
      </c>
      <c r="T4862" s="98">
        <f t="shared" si="217"/>
        <v>0</v>
      </c>
      <c r="U4862" s="99" t="str">
        <f>IFERROR(IF(#REF!="S",VLOOKUP('Raw Data'!A4862,References!#REF!,2,FALSE),(VLOOKUP($S4862,References!$B$3:$C$8,2,FALSE))),"")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18"/>
        <v>0</v>
      </c>
      <c r="T4863" s="98">
        <f t="shared" si="217"/>
        <v>0</v>
      </c>
      <c r="U4863" s="99" t="str">
        <f>IFERROR(IF(#REF!="S",VLOOKUP('Raw Data'!A4863,References!#REF!,2,FALSE),(VLOOKUP($S4863,References!$B$3:$C$8,2,FALSE))),"")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18"/>
        <v>0</v>
      </c>
      <c r="T4864" s="98">
        <f t="shared" si="217"/>
        <v>0</v>
      </c>
      <c r="U4864" s="99" t="str">
        <f>IFERROR(IF(#REF!="S",VLOOKUP('Raw Data'!A4864,References!#REF!,2,FALSE),(VLOOKUP($S4864,References!$B$3:$C$8,2,FALSE))),"")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18"/>
        <v>0</v>
      </c>
      <c r="T4865" s="98">
        <f t="shared" si="217"/>
        <v>0</v>
      </c>
      <c r="U4865" s="99" t="str">
        <f>IFERROR(IF(#REF!="S",VLOOKUP('Raw Data'!A4865,References!#REF!,2,FALSE),(VLOOKUP($S4865,References!$B$3:$C$8,2,FALSE))),"")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18"/>
        <v>0</v>
      </c>
      <c r="T4866" s="98">
        <f t="shared" si="217"/>
        <v>0</v>
      </c>
      <c r="U4866" s="99" t="str">
        <f>IFERROR(IF(#REF!="S",VLOOKUP('Raw Data'!A4866,References!#REF!,2,FALSE),(VLOOKUP($S4866,References!$B$3:$C$8,2,FALSE))),"")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18"/>
        <v>0</v>
      </c>
      <c r="T4867" s="98">
        <f t="shared" si="217"/>
        <v>0</v>
      </c>
      <c r="U4867" s="99" t="str">
        <f>IFERROR(IF(#REF!="S",VLOOKUP('Raw Data'!A4867,References!#REF!,2,FALSE),(VLOOKUP($S4867,References!$B$3:$C$8,2,FALSE))),"")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18"/>
        <v>0</v>
      </c>
      <c r="T4868" s="98">
        <f t="shared" si="217"/>
        <v>0</v>
      </c>
      <c r="U4868" s="99" t="str">
        <f>IFERROR(IF(#REF!="S",VLOOKUP('Raw Data'!A4868,References!#REF!,2,FALSE),(VLOOKUP($S4868,References!$B$3:$C$8,2,FALSE))),"")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18"/>
        <v>0</v>
      </c>
      <c r="T4869" s="98">
        <f t="shared" si="217"/>
        <v>0</v>
      </c>
      <c r="U4869" s="99" t="str">
        <f>IFERROR(IF(#REF!="S",VLOOKUP('Raw Data'!A4869,References!#REF!,2,FALSE),(VLOOKUP($S4869,References!$B$3:$C$8,2,FALSE))),"")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18"/>
        <v>0</v>
      </c>
      <c r="T4870" s="98">
        <f t="shared" si="217"/>
        <v>0</v>
      </c>
      <c r="U4870" s="99" t="str">
        <f>IFERROR(IF(#REF!="S",VLOOKUP('Raw Data'!A4870,References!#REF!,2,FALSE),(VLOOKUP($S4870,References!$B$3:$C$8,2,FALSE))),"")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18"/>
        <v>0</v>
      </c>
      <c r="T4871" s="98">
        <f t="shared" si="217"/>
        <v>0</v>
      </c>
      <c r="U4871" s="99" t="str">
        <f>IFERROR(IF(#REF!="S",VLOOKUP('Raw Data'!A4871,References!#REF!,2,FALSE),(VLOOKUP($S4871,References!$B$3:$C$8,2,FALSE))),"")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18"/>
        <v>0</v>
      </c>
      <c r="T4872" s="98">
        <f t="shared" si="217"/>
        <v>0</v>
      </c>
      <c r="U4872" s="99" t="str">
        <f>IFERROR(IF(#REF!="S",VLOOKUP('Raw Data'!A4872,References!#REF!,2,FALSE),(VLOOKUP($S4872,References!$B$3:$C$8,2,FALSE))),"")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18"/>
        <v>0</v>
      </c>
      <c r="T4873" s="98">
        <f t="shared" si="217"/>
        <v>0</v>
      </c>
      <c r="U4873" s="99" t="str">
        <f>IFERROR(IF(#REF!="S",VLOOKUP('Raw Data'!A4873,References!#REF!,2,FALSE),(VLOOKUP($S4873,References!$B$3:$C$8,2,FALSE))),"")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18"/>
        <v>0</v>
      </c>
      <c r="T4874" s="98">
        <f t="shared" si="217"/>
        <v>0</v>
      </c>
      <c r="U4874" s="99" t="str">
        <f>IFERROR(IF(#REF!="S",VLOOKUP('Raw Data'!A4874,References!#REF!,2,FALSE),(VLOOKUP($S4874,References!$B$3:$C$8,2,FALSE))),"")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18"/>
        <v>0</v>
      </c>
      <c r="T4875" s="98">
        <f t="shared" si="217"/>
        <v>0</v>
      </c>
      <c r="U4875" s="99" t="str">
        <f>IFERROR(IF(#REF!="S",VLOOKUP('Raw Data'!A4875,References!#REF!,2,FALSE),(VLOOKUP($S4875,References!$B$3:$C$8,2,FALSE))),"")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18"/>
        <v>0</v>
      </c>
      <c r="T4876" s="98">
        <f t="shared" si="217"/>
        <v>0</v>
      </c>
      <c r="U4876" s="99" t="str">
        <f>IFERROR(IF(#REF!="S",VLOOKUP('Raw Data'!A4876,References!#REF!,2,FALSE),(VLOOKUP($S4876,References!$B$3:$C$8,2,FALSE))),"")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18"/>
        <v>0</v>
      </c>
      <c r="T4877" s="98">
        <f t="shared" si="217"/>
        <v>0</v>
      </c>
      <c r="U4877" s="99" t="str">
        <f>IFERROR(IF(#REF!="S",VLOOKUP('Raw Data'!A4877,References!#REF!,2,FALSE),(VLOOKUP($S4877,References!$B$3:$C$8,2,FALSE))),"")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18"/>
        <v>0</v>
      </c>
      <c r="T4878" s="98">
        <f t="shared" si="217"/>
        <v>0</v>
      </c>
      <c r="U4878" s="99" t="str">
        <f>IFERROR(IF(#REF!="S",VLOOKUP('Raw Data'!A4878,References!#REF!,2,FALSE),(VLOOKUP($S4878,References!$B$3:$C$8,2,FALSE))),"")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18"/>
        <v>0</v>
      </c>
      <c r="T4879" s="98">
        <f t="shared" si="217"/>
        <v>0</v>
      </c>
      <c r="U4879" s="99" t="str">
        <f>IFERROR(IF(#REF!="S",VLOOKUP('Raw Data'!A4879,References!#REF!,2,FALSE),(VLOOKUP($S4879,References!$B$3:$C$8,2,FALSE))),"")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18"/>
        <v>0</v>
      </c>
      <c r="T4880" s="98">
        <f t="shared" ref="T4880:T4943" si="219">IF(S4880="50 - Cleaning Fee",1,HOUR($R4880)+MINUTE(R4880)/60)</f>
        <v>0</v>
      </c>
      <c r="U4880" s="99" t="str">
        <f>IFERROR(IF(#REF!="S",VLOOKUP('Raw Data'!A4880,References!#REF!,2,FALSE),(VLOOKUP($S4880,References!$B$3:$C$8,2,FALSE))),"")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18"/>
        <v>0</v>
      </c>
      <c r="T4881" s="98">
        <f t="shared" si="219"/>
        <v>0</v>
      </c>
      <c r="U4881" s="99" t="str">
        <f>IFERROR(IF(#REF!="S",VLOOKUP('Raw Data'!A4881,References!#REF!,2,FALSE),(VLOOKUP($S4881,References!$B$3:$C$8,2,FALSE))),"")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18"/>
        <v>0</v>
      </c>
      <c r="T4882" s="98">
        <f t="shared" si="219"/>
        <v>0</v>
      </c>
      <c r="U4882" s="99" t="str">
        <f>IFERROR(IF(#REF!="S",VLOOKUP('Raw Data'!A4882,References!#REF!,2,FALSE),(VLOOKUP($S4882,References!$B$3:$C$8,2,FALSE))),"")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18"/>
        <v>0</v>
      </c>
      <c r="T4883" s="98">
        <f t="shared" si="219"/>
        <v>0</v>
      </c>
      <c r="U4883" s="99" t="str">
        <f>IFERROR(IF(#REF!="S",VLOOKUP('Raw Data'!A4883,References!#REF!,2,FALSE),(VLOOKUP($S4883,References!$B$3:$C$8,2,FALSE))),"")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18"/>
        <v>0</v>
      </c>
      <c r="T4884" s="98">
        <f t="shared" si="219"/>
        <v>0</v>
      </c>
      <c r="U4884" s="99" t="str">
        <f>IFERROR(IF(#REF!="S",VLOOKUP('Raw Data'!A4884,References!#REF!,2,FALSE),(VLOOKUP($S4884,References!$B$3:$C$8,2,FALSE))),"")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18"/>
        <v>0</v>
      </c>
      <c r="T4885" s="98">
        <f t="shared" si="219"/>
        <v>0</v>
      </c>
      <c r="U4885" s="99" t="str">
        <f>IFERROR(IF(#REF!="S",VLOOKUP('Raw Data'!A4885,References!#REF!,2,FALSE),(VLOOKUP($S4885,References!$B$3:$C$8,2,FALSE))),"")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18"/>
        <v>0</v>
      </c>
      <c r="T4886" s="98">
        <f t="shared" si="219"/>
        <v>0</v>
      </c>
      <c r="U4886" s="99" t="str">
        <f>IFERROR(IF(#REF!="S",VLOOKUP('Raw Data'!A4886,References!#REF!,2,FALSE),(VLOOKUP($S4886,References!$B$3:$C$8,2,FALSE))),"")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18"/>
        <v>0</v>
      </c>
      <c r="T4887" s="98">
        <f t="shared" si="219"/>
        <v>0</v>
      </c>
      <c r="U4887" s="99" t="str">
        <f>IFERROR(IF(#REF!="S",VLOOKUP('Raw Data'!A4887,References!#REF!,2,FALSE),(VLOOKUP($S4887,References!$B$3:$C$8,2,FALSE))),"")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18"/>
        <v>0</v>
      </c>
      <c r="T4888" s="98">
        <f t="shared" si="219"/>
        <v>0</v>
      </c>
      <c r="U4888" s="99" t="str">
        <f>IFERROR(IF(#REF!="S",VLOOKUP('Raw Data'!A4888,References!#REF!,2,FALSE),(VLOOKUP($S4888,References!$B$3:$C$8,2,FALSE))),"")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18"/>
        <v>0</v>
      </c>
      <c r="T4889" s="98">
        <f t="shared" si="219"/>
        <v>0</v>
      </c>
      <c r="U4889" s="99" t="str">
        <f>IFERROR(IF(#REF!="S",VLOOKUP('Raw Data'!A4889,References!#REF!,2,FALSE),(VLOOKUP($S4889,References!$B$3:$C$8,2,FALSE))),"")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18"/>
        <v>0</v>
      </c>
      <c r="T4890" s="98">
        <f t="shared" si="219"/>
        <v>0</v>
      </c>
      <c r="U4890" s="99" t="str">
        <f>IFERROR(IF(#REF!="S",VLOOKUP('Raw Data'!A4890,References!#REF!,2,FALSE),(VLOOKUP($S4890,References!$B$3:$C$8,2,FALSE))),"")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18"/>
        <v>0</v>
      </c>
      <c r="T4891" s="98">
        <f t="shared" si="219"/>
        <v>0</v>
      </c>
      <c r="U4891" s="99" t="str">
        <f>IFERROR(IF(#REF!="S",VLOOKUP('Raw Data'!A4891,References!#REF!,2,FALSE),(VLOOKUP($S4891,References!$B$3:$C$8,2,FALSE))),"")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18"/>
        <v>0</v>
      </c>
      <c r="T4892" s="98">
        <f t="shared" si="219"/>
        <v>0</v>
      </c>
      <c r="U4892" s="99" t="str">
        <f>IFERROR(IF(#REF!="S",VLOOKUP('Raw Data'!A4892,References!#REF!,2,FALSE),(VLOOKUP($S4892,References!$B$3:$C$8,2,FALSE))),"")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18"/>
        <v>0</v>
      </c>
      <c r="T4893" s="98">
        <f t="shared" si="219"/>
        <v>0</v>
      </c>
      <c r="U4893" s="99" t="str">
        <f>IFERROR(IF(#REF!="S",VLOOKUP('Raw Data'!A4893,References!#REF!,2,FALSE),(VLOOKUP($S4893,References!$B$3:$C$8,2,FALSE))),"")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18"/>
        <v>0</v>
      </c>
      <c r="T4894" s="98">
        <f t="shared" si="219"/>
        <v>0</v>
      </c>
      <c r="U4894" s="99" t="str">
        <f>IFERROR(IF(#REF!="S",VLOOKUP('Raw Data'!A4894,References!#REF!,2,FALSE),(VLOOKUP($S4894,References!$B$3:$C$8,2,FALSE))),"")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18"/>
        <v>0</v>
      </c>
      <c r="T4895" s="98">
        <f t="shared" si="219"/>
        <v>0</v>
      </c>
      <c r="U4895" s="99" t="str">
        <f>IFERROR(IF(#REF!="S",VLOOKUP('Raw Data'!A4895,References!#REF!,2,FALSE),(VLOOKUP($S4895,References!$B$3:$C$8,2,FALSE))),"")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18"/>
        <v>0</v>
      </c>
      <c r="T4896" s="98">
        <f t="shared" si="219"/>
        <v>0</v>
      </c>
      <c r="U4896" s="99" t="str">
        <f>IFERROR(IF(#REF!="S",VLOOKUP('Raw Data'!A4896,References!#REF!,2,FALSE),(VLOOKUP($S4896,References!$B$3:$C$8,2,FALSE))),"")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18"/>
        <v>0</v>
      </c>
      <c r="T4897" s="98">
        <f t="shared" si="219"/>
        <v>0</v>
      </c>
      <c r="U4897" s="99" t="str">
        <f>IFERROR(IF(#REF!="S",VLOOKUP('Raw Data'!A4897,References!#REF!,2,FALSE),(VLOOKUP($S4897,References!$B$3:$C$8,2,FALSE))),"")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18"/>
        <v>0</v>
      </c>
      <c r="T4898" s="98">
        <f t="shared" si="219"/>
        <v>0</v>
      </c>
      <c r="U4898" s="99" t="str">
        <f>IFERROR(IF(#REF!="S",VLOOKUP('Raw Data'!A4898,References!#REF!,2,FALSE),(VLOOKUP($S4898,References!$B$3:$C$8,2,FALSE))),"")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18"/>
        <v>0</v>
      </c>
      <c r="T4899" s="98">
        <f t="shared" si="219"/>
        <v>0</v>
      </c>
      <c r="U4899" s="99" t="str">
        <f>IFERROR(IF(#REF!="S",VLOOKUP('Raw Data'!A4899,References!#REF!,2,FALSE),(VLOOKUP($S4899,References!$B$3:$C$8,2,FALSE))),"")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18"/>
        <v>0</v>
      </c>
      <c r="T4900" s="98">
        <f t="shared" si="219"/>
        <v>0</v>
      </c>
      <c r="U4900" s="99" t="str">
        <f>IFERROR(IF(#REF!="S",VLOOKUP('Raw Data'!A4900,References!#REF!,2,FALSE),(VLOOKUP($S4900,References!$B$3:$C$8,2,FALSE))),"")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18"/>
        <v>0</v>
      </c>
      <c r="T4901" s="98">
        <f t="shared" si="219"/>
        <v>0</v>
      </c>
      <c r="U4901" s="99" t="str">
        <f>IFERROR(IF(#REF!="S",VLOOKUP('Raw Data'!A4901,References!#REF!,2,FALSE),(VLOOKUP($S4901,References!$B$3:$C$8,2,FALSE))),"")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18"/>
        <v>0</v>
      </c>
      <c r="T4902" s="98">
        <f t="shared" si="219"/>
        <v>0</v>
      </c>
      <c r="U4902" s="99" t="str">
        <f>IFERROR(IF(#REF!="S",VLOOKUP('Raw Data'!A4902,References!#REF!,2,FALSE),(VLOOKUP($S4902,References!$B$3:$C$8,2,FALSE))),"")</f>
        <v/>
      </c>
      <c r="W4902" s="66" t="str">
        <f>IFERROR(VLOOKUP($O4902,'Customer List'!$A$1:$J$488,10,FALSE),"")</f>
        <v/>
      </c>
    </row>
    <row r="4903" spans="18:23">
      <c r="R4903" s="97">
        <f t="shared" si="218"/>
        <v>0</v>
      </c>
      <c r="T4903" s="98">
        <f t="shared" si="219"/>
        <v>0</v>
      </c>
      <c r="U4903" s="99" t="str">
        <f>IFERROR(IF(#REF!="S",VLOOKUP('Raw Data'!A4903,References!#REF!,2,FALSE),(VLOOKUP($S4903,References!$B$3:$C$8,2,FALSE))),"")</f>
        <v/>
      </c>
      <c r="W4903" s="66" t="str">
        <f>IFERROR(VLOOKUP($O4903,'Customer List'!$A$1:$J$488,10,FALSE),"")</f>
        <v/>
      </c>
    </row>
    <row r="4904" spans="18:23">
      <c r="R4904" s="97">
        <f t="shared" ref="R4904:R4967" si="220">L4904-K4904</f>
        <v>0</v>
      </c>
      <c r="T4904" s="98">
        <f t="shared" si="219"/>
        <v>0</v>
      </c>
      <c r="U4904" s="99" t="str">
        <f>IFERROR(IF(#REF!="S",VLOOKUP('Raw Data'!A4904,References!#REF!,2,FALSE),(VLOOKUP($S4904,References!$B$3:$C$8,2,FALSE))),"")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0"/>
        <v>0</v>
      </c>
      <c r="T4905" s="98">
        <f t="shared" si="219"/>
        <v>0</v>
      </c>
      <c r="U4905" s="99" t="str">
        <f>IFERROR(IF(#REF!="S",VLOOKUP('Raw Data'!A4905,References!#REF!,2,FALSE),(VLOOKUP($S4905,References!$B$3:$C$8,2,FALSE))),"")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0"/>
        <v>0</v>
      </c>
      <c r="T4906" s="98">
        <f t="shared" si="219"/>
        <v>0</v>
      </c>
      <c r="U4906" s="99" t="str">
        <f>IFERROR(IF(#REF!="S",VLOOKUP('Raw Data'!A4906,References!#REF!,2,FALSE),(VLOOKUP($S4906,References!$B$3:$C$8,2,FALSE))),"")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0"/>
        <v>0</v>
      </c>
      <c r="T4907" s="98">
        <f t="shared" si="219"/>
        <v>0</v>
      </c>
      <c r="U4907" s="99" t="str">
        <f>IFERROR(IF(#REF!="S",VLOOKUP('Raw Data'!A4907,References!#REF!,2,FALSE),(VLOOKUP($S4907,References!$B$3:$C$8,2,FALSE))),"")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0"/>
        <v>0</v>
      </c>
      <c r="T4908" s="98">
        <f t="shared" si="219"/>
        <v>0</v>
      </c>
      <c r="U4908" s="99" t="str">
        <f>IFERROR(IF(#REF!="S",VLOOKUP('Raw Data'!A4908,References!#REF!,2,FALSE),(VLOOKUP($S4908,References!$B$3:$C$8,2,FALSE))),"")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0"/>
        <v>0</v>
      </c>
      <c r="T4909" s="98">
        <f t="shared" si="219"/>
        <v>0</v>
      </c>
      <c r="U4909" s="99" t="str">
        <f>IFERROR(IF(#REF!="S",VLOOKUP('Raw Data'!A4909,References!#REF!,2,FALSE),(VLOOKUP($S4909,References!$B$3:$C$8,2,FALSE))),"")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0"/>
        <v>0</v>
      </c>
      <c r="T4910" s="98">
        <f t="shared" si="219"/>
        <v>0</v>
      </c>
      <c r="U4910" s="99" t="str">
        <f>IFERROR(IF(#REF!="S",VLOOKUP('Raw Data'!A4910,References!#REF!,2,FALSE),(VLOOKUP($S4910,References!$B$3:$C$8,2,FALSE))),"")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0"/>
        <v>0</v>
      </c>
      <c r="T4911" s="98">
        <f t="shared" si="219"/>
        <v>0</v>
      </c>
      <c r="U4911" s="99" t="str">
        <f>IFERROR(IF(#REF!="S",VLOOKUP('Raw Data'!A4911,References!#REF!,2,FALSE),(VLOOKUP($S4911,References!$B$3:$C$8,2,FALSE))),"")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0"/>
        <v>0</v>
      </c>
      <c r="T4912" s="98">
        <f t="shared" si="219"/>
        <v>0</v>
      </c>
      <c r="U4912" s="99" t="str">
        <f>IFERROR(IF(#REF!="S",VLOOKUP('Raw Data'!A4912,References!#REF!,2,FALSE),(VLOOKUP($S4912,References!$B$3:$C$8,2,FALSE))),"")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0"/>
        <v>0</v>
      </c>
      <c r="T4913" s="98">
        <f t="shared" si="219"/>
        <v>0</v>
      </c>
      <c r="U4913" s="99" t="str">
        <f>IFERROR(IF(#REF!="S",VLOOKUP('Raw Data'!A4913,References!#REF!,2,FALSE),(VLOOKUP($S4913,References!$B$3:$C$8,2,FALSE))),"")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0"/>
        <v>0</v>
      </c>
      <c r="T4914" s="98">
        <f t="shared" si="219"/>
        <v>0</v>
      </c>
      <c r="U4914" s="99" t="str">
        <f>IFERROR(IF(#REF!="S",VLOOKUP('Raw Data'!A4914,References!#REF!,2,FALSE),(VLOOKUP($S4914,References!$B$3:$C$8,2,FALSE))),"")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0"/>
        <v>0</v>
      </c>
      <c r="T4915" s="98">
        <f t="shared" si="219"/>
        <v>0</v>
      </c>
      <c r="U4915" s="99" t="str">
        <f>IFERROR(IF(#REF!="S",VLOOKUP('Raw Data'!A4915,References!#REF!,2,FALSE),(VLOOKUP($S4915,References!$B$3:$C$8,2,FALSE))),"")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0"/>
        <v>0</v>
      </c>
      <c r="T4916" s="98">
        <f t="shared" si="219"/>
        <v>0</v>
      </c>
      <c r="U4916" s="99" t="str">
        <f>IFERROR(IF(#REF!="S",VLOOKUP('Raw Data'!A4916,References!#REF!,2,FALSE),(VLOOKUP($S4916,References!$B$3:$C$8,2,FALSE))),"")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0"/>
        <v>0</v>
      </c>
      <c r="T4917" s="98">
        <f t="shared" si="219"/>
        <v>0</v>
      </c>
      <c r="U4917" s="99" t="str">
        <f>IFERROR(IF(#REF!="S",VLOOKUP('Raw Data'!A4917,References!#REF!,2,FALSE),(VLOOKUP($S4917,References!$B$3:$C$8,2,FALSE))),"")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0"/>
        <v>0</v>
      </c>
      <c r="T4918" s="98">
        <f t="shared" si="219"/>
        <v>0</v>
      </c>
      <c r="U4918" s="99" t="str">
        <f>IFERROR(IF(#REF!="S",VLOOKUP('Raw Data'!A4918,References!#REF!,2,FALSE),(VLOOKUP($S4918,References!$B$3:$C$8,2,FALSE))),"")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0"/>
        <v>0</v>
      </c>
      <c r="T4919" s="98">
        <f t="shared" si="219"/>
        <v>0</v>
      </c>
      <c r="U4919" s="99" t="str">
        <f>IFERROR(IF(#REF!="S",VLOOKUP('Raw Data'!A4919,References!#REF!,2,FALSE),(VLOOKUP($S4919,References!$B$3:$C$8,2,FALSE))),"")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0"/>
        <v>0</v>
      </c>
      <c r="T4920" s="98">
        <f t="shared" si="219"/>
        <v>0</v>
      </c>
      <c r="U4920" s="99" t="str">
        <f>IFERROR(IF(#REF!="S",VLOOKUP('Raw Data'!A4920,References!#REF!,2,FALSE),(VLOOKUP($S4920,References!$B$3:$C$8,2,FALSE))),"")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0"/>
        <v>0</v>
      </c>
      <c r="T4921" s="98">
        <f t="shared" si="219"/>
        <v>0</v>
      </c>
      <c r="U4921" s="99" t="str">
        <f>IFERROR(IF(#REF!="S",VLOOKUP('Raw Data'!A4921,References!#REF!,2,FALSE),(VLOOKUP($S4921,References!$B$3:$C$8,2,FALSE))),"")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0"/>
        <v>0</v>
      </c>
      <c r="T4922" s="98">
        <f t="shared" si="219"/>
        <v>0</v>
      </c>
      <c r="U4922" s="99" t="str">
        <f>IFERROR(IF(#REF!="S",VLOOKUP('Raw Data'!A4922,References!#REF!,2,FALSE),(VLOOKUP($S4922,References!$B$3:$C$8,2,FALSE))),"")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0"/>
        <v>0</v>
      </c>
      <c r="T4923" s="98">
        <f t="shared" si="219"/>
        <v>0</v>
      </c>
      <c r="U4923" s="99" t="str">
        <f>IFERROR(IF(#REF!="S",VLOOKUP('Raw Data'!A4923,References!#REF!,2,FALSE),(VLOOKUP($S4923,References!$B$3:$C$8,2,FALSE))),"")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0"/>
        <v>0</v>
      </c>
      <c r="T4924" s="98">
        <f t="shared" si="219"/>
        <v>0</v>
      </c>
      <c r="U4924" s="99" t="str">
        <f>IFERROR(IF(#REF!="S",VLOOKUP('Raw Data'!A4924,References!#REF!,2,FALSE),(VLOOKUP($S4924,References!$B$3:$C$8,2,FALSE))),"")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0"/>
        <v>0</v>
      </c>
      <c r="T4925" s="98">
        <f t="shared" si="219"/>
        <v>0</v>
      </c>
      <c r="U4925" s="99" t="str">
        <f>IFERROR(IF(#REF!="S",VLOOKUP('Raw Data'!A4925,References!#REF!,2,FALSE),(VLOOKUP($S4925,References!$B$3:$C$8,2,FALSE))),"")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0"/>
        <v>0</v>
      </c>
      <c r="T4926" s="98">
        <f t="shared" si="219"/>
        <v>0</v>
      </c>
      <c r="U4926" s="99" t="str">
        <f>IFERROR(IF(#REF!="S",VLOOKUP('Raw Data'!A4926,References!#REF!,2,FALSE),(VLOOKUP($S4926,References!$B$3:$C$8,2,FALSE))),"")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0"/>
        <v>0</v>
      </c>
      <c r="T4927" s="98">
        <f t="shared" si="219"/>
        <v>0</v>
      </c>
      <c r="U4927" s="99" t="str">
        <f>IFERROR(IF(#REF!="S",VLOOKUP('Raw Data'!A4927,References!#REF!,2,FALSE),(VLOOKUP($S4927,References!$B$3:$C$8,2,FALSE))),"")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0"/>
        <v>0</v>
      </c>
      <c r="T4928" s="98">
        <f t="shared" si="219"/>
        <v>0</v>
      </c>
      <c r="U4928" s="99" t="str">
        <f>IFERROR(IF(#REF!="S",VLOOKUP('Raw Data'!A4928,References!#REF!,2,FALSE),(VLOOKUP($S4928,References!$B$3:$C$8,2,FALSE))),"")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0"/>
        <v>0</v>
      </c>
      <c r="T4929" s="98">
        <f t="shared" si="219"/>
        <v>0</v>
      </c>
      <c r="U4929" s="99" t="str">
        <f>IFERROR(IF(#REF!="S",VLOOKUP('Raw Data'!A4929,References!#REF!,2,FALSE),(VLOOKUP($S4929,References!$B$3:$C$8,2,FALSE))),"")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0"/>
        <v>0</v>
      </c>
      <c r="T4930" s="98">
        <f t="shared" si="219"/>
        <v>0</v>
      </c>
      <c r="U4930" s="99" t="str">
        <f>IFERROR(IF(#REF!="S",VLOOKUP('Raw Data'!A4930,References!#REF!,2,FALSE),(VLOOKUP($S4930,References!$B$3:$C$8,2,FALSE))),"")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0"/>
        <v>0</v>
      </c>
      <c r="T4931" s="98">
        <f t="shared" si="219"/>
        <v>0</v>
      </c>
      <c r="U4931" s="99" t="str">
        <f>IFERROR(IF(#REF!="S",VLOOKUP('Raw Data'!A4931,References!#REF!,2,FALSE),(VLOOKUP($S4931,References!$B$3:$C$8,2,FALSE))),"")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0"/>
        <v>0</v>
      </c>
      <c r="T4932" s="98">
        <f t="shared" si="219"/>
        <v>0</v>
      </c>
      <c r="U4932" s="99" t="str">
        <f>IFERROR(IF(#REF!="S",VLOOKUP('Raw Data'!A4932,References!#REF!,2,FALSE),(VLOOKUP($S4932,References!$B$3:$C$8,2,FALSE))),"")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0"/>
        <v>0</v>
      </c>
      <c r="T4933" s="98">
        <f t="shared" si="219"/>
        <v>0</v>
      </c>
      <c r="U4933" s="99" t="str">
        <f>IFERROR(IF(#REF!="S",VLOOKUP('Raw Data'!A4933,References!#REF!,2,FALSE),(VLOOKUP($S4933,References!$B$3:$C$8,2,FALSE))),"")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0"/>
        <v>0</v>
      </c>
      <c r="T4934" s="98">
        <f t="shared" si="219"/>
        <v>0</v>
      </c>
      <c r="U4934" s="99" t="str">
        <f>IFERROR(IF(#REF!="S",VLOOKUP('Raw Data'!A4934,References!#REF!,2,FALSE),(VLOOKUP($S4934,References!$B$3:$C$8,2,FALSE))),"")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0"/>
        <v>0</v>
      </c>
      <c r="T4935" s="98">
        <f t="shared" si="219"/>
        <v>0</v>
      </c>
      <c r="U4935" s="99" t="str">
        <f>IFERROR(IF(#REF!="S",VLOOKUP('Raw Data'!A4935,References!#REF!,2,FALSE),(VLOOKUP($S4935,References!$B$3:$C$8,2,FALSE))),"")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0"/>
        <v>0</v>
      </c>
      <c r="T4936" s="98">
        <f t="shared" si="219"/>
        <v>0</v>
      </c>
      <c r="U4936" s="99" t="str">
        <f>IFERROR(IF(#REF!="S",VLOOKUP('Raw Data'!A4936,References!#REF!,2,FALSE),(VLOOKUP($S4936,References!$B$3:$C$8,2,FALSE))),"")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0"/>
        <v>0</v>
      </c>
      <c r="T4937" s="98">
        <f t="shared" si="219"/>
        <v>0</v>
      </c>
      <c r="U4937" s="99" t="str">
        <f>IFERROR(IF(#REF!="S",VLOOKUP('Raw Data'!A4937,References!#REF!,2,FALSE),(VLOOKUP($S4937,References!$B$3:$C$8,2,FALSE))),"")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0"/>
        <v>0</v>
      </c>
      <c r="T4938" s="98">
        <f t="shared" si="219"/>
        <v>0</v>
      </c>
      <c r="U4938" s="99" t="str">
        <f>IFERROR(IF(#REF!="S",VLOOKUP('Raw Data'!A4938,References!#REF!,2,FALSE),(VLOOKUP($S4938,References!$B$3:$C$8,2,FALSE))),"")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0"/>
        <v>0</v>
      </c>
      <c r="T4939" s="98">
        <f t="shared" si="219"/>
        <v>0</v>
      </c>
      <c r="U4939" s="99" t="str">
        <f>IFERROR(IF(#REF!="S",VLOOKUP('Raw Data'!A4939,References!#REF!,2,FALSE),(VLOOKUP($S4939,References!$B$3:$C$8,2,FALSE))),"")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0"/>
        <v>0</v>
      </c>
      <c r="T4940" s="98">
        <f t="shared" si="219"/>
        <v>0</v>
      </c>
      <c r="U4940" s="99" t="str">
        <f>IFERROR(IF(#REF!="S",VLOOKUP('Raw Data'!A4940,References!#REF!,2,FALSE),(VLOOKUP($S4940,References!$B$3:$C$8,2,FALSE))),"")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0"/>
        <v>0</v>
      </c>
      <c r="T4941" s="98">
        <f t="shared" si="219"/>
        <v>0</v>
      </c>
      <c r="U4941" s="99" t="str">
        <f>IFERROR(IF(#REF!="S",VLOOKUP('Raw Data'!A4941,References!#REF!,2,FALSE),(VLOOKUP($S4941,References!$B$3:$C$8,2,FALSE))),"")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0"/>
        <v>0</v>
      </c>
      <c r="T4942" s="98">
        <f t="shared" si="219"/>
        <v>0</v>
      </c>
      <c r="U4942" s="99" t="str">
        <f>IFERROR(IF(#REF!="S",VLOOKUP('Raw Data'!A4942,References!#REF!,2,FALSE),(VLOOKUP($S4942,References!$B$3:$C$8,2,FALSE))),"")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0"/>
        <v>0</v>
      </c>
      <c r="T4943" s="98">
        <f t="shared" si="219"/>
        <v>0</v>
      </c>
      <c r="U4943" s="99" t="str">
        <f>IFERROR(IF(#REF!="S",VLOOKUP('Raw Data'!A4943,References!#REF!,2,FALSE),(VLOOKUP($S4943,References!$B$3:$C$8,2,FALSE))),"")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0"/>
        <v>0</v>
      </c>
      <c r="T4944" s="98">
        <f t="shared" ref="T4944:T5007" si="221">IF(S4944="50 - Cleaning Fee",1,HOUR($R4944)+MINUTE(R4944)/60)</f>
        <v>0</v>
      </c>
      <c r="U4944" s="99" t="str">
        <f>IFERROR(IF(#REF!="S",VLOOKUP('Raw Data'!A4944,References!#REF!,2,FALSE),(VLOOKUP($S4944,References!$B$3:$C$8,2,FALSE))),"")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0"/>
        <v>0</v>
      </c>
      <c r="T4945" s="98">
        <f t="shared" si="221"/>
        <v>0</v>
      </c>
      <c r="U4945" s="99" t="str">
        <f>IFERROR(IF(#REF!="S",VLOOKUP('Raw Data'!A4945,References!#REF!,2,FALSE),(VLOOKUP($S4945,References!$B$3:$C$8,2,FALSE))),"")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0"/>
        <v>0</v>
      </c>
      <c r="T4946" s="98">
        <f t="shared" si="221"/>
        <v>0</v>
      </c>
      <c r="U4946" s="99" t="str">
        <f>IFERROR(IF(#REF!="S",VLOOKUP('Raw Data'!A4946,References!#REF!,2,FALSE),(VLOOKUP($S4946,References!$B$3:$C$8,2,FALSE))),"")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0"/>
        <v>0</v>
      </c>
      <c r="T4947" s="98">
        <f t="shared" si="221"/>
        <v>0</v>
      </c>
      <c r="U4947" s="99" t="str">
        <f>IFERROR(IF(#REF!="S",VLOOKUP('Raw Data'!A4947,References!#REF!,2,FALSE),(VLOOKUP($S4947,References!$B$3:$C$8,2,FALSE))),"")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0"/>
        <v>0</v>
      </c>
      <c r="T4948" s="98">
        <f t="shared" si="221"/>
        <v>0</v>
      </c>
      <c r="U4948" s="99" t="str">
        <f>IFERROR(IF(#REF!="S",VLOOKUP('Raw Data'!A4948,References!#REF!,2,FALSE),(VLOOKUP($S4948,References!$B$3:$C$8,2,FALSE))),"")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0"/>
        <v>0</v>
      </c>
      <c r="T4949" s="98">
        <f t="shared" si="221"/>
        <v>0</v>
      </c>
      <c r="U4949" s="99" t="str">
        <f>IFERROR(IF(#REF!="S",VLOOKUP('Raw Data'!A4949,References!#REF!,2,FALSE),(VLOOKUP($S4949,References!$B$3:$C$8,2,FALSE))),"")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0"/>
        <v>0</v>
      </c>
      <c r="T4950" s="98">
        <f t="shared" si="221"/>
        <v>0</v>
      </c>
      <c r="U4950" s="99" t="str">
        <f>IFERROR(IF(#REF!="S",VLOOKUP('Raw Data'!A4950,References!#REF!,2,FALSE),(VLOOKUP($S4950,References!$B$3:$C$8,2,FALSE))),"")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0"/>
        <v>0</v>
      </c>
      <c r="T4951" s="98">
        <f t="shared" si="221"/>
        <v>0</v>
      </c>
      <c r="U4951" s="99" t="str">
        <f>IFERROR(IF(#REF!="S",VLOOKUP('Raw Data'!A4951,References!#REF!,2,FALSE),(VLOOKUP($S4951,References!$B$3:$C$8,2,FALSE))),"")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0"/>
        <v>0</v>
      </c>
      <c r="T4952" s="98">
        <f t="shared" si="221"/>
        <v>0</v>
      </c>
      <c r="U4952" s="99" t="str">
        <f>IFERROR(IF(#REF!="S",VLOOKUP('Raw Data'!A4952,References!#REF!,2,FALSE),(VLOOKUP($S4952,References!$B$3:$C$8,2,FALSE))),"")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0"/>
        <v>0</v>
      </c>
      <c r="T4953" s="98">
        <f t="shared" si="221"/>
        <v>0</v>
      </c>
      <c r="U4953" s="99" t="str">
        <f>IFERROR(IF(#REF!="S",VLOOKUP('Raw Data'!A4953,References!#REF!,2,FALSE),(VLOOKUP($S4953,References!$B$3:$C$8,2,FALSE))),"")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0"/>
        <v>0</v>
      </c>
      <c r="T4954" s="98">
        <f t="shared" si="221"/>
        <v>0</v>
      </c>
      <c r="U4954" s="99" t="str">
        <f>IFERROR(IF(#REF!="S",VLOOKUP('Raw Data'!A4954,References!#REF!,2,FALSE),(VLOOKUP($S4954,References!$B$3:$C$8,2,FALSE))),"")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0"/>
        <v>0</v>
      </c>
      <c r="T4955" s="98">
        <f t="shared" si="221"/>
        <v>0</v>
      </c>
      <c r="U4955" s="99" t="str">
        <f>IFERROR(IF(#REF!="S",VLOOKUP('Raw Data'!A4955,References!#REF!,2,FALSE),(VLOOKUP($S4955,References!$B$3:$C$8,2,FALSE))),"")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0"/>
        <v>0</v>
      </c>
      <c r="T4956" s="98">
        <f t="shared" si="221"/>
        <v>0</v>
      </c>
      <c r="U4956" s="99" t="str">
        <f>IFERROR(IF(#REF!="S",VLOOKUP('Raw Data'!A4956,References!#REF!,2,FALSE),(VLOOKUP($S4956,References!$B$3:$C$8,2,FALSE))),"")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0"/>
        <v>0</v>
      </c>
      <c r="T4957" s="98">
        <f t="shared" si="221"/>
        <v>0</v>
      </c>
      <c r="U4957" s="99" t="str">
        <f>IFERROR(IF(#REF!="S",VLOOKUP('Raw Data'!A4957,References!#REF!,2,FALSE),(VLOOKUP($S4957,References!$B$3:$C$8,2,FALSE))),"")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0"/>
        <v>0</v>
      </c>
      <c r="T4958" s="98">
        <f t="shared" si="221"/>
        <v>0</v>
      </c>
      <c r="U4958" s="99" t="str">
        <f>IFERROR(IF(#REF!="S",VLOOKUP('Raw Data'!A4958,References!#REF!,2,FALSE),(VLOOKUP($S4958,References!$B$3:$C$8,2,FALSE))),"")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0"/>
        <v>0</v>
      </c>
      <c r="T4959" s="98">
        <f t="shared" si="221"/>
        <v>0</v>
      </c>
      <c r="U4959" s="99" t="str">
        <f>IFERROR(IF(#REF!="S",VLOOKUP('Raw Data'!A4959,References!#REF!,2,FALSE),(VLOOKUP($S4959,References!$B$3:$C$8,2,FALSE))),"")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0"/>
        <v>0</v>
      </c>
      <c r="T4960" s="98">
        <f t="shared" si="221"/>
        <v>0</v>
      </c>
      <c r="U4960" s="99" t="str">
        <f>IFERROR(IF(#REF!="S",VLOOKUP('Raw Data'!A4960,References!#REF!,2,FALSE),(VLOOKUP($S4960,References!$B$3:$C$8,2,FALSE))),"")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0"/>
        <v>0</v>
      </c>
      <c r="T4961" s="98">
        <f t="shared" si="221"/>
        <v>0</v>
      </c>
      <c r="U4961" s="99" t="str">
        <f>IFERROR(IF(#REF!="S",VLOOKUP('Raw Data'!A4961,References!#REF!,2,FALSE),(VLOOKUP($S4961,References!$B$3:$C$8,2,FALSE))),"")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0"/>
        <v>0</v>
      </c>
      <c r="T4962" s="98">
        <f t="shared" si="221"/>
        <v>0</v>
      </c>
      <c r="U4962" s="99" t="str">
        <f>IFERROR(IF(#REF!="S",VLOOKUP('Raw Data'!A4962,References!#REF!,2,FALSE),(VLOOKUP($S4962,References!$B$3:$C$8,2,FALSE))),"")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0"/>
        <v>0</v>
      </c>
      <c r="T4963" s="98">
        <f t="shared" si="221"/>
        <v>0</v>
      </c>
      <c r="U4963" s="99" t="str">
        <f>IFERROR(IF(#REF!="S",VLOOKUP('Raw Data'!A4963,References!#REF!,2,FALSE),(VLOOKUP($S4963,References!$B$3:$C$8,2,FALSE))),"")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0"/>
        <v>0</v>
      </c>
      <c r="T4964" s="98">
        <f t="shared" si="221"/>
        <v>0</v>
      </c>
      <c r="U4964" s="99" t="str">
        <f>IFERROR(IF(#REF!="S",VLOOKUP('Raw Data'!A4964,References!#REF!,2,FALSE),(VLOOKUP($S4964,References!$B$3:$C$8,2,FALSE))),"")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0"/>
        <v>0</v>
      </c>
      <c r="T4965" s="98">
        <f t="shared" si="221"/>
        <v>0</v>
      </c>
      <c r="U4965" s="99" t="str">
        <f>IFERROR(IF(#REF!="S",VLOOKUP('Raw Data'!A4965,References!#REF!,2,FALSE),(VLOOKUP($S4965,References!$B$3:$C$8,2,FALSE))),"")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0"/>
        <v>0</v>
      </c>
      <c r="T4966" s="98">
        <f t="shared" si="221"/>
        <v>0</v>
      </c>
      <c r="U4966" s="99" t="str">
        <f>IFERROR(IF(#REF!="S",VLOOKUP('Raw Data'!A4966,References!#REF!,2,FALSE),(VLOOKUP($S4966,References!$B$3:$C$8,2,FALSE))),"")</f>
        <v/>
      </c>
      <c r="W4966" s="66" t="str">
        <f>IFERROR(VLOOKUP($O4966,'Customer List'!$A$1:$J$488,10,FALSE),"")</f>
        <v/>
      </c>
    </row>
    <row r="4967" spans="18:23">
      <c r="R4967" s="97">
        <f t="shared" si="220"/>
        <v>0</v>
      </c>
      <c r="T4967" s="98">
        <f t="shared" si="221"/>
        <v>0</v>
      </c>
      <c r="U4967" s="99" t="str">
        <f>IFERROR(IF(#REF!="S",VLOOKUP('Raw Data'!A4967,References!#REF!,2,FALSE),(VLOOKUP($S4967,References!$B$3:$C$8,2,FALSE))),"")</f>
        <v/>
      </c>
      <c r="W4967" s="66" t="str">
        <f>IFERROR(VLOOKUP($O4967,'Customer List'!$A$1:$J$488,10,FALSE),"")</f>
        <v/>
      </c>
    </row>
    <row r="4968" spans="18:23">
      <c r="R4968" s="97">
        <f t="shared" ref="R4968:R5031" si="222">L4968-K4968</f>
        <v>0</v>
      </c>
      <c r="T4968" s="98">
        <f t="shared" si="221"/>
        <v>0</v>
      </c>
      <c r="U4968" s="99" t="str">
        <f>IFERROR(IF(#REF!="S",VLOOKUP('Raw Data'!A4968,References!#REF!,2,FALSE),(VLOOKUP($S4968,References!$B$3:$C$8,2,FALSE))),"")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2"/>
        <v>0</v>
      </c>
      <c r="T4969" s="98">
        <f t="shared" si="221"/>
        <v>0</v>
      </c>
      <c r="U4969" s="99" t="str">
        <f>IFERROR(IF(#REF!="S",VLOOKUP('Raw Data'!A4969,References!#REF!,2,FALSE),(VLOOKUP($S4969,References!$B$3:$C$8,2,FALSE))),"")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2"/>
        <v>0</v>
      </c>
      <c r="T4970" s="98">
        <f t="shared" si="221"/>
        <v>0</v>
      </c>
      <c r="U4970" s="99" t="str">
        <f>IFERROR(IF(#REF!="S",VLOOKUP('Raw Data'!A4970,References!#REF!,2,FALSE),(VLOOKUP($S4970,References!$B$3:$C$8,2,FALSE))),"")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2"/>
        <v>0</v>
      </c>
      <c r="T4971" s="98">
        <f t="shared" si="221"/>
        <v>0</v>
      </c>
      <c r="U4971" s="99" t="str">
        <f>IFERROR(IF(#REF!="S",VLOOKUP('Raw Data'!A4971,References!#REF!,2,FALSE),(VLOOKUP($S4971,References!$B$3:$C$8,2,FALSE))),"")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2"/>
        <v>0</v>
      </c>
      <c r="T4972" s="98">
        <f t="shared" si="221"/>
        <v>0</v>
      </c>
      <c r="U4972" s="99" t="str">
        <f>IFERROR(IF(#REF!="S",VLOOKUP('Raw Data'!A4972,References!#REF!,2,FALSE),(VLOOKUP($S4972,References!$B$3:$C$8,2,FALSE))),"")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2"/>
        <v>0</v>
      </c>
      <c r="T4973" s="98">
        <f t="shared" si="221"/>
        <v>0</v>
      </c>
      <c r="U4973" s="99" t="str">
        <f>IFERROR(IF(#REF!="S",VLOOKUP('Raw Data'!A4973,References!#REF!,2,FALSE),(VLOOKUP($S4973,References!$B$3:$C$8,2,FALSE))),"")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2"/>
        <v>0</v>
      </c>
      <c r="T4974" s="98">
        <f t="shared" si="221"/>
        <v>0</v>
      </c>
      <c r="U4974" s="99" t="str">
        <f>IFERROR(IF(#REF!="S",VLOOKUP('Raw Data'!A4974,References!#REF!,2,FALSE),(VLOOKUP($S4974,References!$B$3:$C$8,2,FALSE))),"")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2"/>
        <v>0</v>
      </c>
      <c r="T4975" s="98">
        <f t="shared" si="221"/>
        <v>0</v>
      </c>
      <c r="U4975" s="99" t="str">
        <f>IFERROR(IF(#REF!="S",VLOOKUP('Raw Data'!A4975,References!#REF!,2,FALSE),(VLOOKUP($S4975,References!$B$3:$C$8,2,FALSE))),"")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2"/>
        <v>0</v>
      </c>
      <c r="T4976" s="98">
        <f t="shared" si="221"/>
        <v>0</v>
      </c>
      <c r="U4976" s="99" t="str">
        <f>IFERROR(IF(#REF!="S",VLOOKUP('Raw Data'!A4976,References!#REF!,2,FALSE),(VLOOKUP($S4976,References!$B$3:$C$8,2,FALSE))),"")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2"/>
        <v>0</v>
      </c>
      <c r="T4977" s="98">
        <f t="shared" si="221"/>
        <v>0</v>
      </c>
      <c r="U4977" s="99" t="str">
        <f>IFERROR(IF(#REF!="S",VLOOKUP('Raw Data'!A4977,References!#REF!,2,FALSE),(VLOOKUP($S4977,References!$B$3:$C$8,2,FALSE))),"")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2"/>
        <v>0</v>
      </c>
      <c r="T4978" s="98">
        <f t="shared" si="221"/>
        <v>0</v>
      </c>
      <c r="U4978" s="99" t="str">
        <f>IFERROR(IF(#REF!="S",VLOOKUP('Raw Data'!A4978,References!#REF!,2,FALSE),(VLOOKUP($S4978,References!$B$3:$C$8,2,FALSE))),"")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2"/>
        <v>0</v>
      </c>
      <c r="T4979" s="98">
        <f t="shared" si="221"/>
        <v>0</v>
      </c>
      <c r="U4979" s="99" t="str">
        <f>IFERROR(IF(#REF!="S",VLOOKUP('Raw Data'!A4979,References!#REF!,2,FALSE),(VLOOKUP($S4979,References!$B$3:$C$8,2,FALSE))),"")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2"/>
        <v>0</v>
      </c>
      <c r="T4980" s="98">
        <f t="shared" si="221"/>
        <v>0</v>
      </c>
      <c r="U4980" s="99" t="str">
        <f>IFERROR(IF(#REF!="S",VLOOKUP('Raw Data'!A4980,References!#REF!,2,FALSE),(VLOOKUP($S4980,References!$B$3:$C$8,2,FALSE))),"")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2"/>
        <v>0</v>
      </c>
      <c r="T4981" s="98">
        <f t="shared" si="221"/>
        <v>0</v>
      </c>
      <c r="U4981" s="99" t="str">
        <f>IFERROR(IF(#REF!="S",VLOOKUP('Raw Data'!A4981,References!#REF!,2,FALSE),(VLOOKUP($S4981,References!$B$3:$C$8,2,FALSE))),"")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2"/>
        <v>0</v>
      </c>
      <c r="T4982" s="98">
        <f t="shared" si="221"/>
        <v>0</v>
      </c>
      <c r="U4982" s="99" t="str">
        <f>IFERROR(IF(#REF!="S",VLOOKUP('Raw Data'!A4982,References!#REF!,2,FALSE),(VLOOKUP($S4982,References!$B$3:$C$8,2,FALSE))),"")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2"/>
        <v>0</v>
      </c>
      <c r="T4983" s="98">
        <f t="shared" si="221"/>
        <v>0</v>
      </c>
      <c r="U4983" s="99" t="str">
        <f>IFERROR(IF(#REF!="S",VLOOKUP('Raw Data'!A4983,References!#REF!,2,FALSE),(VLOOKUP($S4983,References!$B$3:$C$8,2,FALSE))),"")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2"/>
        <v>0</v>
      </c>
      <c r="T4984" s="98">
        <f t="shared" si="221"/>
        <v>0</v>
      </c>
      <c r="U4984" s="99" t="str">
        <f>IFERROR(IF(#REF!="S",VLOOKUP('Raw Data'!A4984,References!#REF!,2,FALSE),(VLOOKUP($S4984,References!$B$3:$C$8,2,FALSE))),"")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2"/>
        <v>0</v>
      </c>
      <c r="T4985" s="98">
        <f t="shared" si="221"/>
        <v>0</v>
      </c>
      <c r="U4985" s="99" t="str">
        <f>IFERROR(IF(#REF!="S",VLOOKUP('Raw Data'!A4985,References!#REF!,2,FALSE),(VLOOKUP($S4985,References!$B$3:$C$8,2,FALSE))),"")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2"/>
        <v>0</v>
      </c>
      <c r="T4986" s="98">
        <f t="shared" si="221"/>
        <v>0</v>
      </c>
      <c r="U4986" s="99" t="str">
        <f>IFERROR(IF(#REF!="S",VLOOKUP('Raw Data'!A4986,References!#REF!,2,FALSE),(VLOOKUP($S4986,References!$B$3:$C$8,2,FALSE))),"")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2"/>
        <v>0</v>
      </c>
      <c r="T4987" s="98">
        <f t="shared" si="221"/>
        <v>0</v>
      </c>
      <c r="U4987" s="99" t="str">
        <f>IFERROR(IF(#REF!="S",VLOOKUP('Raw Data'!A4987,References!#REF!,2,FALSE),(VLOOKUP($S4987,References!$B$3:$C$8,2,FALSE))),"")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2"/>
        <v>0</v>
      </c>
      <c r="T4988" s="98">
        <f t="shared" si="221"/>
        <v>0</v>
      </c>
      <c r="U4988" s="99" t="str">
        <f>IFERROR(IF(#REF!="S",VLOOKUP('Raw Data'!A4988,References!#REF!,2,FALSE),(VLOOKUP($S4988,References!$B$3:$C$8,2,FALSE))),"")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2"/>
        <v>0</v>
      </c>
      <c r="T4989" s="98">
        <f t="shared" si="221"/>
        <v>0</v>
      </c>
      <c r="U4989" s="99" t="str">
        <f>IFERROR(IF(#REF!="S",VLOOKUP('Raw Data'!A4989,References!#REF!,2,FALSE),(VLOOKUP($S4989,References!$B$3:$C$8,2,FALSE))),"")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2"/>
        <v>0</v>
      </c>
      <c r="T4990" s="98">
        <f t="shared" si="221"/>
        <v>0</v>
      </c>
      <c r="U4990" s="99" t="str">
        <f>IFERROR(IF(#REF!="S",VLOOKUP('Raw Data'!A4990,References!#REF!,2,FALSE),(VLOOKUP($S4990,References!$B$3:$C$8,2,FALSE))),"")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2"/>
        <v>0</v>
      </c>
      <c r="T4991" s="98">
        <f t="shared" si="221"/>
        <v>0</v>
      </c>
      <c r="U4991" s="99" t="str">
        <f>IFERROR(IF(#REF!="S",VLOOKUP('Raw Data'!A4991,References!#REF!,2,FALSE),(VLOOKUP($S4991,References!$B$3:$C$8,2,FALSE))),"")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2"/>
        <v>0</v>
      </c>
      <c r="T4992" s="98">
        <f t="shared" si="221"/>
        <v>0</v>
      </c>
      <c r="U4992" s="99" t="str">
        <f>IFERROR(IF(#REF!="S",VLOOKUP('Raw Data'!A4992,References!#REF!,2,FALSE),(VLOOKUP($S4992,References!$B$3:$C$8,2,FALSE))),"")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2"/>
        <v>0</v>
      </c>
      <c r="T4993" s="98">
        <f t="shared" si="221"/>
        <v>0</v>
      </c>
      <c r="U4993" s="99" t="str">
        <f>IFERROR(IF(#REF!="S",VLOOKUP('Raw Data'!A4993,References!#REF!,2,FALSE),(VLOOKUP($S4993,References!$B$3:$C$8,2,FALSE))),"")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2"/>
        <v>0</v>
      </c>
      <c r="T4994" s="98">
        <f t="shared" si="221"/>
        <v>0</v>
      </c>
      <c r="U4994" s="99" t="str">
        <f>IFERROR(IF(#REF!="S",VLOOKUP('Raw Data'!A4994,References!#REF!,2,FALSE),(VLOOKUP($S4994,References!$B$3:$C$8,2,FALSE))),"")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2"/>
        <v>0</v>
      </c>
      <c r="T4995" s="98">
        <f t="shared" si="221"/>
        <v>0</v>
      </c>
      <c r="U4995" s="99" t="str">
        <f>IFERROR(IF(#REF!="S",VLOOKUP('Raw Data'!A4995,References!#REF!,2,FALSE),(VLOOKUP($S4995,References!$B$3:$C$8,2,FALSE))),"")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2"/>
        <v>0</v>
      </c>
      <c r="T4996" s="98">
        <f t="shared" si="221"/>
        <v>0</v>
      </c>
      <c r="U4996" s="99" t="str">
        <f>IFERROR(IF(#REF!="S",VLOOKUP('Raw Data'!A4996,References!#REF!,2,FALSE),(VLOOKUP($S4996,References!$B$3:$C$8,2,FALSE))),"")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2"/>
        <v>0</v>
      </c>
      <c r="T4997" s="98">
        <f t="shared" si="221"/>
        <v>0</v>
      </c>
      <c r="U4997" s="99" t="str">
        <f>IFERROR(IF(#REF!="S",VLOOKUP('Raw Data'!A4997,References!#REF!,2,FALSE),(VLOOKUP($S4997,References!$B$3:$C$8,2,FALSE))),"")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2"/>
        <v>0</v>
      </c>
      <c r="T4998" s="98">
        <f t="shared" si="221"/>
        <v>0</v>
      </c>
      <c r="U4998" s="99" t="str">
        <f>IFERROR(IF(#REF!="S",VLOOKUP('Raw Data'!A4998,References!#REF!,2,FALSE),(VLOOKUP($S4998,References!$B$3:$C$8,2,FALSE))),"")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2"/>
        <v>0</v>
      </c>
      <c r="T4999" s="98">
        <f t="shared" si="221"/>
        <v>0</v>
      </c>
      <c r="U4999" s="99" t="str">
        <f>IFERROR(IF(#REF!="S",VLOOKUP('Raw Data'!A4999,References!#REF!,2,FALSE),(VLOOKUP($S4999,References!$B$3:$C$8,2,FALSE))),"")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2"/>
        <v>0</v>
      </c>
      <c r="T5000" s="98">
        <f t="shared" si="221"/>
        <v>0</v>
      </c>
      <c r="U5000" s="99" t="str">
        <f>IFERROR(IF(#REF!="S",VLOOKUP('Raw Data'!A5000,References!#REF!,2,FALSE),(VLOOKUP($S5000,References!$B$3:$C$8,2,FALSE))),"")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2"/>
        <v>0</v>
      </c>
      <c r="T5001" s="98">
        <f t="shared" si="221"/>
        <v>0</v>
      </c>
      <c r="U5001" s="99" t="str">
        <f>IFERROR(IF(#REF!="S",VLOOKUP('Raw Data'!A5001,References!#REF!,2,FALSE),(VLOOKUP($S5001,References!$B$3:$C$8,2,FALSE))),"")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2"/>
        <v>0</v>
      </c>
      <c r="T5002" s="98">
        <f t="shared" si="221"/>
        <v>0</v>
      </c>
      <c r="U5002" s="99" t="str">
        <f>IFERROR(IF(#REF!="S",VLOOKUP('Raw Data'!A5002,References!#REF!,2,FALSE),(VLOOKUP($S5002,References!$B$3:$C$8,2,FALSE))),"")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2"/>
        <v>0</v>
      </c>
      <c r="T5003" s="98">
        <f t="shared" si="221"/>
        <v>0</v>
      </c>
      <c r="U5003" s="99" t="str">
        <f>IFERROR(IF(#REF!="S",VLOOKUP('Raw Data'!A5003,References!#REF!,2,FALSE),(VLOOKUP($S5003,References!$B$3:$C$8,2,FALSE))),"")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2"/>
        <v>0</v>
      </c>
      <c r="T5004" s="98">
        <f t="shared" si="221"/>
        <v>0</v>
      </c>
      <c r="U5004" s="99" t="str">
        <f>IFERROR(IF(#REF!="S",VLOOKUP('Raw Data'!A5004,References!#REF!,2,FALSE),(VLOOKUP($S5004,References!$B$3:$C$8,2,FALSE))),"")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2"/>
        <v>0</v>
      </c>
      <c r="T5005" s="98">
        <f t="shared" si="221"/>
        <v>0</v>
      </c>
      <c r="U5005" s="99" t="str">
        <f>IFERROR(IF(#REF!="S",VLOOKUP('Raw Data'!A5005,References!#REF!,2,FALSE),(VLOOKUP($S5005,References!$B$3:$C$8,2,FALSE))),"")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2"/>
        <v>0</v>
      </c>
      <c r="T5006" s="98">
        <f t="shared" si="221"/>
        <v>0</v>
      </c>
      <c r="U5006" s="99" t="str">
        <f>IFERROR(IF(#REF!="S",VLOOKUP('Raw Data'!A5006,References!#REF!,2,FALSE),(VLOOKUP($S5006,References!$B$3:$C$8,2,FALSE))),"")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2"/>
        <v>0</v>
      </c>
      <c r="T5007" s="98">
        <f t="shared" si="221"/>
        <v>0</v>
      </c>
      <c r="U5007" s="99" t="str">
        <f>IFERROR(IF(#REF!="S",VLOOKUP('Raw Data'!A5007,References!#REF!,2,FALSE),(VLOOKUP($S5007,References!$B$3:$C$8,2,FALSE))),"")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2"/>
        <v>0</v>
      </c>
      <c r="T5008" s="98">
        <f t="shared" ref="T5008:T5071" si="223">IF(S5008="50 - Cleaning Fee",1,HOUR($R5008)+MINUTE(R5008)/60)</f>
        <v>0</v>
      </c>
      <c r="U5008" s="99" t="str">
        <f>IFERROR(IF(#REF!="S",VLOOKUP('Raw Data'!A5008,References!#REF!,2,FALSE),(VLOOKUP($S5008,References!$B$3:$C$8,2,FALSE))),"")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2"/>
        <v>0</v>
      </c>
      <c r="T5009" s="98">
        <f t="shared" si="223"/>
        <v>0</v>
      </c>
      <c r="U5009" s="99" t="str">
        <f>IFERROR(IF(#REF!="S",VLOOKUP('Raw Data'!A5009,References!#REF!,2,FALSE),(VLOOKUP($S5009,References!$B$3:$C$8,2,FALSE))),"")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2"/>
        <v>0</v>
      </c>
      <c r="T5010" s="98">
        <f t="shared" si="223"/>
        <v>0</v>
      </c>
      <c r="U5010" s="99" t="str">
        <f>IFERROR(IF(#REF!="S",VLOOKUP('Raw Data'!A5010,References!#REF!,2,FALSE),(VLOOKUP($S5010,References!$B$3:$C$8,2,FALSE))),"")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2"/>
        <v>0</v>
      </c>
      <c r="T5011" s="98">
        <f t="shared" si="223"/>
        <v>0</v>
      </c>
      <c r="U5011" s="99" t="str">
        <f>IFERROR(IF(#REF!="S",VLOOKUP('Raw Data'!A5011,References!#REF!,2,FALSE),(VLOOKUP($S5011,References!$B$3:$C$8,2,FALSE))),"")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2"/>
        <v>0</v>
      </c>
      <c r="T5012" s="98">
        <f t="shared" si="223"/>
        <v>0</v>
      </c>
      <c r="U5012" s="99" t="str">
        <f>IFERROR(IF(#REF!="S",VLOOKUP('Raw Data'!A5012,References!#REF!,2,FALSE),(VLOOKUP($S5012,References!$B$3:$C$8,2,FALSE))),"")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2"/>
        <v>0</v>
      </c>
      <c r="T5013" s="98">
        <f t="shared" si="223"/>
        <v>0</v>
      </c>
      <c r="U5013" s="99" t="str">
        <f>IFERROR(IF(#REF!="S",VLOOKUP('Raw Data'!A5013,References!#REF!,2,FALSE),(VLOOKUP($S5013,References!$B$3:$C$8,2,FALSE))),"")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2"/>
        <v>0</v>
      </c>
      <c r="T5014" s="98">
        <f t="shared" si="223"/>
        <v>0</v>
      </c>
      <c r="U5014" s="99" t="str">
        <f>IFERROR(IF(#REF!="S",VLOOKUP('Raw Data'!A5014,References!#REF!,2,FALSE),(VLOOKUP($S5014,References!$B$3:$C$8,2,FALSE))),"")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2"/>
        <v>0</v>
      </c>
      <c r="T5015" s="98">
        <f t="shared" si="223"/>
        <v>0</v>
      </c>
      <c r="U5015" s="99" t="str">
        <f>IFERROR(IF(#REF!="S",VLOOKUP('Raw Data'!A5015,References!#REF!,2,FALSE),(VLOOKUP($S5015,References!$B$3:$C$8,2,FALSE))),"")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2"/>
        <v>0</v>
      </c>
      <c r="T5016" s="98">
        <f t="shared" si="223"/>
        <v>0</v>
      </c>
      <c r="U5016" s="99" t="str">
        <f>IFERROR(IF(#REF!="S",VLOOKUP('Raw Data'!A5016,References!#REF!,2,FALSE),(VLOOKUP($S5016,References!$B$3:$C$8,2,FALSE))),"")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2"/>
        <v>0</v>
      </c>
      <c r="T5017" s="98">
        <f t="shared" si="223"/>
        <v>0</v>
      </c>
      <c r="U5017" s="99" t="str">
        <f>IFERROR(IF(#REF!="S",VLOOKUP('Raw Data'!A5017,References!#REF!,2,FALSE),(VLOOKUP($S5017,References!$B$3:$C$8,2,FALSE))),"")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2"/>
        <v>0</v>
      </c>
      <c r="T5018" s="98">
        <f t="shared" si="223"/>
        <v>0</v>
      </c>
      <c r="U5018" s="99" t="str">
        <f>IFERROR(IF(#REF!="S",VLOOKUP('Raw Data'!A5018,References!#REF!,2,FALSE),(VLOOKUP($S5018,References!$B$3:$C$8,2,FALSE))),"")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2"/>
        <v>0</v>
      </c>
      <c r="T5019" s="98">
        <f t="shared" si="223"/>
        <v>0</v>
      </c>
      <c r="U5019" s="99" t="str">
        <f>IFERROR(IF(#REF!="S",VLOOKUP('Raw Data'!A5019,References!#REF!,2,FALSE),(VLOOKUP($S5019,References!$B$3:$C$8,2,FALSE))),"")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2"/>
        <v>0</v>
      </c>
      <c r="T5020" s="98">
        <f t="shared" si="223"/>
        <v>0</v>
      </c>
      <c r="U5020" s="99" t="str">
        <f>IFERROR(IF(#REF!="S",VLOOKUP('Raw Data'!A5020,References!#REF!,2,FALSE),(VLOOKUP($S5020,References!$B$3:$C$8,2,FALSE))),"")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2"/>
        <v>0</v>
      </c>
      <c r="T5021" s="98">
        <f t="shared" si="223"/>
        <v>0</v>
      </c>
      <c r="U5021" s="99" t="str">
        <f>IFERROR(IF(#REF!="S",VLOOKUP('Raw Data'!A5021,References!#REF!,2,FALSE),(VLOOKUP($S5021,References!$B$3:$C$8,2,FALSE))),"")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2"/>
        <v>0</v>
      </c>
      <c r="T5022" s="98">
        <f t="shared" si="223"/>
        <v>0</v>
      </c>
      <c r="U5022" s="99" t="str">
        <f>IFERROR(IF(#REF!="S",VLOOKUP('Raw Data'!A5022,References!#REF!,2,FALSE),(VLOOKUP($S5022,References!$B$3:$C$8,2,FALSE))),"")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2"/>
        <v>0</v>
      </c>
      <c r="T5023" s="98">
        <f t="shared" si="223"/>
        <v>0</v>
      </c>
      <c r="U5023" s="99" t="str">
        <f>IFERROR(IF(#REF!="S",VLOOKUP('Raw Data'!A5023,References!#REF!,2,FALSE),(VLOOKUP($S5023,References!$B$3:$C$8,2,FALSE))),"")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2"/>
        <v>0</v>
      </c>
      <c r="T5024" s="98">
        <f t="shared" si="223"/>
        <v>0</v>
      </c>
      <c r="U5024" s="99" t="str">
        <f>IFERROR(IF(#REF!="S",VLOOKUP('Raw Data'!A5024,References!#REF!,2,FALSE),(VLOOKUP($S5024,References!$B$3:$C$8,2,FALSE))),"")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2"/>
        <v>0</v>
      </c>
      <c r="T5025" s="98">
        <f t="shared" si="223"/>
        <v>0</v>
      </c>
      <c r="U5025" s="99" t="str">
        <f>IFERROR(IF(#REF!="S",VLOOKUP('Raw Data'!A5025,References!#REF!,2,FALSE),(VLOOKUP($S5025,References!$B$3:$C$8,2,FALSE))),"")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2"/>
        <v>0</v>
      </c>
      <c r="T5026" s="98">
        <f t="shared" si="223"/>
        <v>0</v>
      </c>
      <c r="U5026" s="99" t="str">
        <f>IFERROR(IF(#REF!="S",VLOOKUP('Raw Data'!A5026,References!#REF!,2,FALSE),(VLOOKUP($S5026,References!$B$3:$C$8,2,FALSE))),"")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2"/>
        <v>0</v>
      </c>
      <c r="T5027" s="98">
        <f t="shared" si="223"/>
        <v>0</v>
      </c>
      <c r="U5027" s="99" t="str">
        <f>IFERROR(IF(#REF!="S",VLOOKUP('Raw Data'!A5027,References!#REF!,2,FALSE),(VLOOKUP($S5027,References!$B$3:$C$8,2,FALSE))),"")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2"/>
        <v>0</v>
      </c>
      <c r="T5028" s="98">
        <f t="shared" si="223"/>
        <v>0</v>
      </c>
      <c r="U5028" s="99" t="str">
        <f>IFERROR(IF(#REF!="S",VLOOKUP('Raw Data'!A5028,References!#REF!,2,FALSE),(VLOOKUP($S5028,References!$B$3:$C$8,2,FALSE))),"")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2"/>
        <v>0</v>
      </c>
      <c r="T5029" s="98">
        <f t="shared" si="223"/>
        <v>0</v>
      </c>
      <c r="U5029" s="99" t="str">
        <f>IFERROR(IF(#REF!="S",VLOOKUP('Raw Data'!A5029,References!#REF!,2,FALSE),(VLOOKUP($S5029,References!$B$3:$C$8,2,FALSE))),"")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2"/>
        <v>0</v>
      </c>
      <c r="T5030" s="98">
        <f t="shared" si="223"/>
        <v>0</v>
      </c>
      <c r="U5030" s="99" t="str">
        <f>IFERROR(IF(#REF!="S",VLOOKUP('Raw Data'!A5030,References!#REF!,2,FALSE),(VLOOKUP($S5030,References!$B$3:$C$8,2,FALSE))),"")</f>
        <v/>
      </c>
      <c r="W5030" s="66" t="str">
        <f>IFERROR(VLOOKUP($O5030,'Customer List'!$A$1:$J$488,10,FALSE),"")</f>
        <v/>
      </c>
    </row>
    <row r="5031" spans="18:23">
      <c r="R5031" s="97">
        <f t="shared" si="222"/>
        <v>0</v>
      </c>
      <c r="T5031" s="98">
        <f t="shared" si="223"/>
        <v>0</v>
      </c>
      <c r="U5031" s="99" t="str">
        <f>IFERROR(IF(#REF!="S",VLOOKUP('Raw Data'!A5031,References!#REF!,2,FALSE),(VLOOKUP($S5031,References!$B$3:$C$8,2,FALSE))),"")</f>
        <v/>
      </c>
      <c r="W5031" s="66" t="str">
        <f>IFERROR(VLOOKUP($O5031,'Customer List'!$A$1:$J$488,10,FALSE),"")</f>
        <v/>
      </c>
    </row>
    <row r="5032" spans="18:23">
      <c r="R5032" s="97">
        <f t="shared" ref="R5032:R5095" si="224">L5032-K5032</f>
        <v>0</v>
      </c>
      <c r="T5032" s="98">
        <f t="shared" si="223"/>
        <v>0</v>
      </c>
      <c r="U5032" s="99" t="str">
        <f>IFERROR(IF(#REF!="S",VLOOKUP('Raw Data'!A5032,References!#REF!,2,FALSE),(VLOOKUP($S5032,References!$B$3:$C$8,2,FALSE))),"")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4"/>
        <v>0</v>
      </c>
      <c r="T5033" s="98">
        <f t="shared" si="223"/>
        <v>0</v>
      </c>
      <c r="U5033" s="99" t="str">
        <f>IFERROR(IF(#REF!="S",VLOOKUP('Raw Data'!A5033,References!#REF!,2,FALSE),(VLOOKUP($S5033,References!$B$3:$C$8,2,FALSE))),"")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4"/>
        <v>0</v>
      </c>
      <c r="T5034" s="98">
        <f t="shared" si="223"/>
        <v>0</v>
      </c>
      <c r="U5034" s="99" t="str">
        <f>IFERROR(IF(#REF!="S",VLOOKUP('Raw Data'!A5034,References!#REF!,2,FALSE),(VLOOKUP($S5034,References!$B$3:$C$8,2,FALSE))),"")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4"/>
        <v>0</v>
      </c>
      <c r="T5035" s="98">
        <f t="shared" si="223"/>
        <v>0</v>
      </c>
      <c r="U5035" s="99" t="str">
        <f>IFERROR(IF(#REF!="S",VLOOKUP('Raw Data'!A5035,References!#REF!,2,FALSE),(VLOOKUP($S5035,References!$B$3:$C$8,2,FALSE))),"")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4"/>
        <v>0</v>
      </c>
      <c r="T5036" s="98">
        <f t="shared" si="223"/>
        <v>0</v>
      </c>
      <c r="U5036" s="99" t="str">
        <f>IFERROR(IF(#REF!="S",VLOOKUP('Raw Data'!A5036,References!#REF!,2,FALSE),(VLOOKUP($S5036,References!$B$3:$C$8,2,FALSE))),"")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4"/>
        <v>0</v>
      </c>
      <c r="T5037" s="98">
        <f t="shared" si="223"/>
        <v>0</v>
      </c>
      <c r="U5037" s="99" t="str">
        <f>IFERROR(IF(#REF!="S",VLOOKUP('Raw Data'!A5037,References!#REF!,2,FALSE),(VLOOKUP($S5037,References!$B$3:$C$8,2,FALSE))),"")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4"/>
        <v>0</v>
      </c>
      <c r="T5038" s="98">
        <f t="shared" si="223"/>
        <v>0</v>
      </c>
      <c r="U5038" s="99" t="str">
        <f>IFERROR(IF(#REF!="S",VLOOKUP('Raw Data'!A5038,References!#REF!,2,FALSE),(VLOOKUP($S5038,References!$B$3:$C$8,2,FALSE))),"")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4"/>
        <v>0</v>
      </c>
      <c r="T5039" s="98">
        <f t="shared" si="223"/>
        <v>0</v>
      </c>
      <c r="U5039" s="99" t="str">
        <f>IFERROR(IF(#REF!="S",VLOOKUP('Raw Data'!A5039,References!#REF!,2,FALSE),(VLOOKUP($S5039,References!$B$3:$C$8,2,FALSE))),"")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4"/>
        <v>0</v>
      </c>
      <c r="T5040" s="98">
        <f t="shared" si="223"/>
        <v>0</v>
      </c>
      <c r="U5040" s="99" t="str">
        <f>IFERROR(IF(#REF!="S",VLOOKUP('Raw Data'!A5040,References!#REF!,2,FALSE),(VLOOKUP($S5040,References!$B$3:$C$8,2,FALSE))),"")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4"/>
        <v>0</v>
      </c>
      <c r="T5041" s="98">
        <f t="shared" si="223"/>
        <v>0</v>
      </c>
      <c r="U5041" s="99" t="str">
        <f>IFERROR(IF(#REF!="S",VLOOKUP('Raw Data'!A5041,References!#REF!,2,FALSE),(VLOOKUP($S5041,References!$B$3:$C$8,2,FALSE))),"")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4"/>
        <v>0</v>
      </c>
      <c r="T5042" s="98">
        <f t="shared" si="223"/>
        <v>0</v>
      </c>
      <c r="U5042" s="99" t="str">
        <f>IFERROR(IF(#REF!="S",VLOOKUP('Raw Data'!A5042,References!#REF!,2,FALSE),(VLOOKUP($S5042,References!$B$3:$C$8,2,FALSE))),"")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4"/>
        <v>0</v>
      </c>
      <c r="T5043" s="98">
        <f t="shared" si="223"/>
        <v>0</v>
      </c>
      <c r="U5043" s="99" t="str">
        <f>IFERROR(IF(#REF!="S",VLOOKUP('Raw Data'!A5043,References!#REF!,2,FALSE),(VLOOKUP($S5043,References!$B$3:$C$8,2,FALSE))),"")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4"/>
        <v>0</v>
      </c>
      <c r="T5044" s="98">
        <f t="shared" si="223"/>
        <v>0</v>
      </c>
      <c r="U5044" s="99" t="str">
        <f>IFERROR(IF(#REF!="S",VLOOKUP('Raw Data'!A5044,References!#REF!,2,FALSE),(VLOOKUP($S5044,References!$B$3:$C$8,2,FALSE))),"")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4"/>
        <v>0</v>
      </c>
      <c r="T5045" s="98">
        <f t="shared" si="223"/>
        <v>0</v>
      </c>
      <c r="U5045" s="99" t="str">
        <f>IFERROR(IF(#REF!="S",VLOOKUP('Raw Data'!A5045,References!#REF!,2,FALSE),(VLOOKUP($S5045,References!$B$3:$C$8,2,FALSE))),"")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4"/>
        <v>0</v>
      </c>
      <c r="T5046" s="98">
        <f t="shared" si="223"/>
        <v>0</v>
      </c>
      <c r="U5046" s="99" t="str">
        <f>IFERROR(IF(#REF!="S",VLOOKUP('Raw Data'!A5046,References!#REF!,2,FALSE),(VLOOKUP($S5046,References!$B$3:$C$8,2,FALSE))),"")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4"/>
        <v>0</v>
      </c>
      <c r="T5047" s="98">
        <f t="shared" si="223"/>
        <v>0</v>
      </c>
      <c r="U5047" s="99" t="str">
        <f>IFERROR(IF(#REF!="S",VLOOKUP('Raw Data'!A5047,References!#REF!,2,FALSE),(VLOOKUP($S5047,References!$B$3:$C$8,2,FALSE))),"")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4"/>
        <v>0</v>
      </c>
      <c r="T5048" s="98">
        <f t="shared" si="223"/>
        <v>0</v>
      </c>
      <c r="U5048" s="99" t="str">
        <f>IFERROR(IF(#REF!="S",VLOOKUP('Raw Data'!A5048,References!#REF!,2,FALSE),(VLOOKUP($S5048,References!$B$3:$C$8,2,FALSE))),"")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4"/>
        <v>0</v>
      </c>
      <c r="T5049" s="98">
        <f t="shared" si="223"/>
        <v>0</v>
      </c>
      <c r="U5049" s="99" t="str">
        <f>IFERROR(IF(#REF!="S",VLOOKUP('Raw Data'!A5049,References!#REF!,2,FALSE),(VLOOKUP($S5049,References!$B$3:$C$8,2,FALSE))),"")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4"/>
        <v>0</v>
      </c>
      <c r="T5050" s="98">
        <f t="shared" si="223"/>
        <v>0</v>
      </c>
      <c r="U5050" s="99" t="str">
        <f>IFERROR(IF(#REF!="S",VLOOKUP('Raw Data'!A5050,References!#REF!,2,FALSE),(VLOOKUP($S5050,References!$B$3:$C$8,2,FALSE))),"")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4"/>
        <v>0</v>
      </c>
      <c r="T5051" s="98">
        <f t="shared" si="223"/>
        <v>0</v>
      </c>
      <c r="U5051" s="99" t="str">
        <f>IFERROR(IF(#REF!="S",VLOOKUP('Raw Data'!A5051,References!#REF!,2,FALSE),(VLOOKUP($S5051,References!$B$3:$C$8,2,FALSE))),"")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4"/>
        <v>0</v>
      </c>
      <c r="T5052" s="98">
        <f t="shared" si="223"/>
        <v>0</v>
      </c>
      <c r="U5052" s="99" t="str">
        <f>IFERROR(IF(#REF!="S",VLOOKUP('Raw Data'!A5052,References!#REF!,2,FALSE),(VLOOKUP($S5052,References!$B$3:$C$8,2,FALSE))),"")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4"/>
        <v>0</v>
      </c>
      <c r="T5053" s="98">
        <f t="shared" si="223"/>
        <v>0</v>
      </c>
      <c r="U5053" s="99" t="str">
        <f>IFERROR(IF(#REF!="S",VLOOKUP('Raw Data'!A5053,References!#REF!,2,FALSE),(VLOOKUP($S5053,References!$B$3:$C$8,2,FALSE))),"")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4"/>
        <v>0</v>
      </c>
      <c r="T5054" s="98">
        <f t="shared" si="223"/>
        <v>0</v>
      </c>
      <c r="U5054" s="99" t="str">
        <f>IFERROR(IF(#REF!="S",VLOOKUP('Raw Data'!A5054,References!#REF!,2,FALSE),(VLOOKUP($S5054,References!$B$3:$C$8,2,FALSE))),"")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4"/>
        <v>0</v>
      </c>
      <c r="T5055" s="98">
        <f t="shared" si="223"/>
        <v>0</v>
      </c>
      <c r="U5055" s="99" t="str">
        <f>IFERROR(IF(#REF!="S",VLOOKUP('Raw Data'!A5055,References!#REF!,2,FALSE),(VLOOKUP($S5055,References!$B$3:$C$8,2,FALSE))),"")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4"/>
        <v>0</v>
      </c>
      <c r="T5056" s="98">
        <f t="shared" si="223"/>
        <v>0</v>
      </c>
      <c r="U5056" s="99" t="str">
        <f>IFERROR(IF(#REF!="S",VLOOKUP('Raw Data'!A5056,References!#REF!,2,FALSE),(VLOOKUP($S5056,References!$B$3:$C$8,2,FALSE))),"")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4"/>
        <v>0</v>
      </c>
      <c r="T5057" s="98">
        <f t="shared" si="223"/>
        <v>0</v>
      </c>
      <c r="U5057" s="99" t="str">
        <f>IFERROR(IF(#REF!="S",VLOOKUP('Raw Data'!A5057,References!#REF!,2,FALSE),(VLOOKUP($S5057,References!$B$3:$C$8,2,FALSE))),"")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4"/>
        <v>0</v>
      </c>
      <c r="T5058" s="98">
        <f t="shared" si="223"/>
        <v>0</v>
      </c>
      <c r="U5058" s="99" t="str">
        <f>IFERROR(IF(#REF!="S",VLOOKUP('Raw Data'!A5058,References!#REF!,2,FALSE),(VLOOKUP($S5058,References!$B$3:$C$8,2,FALSE))),"")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4"/>
        <v>0</v>
      </c>
      <c r="T5059" s="98">
        <f t="shared" si="223"/>
        <v>0</v>
      </c>
      <c r="U5059" s="99" t="str">
        <f>IFERROR(IF(#REF!="S",VLOOKUP('Raw Data'!A5059,References!#REF!,2,FALSE),(VLOOKUP($S5059,References!$B$3:$C$8,2,FALSE))),"")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4"/>
        <v>0</v>
      </c>
      <c r="T5060" s="98">
        <f t="shared" si="223"/>
        <v>0</v>
      </c>
      <c r="U5060" s="99" t="str">
        <f>IFERROR(IF(#REF!="S",VLOOKUP('Raw Data'!A5060,References!#REF!,2,FALSE),(VLOOKUP($S5060,References!$B$3:$C$8,2,FALSE))),"")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4"/>
        <v>0</v>
      </c>
      <c r="T5061" s="98">
        <f t="shared" si="223"/>
        <v>0</v>
      </c>
      <c r="U5061" s="99" t="str">
        <f>IFERROR(IF(#REF!="S",VLOOKUP('Raw Data'!A5061,References!#REF!,2,FALSE),(VLOOKUP($S5061,References!$B$3:$C$8,2,FALSE))),"")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4"/>
        <v>0</v>
      </c>
      <c r="T5062" s="98">
        <f t="shared" si="223"/>
        <v>0</v>
      </c>
      <c r="U5062" s="99" t="str">
        <f>IFERROR(IF(#REF!="S",VLOOKUP('Raw Data'!A5062,References!#REF!,2,FALSE),(VLOOKUP($S5062,References!$B$3:$C$8,2,FALSE))),"")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4"/>
        <v>0</v>
      </c>
      <c r="T5063" s="98">
        <f t="shared" si="223"/>
        <v>0</v>
      </c>
      <c r="U5063" s="99" t="str">
        <f>IFERROR(IF(#REF!="S",VLOOKUP('Raw Data'!A5063,References!#REF!,2,FALSE),(VLOOKUP($S5063,References!$B$3:$C$8,2,FALSE))),"")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4"/>
        <v>0</v>
      </c>
      <c r="T5064" s="98">
        <f t="shared" si="223"/>
        <v>0</v>
      </c>
      <c r="U5064" s="99" t="str">
        <f>IFERROR(IF(#REF!="S",VLOOKUP('Raw Data'!A5064,References!#REF!,2,FALSE),(VLOOKUP($S5064,References!$B$3:$C$8,2,FALSE))),"")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4"/>
        <v>0</v>
      </c>
      <c r="T5065" s="98">
        <f t="shared" si="223"/>
        <v>0</v>
      </c>
      <c r="U5065" s="99" t="str">
        <f>IFERROR(IF(#REF!="S",VLOOKUP('Raw Data'!A5065,References!#REF!,2,FALSE),(VLOOKUP($S5065,References!$B$3:$C$8,2,FALSE))),"")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4"/>
        <v>0</v>
      </c>
      <c r="T5066" s="98">
        <f t="shared" si="223"/>
        <v>0</v>
      </c>
      <c r="U5066" s="99" t="str">
        <f>IFERROR(IF(#REF!="S",VLOOKUP('Raw Data'!A5066,References!#REF!,2,FALSE),(VLOOKUP($S5066,References!$B$3:$C$8,2,FALSE))),"")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4"/>
        <v>0</v>
      </c>
      <c r="T5067" s="98">
        <f t="shared" si="223"/>
        <v>0</v>
      </c>
      <c r="U5067" s="99" t="str">
        <f>IFERROR(IF(#REF!="S",VLOOKUP('Raw Data'!A5067,References!#REF!,2,FALSE),(VLOOKUP($S5067,References!$B$3:$C$8,2,FALSE))),"")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4"/>
        <v>0</v>
      </c>
      <c r="T5068" s="98">
        <f t="shared" si="223"/>
        <v>0</v>
      </c>
      <c r="U5068" s="99" t="str">
        <f>IFERROR(IF(#REF!="S",VLOOKUP('Raw Data'!A5068,References!#REF!,2,FALSE),(VLOOKUP($S5068,References!$B$3:$C$8,2,FALSE))),"")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4"/>
        <v>0</v>
      </c>
      <c r="T5069" s="98">
        <f t="shared" si="223"/>
        <v>0</v>
      </c>
      <c r="U5069" s="99" t="str">
        <f>IFERROR(IF(#REF!="S",VLOOKUP('Raw Data'!A5069,References!#REF!,2,FALSE),(VLOOKUP($S5069,References!$B$3:$C$8,2,FALSE))),"")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4"/>
        <v>0</v>
      </c>
      <c r="T5070" s="98">
        <f t="shared" si="223"/>
        <v>0</v>
      </c>
      <c r="U5070" s="99" t="str">
        <f>IFERROR(IF(#REF!="S",VLOOKUP('Raw Data'!A5070,References!#REF!,2,FALSE),(VLOOKUP($S5070,References!$B$3:$C$8,2,FALSE))),"")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4"/>
        <v>0</v>
      </c>
      <c r="T5071" s="98">
        <f t="shared" si="223"/>
        <v>0</v>
      </c>
      <c r="U5071" s="99" t="str">
        <f>IFERROR(IF(#REF!="S",VLOOKUP('Raw Data'!A5071,References!#REF!,2,FALSE),(VLOOKUP($S5071,References!$B$3:$C$8,2,FALSE))),"")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4"/>
        <v>0</v>
      </c>
      <c r="T5072" s="98">
        <f t="shared" ref="T5072:T5135" si="225">IF(S5072="50 - Cleaning Fee",1,HOUR($R5072)+MINUTE(R5072)/60)</f>
        <v>0</v>
      </c>
      <c r="U5072" s="99" t="str">
        <f>IFERROR(IF(#REF!="S",VLOOKUP('Raw Data'!A5072,References!#REF!,2,FALSE),(VLOOKUP($S5072,References!$B$3:$C$8,2,FALSE))),"")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4"/>
        <v>0</v>
      </c>
      <c r="T5073" s="98">
        <f t="shared" si="225"/>
        <v>0</v>
      </c>
      <c r="U5073" s="99" t="str">
        <f>IFERROR(IF(#REF!="S",VLOOKUP('Raw Data'!A5073,References!#REF!,2,FALSE),(VLOOKUP($S5073,References!$B$3:$C$8,2,FALSE))),"")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4"/>
        <v>0</v>
      </c>
      <c r="T5074" s="98">
        <f t="shared" si="225"/>
        <v>0</v>
      </c>
      <c r="U5074" s="99" t="str">
        <f>IFERROR(IF(#REF!="S",VLOOKUP('Raw Data'!A5074,References!#REF!,2,FALSE),(VLOOKUP($S5074,References!$B$3:$C$8,2,FALSE))),"")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4"/>
        <v>0</v>
      </c>
      <c r="T5075" s="98">
        <f t="shared" si="225"/>
        <v>0</v>
      </c>
      <c r="U5075" s="99" t="str">
        <f>IFERROR(IF(#REF!="S",VLOOKUP('Raw Data'!A5075,References!#REF!,2,FALSE),(VLOOKUP($S5075,References!$B$3:$C$8,2,FALSE))),"")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4"/>
        <v>0</v>
      </c>
      <c r="T5076" s="98">
        <f t="shared" si="225"/>
        <v>0</v>
      </c>
      <c r="U5076" s="99" t="str">
        <f>IFERROR(IF(#REF!="S",VLOOKUP('Raw Data'!A5076,References!#REF!,2,FALSE),(VLOOKUP($S5076,References!$B$3:$C$8,2,FALSE))),"")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4"/>
        <v>0</v>
      </c>
      <c r="T5077" s="98">
        <f t="shared" si="225"/>
        <v>0</v>
      </c>
      <c r="U5077" s="99" t="str">
        <f>IFERROR(IF(#REF!="S",VLOOKUP('Raw Data'!A5077,References!#REF!,2,FALSE),(VLOOKUP($S5077,References!$B$3:$C$8,2,FALSE))),"")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4"/>
        <v>0</v>
      </c>
      <c r="T5078" s="98">
        <f t="shared" si="225"/>
        <v>0</v>
      </c>
      <c r="U5078" s="99" t="str">
        <f>IFERROR(IF(#REF!="S",VLOOKUP('Raw Data'!A5078,References!#REF!,2,FALSE),(VLOOKUP($S5078,References!$B$3:$C$8,2,FALSE))),"")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4"/>
        <v>0</v>
      </c>
      <c r="T5079" s="98">
        <f t="shared" si="225"/>
        <v>0</v>
      </c>
      <c r="U5079" s="99" t="str">
        <f>IFERROR(IF(#REF!="S",VLOOKUP('Raw Data'!A5079,References!#REF!,2,FALSE),(VLOOKUP($S5079,References!$B$3:$C$8,2,FALSE))),"")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4"/>
        <v>0</v>
      </c>
      <c r="T5080" s="98">
        <f t="shared" si="225"/>
        <v>0</v>
      </c>
      <c r="U5080" s="99" t="str">
        <f>IFERROR(IF(#REF!="S",VLOOKUP('Raw Data'!A5080,References!#REF!,2,FALSE),(VLOOKUP($S5080,References!$B$3:$C$8,2,FALSE))),"")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4"/>
        <v>0</v>
      </c>
      <c r="T5081" s="98">
        <f t="shared" si="225"/>
        <v>0</v>
      </c>
      <c r="U5081" s="99" t="str">
        <f>IFERROR(IF(#REF!="S",VLOOKUP('Raw Data'!A5081,References!#REF!,2,FALSE),(VLOOKUP($S5081,References!$B$3:$C$8,2,FALSE))),"")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4"/>
        <v>0</v>
      </c>
      <c r="T5082" s="98">
        <f t="shared" si="225"/>
        <v>0</v>
      </c>
      <c r="U5082" s="99" t="str">
        <f>IFERROR(IF(#REF!="S",VLOOKUP('Raw Data'!A5082,References!#REF!,2,FALSE),(VLOOKUP($S5082,References!$B$3:$C$8,2,FALSE))),"")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4"/>
        <v>0</v>
      </c>
      <c r="T5083" s="98">
        <f t="shared" si="225"/>
        <v>0</v>
      </c>
      <c r="U5083" s="99" t="str">
        <f>IFERROR(IF(#REF!="S",VLOOKUP('Raw Data'!A5083,References!#REF!,2,FALSE),(VLOOKUP($S5083,References!$B$3:$C$8,2,FALSE))),"")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4"/>
        <v>0</v>
      </c>
      <c r="T5084" s="98">
        <f t="shared" si="225"/>
        <v>0</v>
      </c>
      <c r="U5084" s="99" t="str">
        <f>IFERROR(IF(#REF!="S",VLOOKUP('Raw Data'!A5084,References!#REF!,2,FALSE),(VLOOKUP($S5084,References!$B$3:$C$8,2,FALSE))),"")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4"/>
        <v>0</v>
      </c>
      <c r="T5085" s="98">
        <f t="shared" si="225"/>
        <v>0</v>
      </c>
      <c r="U5085" s="99" t="str">
        <f>IFERROR(IF(#REF!="S",VLOOKUP('Raw Data'!A5085,References!#REF!,2,FALSE),(VLOOKUP($S5085,References!$B$3:$C$8,2,FALSE))),"")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4"/>
        <v>0</v>
      </c>
      <c r="T5086" s="98">
        <f t="shared" si="225"/>
        <v>0</v>
      </c>
      <c r="U5086" s="99" t="str">
        <f>IFERROR(IF(#REF!="S",VLOOKUP('Raw Data'!A5086,References!#REF!,2,FALSE),(VLOOKUP($S5086,References!$B$3:$C$8,2,FALSE))),"")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4"/>
        <v>0</v>
      </c>
      <c r="T5087" s="98">
        <f t="shared" si="225"/>
        <v>0</v>
      </c>
      <c r="U5087" s="99" t="str">
        <f>IFERROR(IF(#REF!="S",VLOOKUP('Raw Data'!A5087,References!#REF!,2,FALSE),(VLOOKUP($S5087,References!$B$3:$C$8,2,FALSE))),"")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4"/>
        <v>0</v>
      </c>
      <c r="T5088" s="98">
        <f t="shared" si="225"/>
        <v>0</v>
      </c>
      <c r="U5088" s="99" t="str">
        <f>IFERROR(IF(#REF!="S",VLOOKUP('Raw Data'!A5088,References!#REF!,2,FALSE),(VLOOKUP($S5088,References!$B$3:$C$8,2,FALSE))),"")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4"/>
        <v>0</v>
      </c>
      <c r="T5089" s="98">
        <f t="shared" si="225"/>
        <v>0</v>
      </c>
      <c r="U5089" s="99" t="str">
        <f>IFERROR(IF(#REF!="S",VLOOKUP('Raw Data'!A5089,References!#REF!,2,FALSE),(VLOOKUP($S5089,References!$B$3:$C$8,2,FALSE))),"")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4"/>
        <v>0</v>
      </c>
      <c r="T5090" s="98">
        <f t="shared" si="225"/>
        <v>0</v>
      </c>
      <c r="U5090" s="99" t="str">
        <f>IFERROR(IF(#REF!="S",VLOOKUP('Raw Data'!A5090,References!#REF!,2,FALSE),(VLOOKUP($S5090,References!$B$3:$C$8,2,FALSE))),"")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4"/>
        <v>0</v>
      </c>
      <c r="T5091" s="98">
        <f t="shared" si="225"/>
        <v>0</v>
      </c>
      <c r="U5091" s="99" t="str">
        <f>IFERROR(IF(#REF!="S",VLOOKUP('Raw Data'!A5091,References!#REF!,2,FALSE),(VLOOKUP($S5091,References!$B$3:$C$8,2,FALSE))),"")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4"/>
        <v>0</v>
      </c>
      <c r="T5092" s="98">
        <f t="shared" si="225"/>
        <v>0</v>
      </c>
      <c r="U5092" s="99" t="str">
        <f>IFERROR(IF(#REF!="S",VLOOKUP('Raw Data'!A5092,References!#REF!,2,FALSE),(VLOOKUP($S5092,References!$B$3:$C$8,2,FALSE))),"")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4"/>
        <v>0</v>
      </c>
      <c r="T5093" s="98">
        <f t="shared" si="225"/>
        <v>0</v>
      </c>
      <c r="U5093" s="99" t="str">
        <f>IFERROR(IF(#REF!="S",VLOOKUP('Raw Data'!A5093,References!#REF!,2,FALSE),(VLOOKUP($S5093,References!$B$3:$C$8,2,FALSE))),"")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4"/>
        <v>0</v>
      </c>
      <c r="T5094" s="98">
        <f t="shared" si="225"/>
        <v>0</v>
      </c>
      <c r="U5094" s="99" t="str">
        <f>IFERROR(IF(#REF!="S",VLOOKUP('Raw Data'!A5094,References!#REF!,2,FALSE),(VLOOKUP($S5094,References!$B$3:$C$8,2,FALSE))),"")</f>
        <v/>
      </c>
      <c r="W5094" s="66" t="str">
        <f>IFERROR(VLOOKUP($O5094,'Customer List'!$A$1:$J$488,10,FALSE),"")</f>
        <v/>
      </c>
    </row>
    <row r="5095" spans="18:23">
      <c r="R5095" s="97">
        <f t="shared" si="224"/>
        <v>0</v>
      </c>
      <c r="T5095" s="98">
        <f t="shared" si="225"/>
        <v>0</v>
      </c>
      <c r="U5095" s="99" t="str">
        <f>IFERROR(IF(#REF!="S",VLOOKUP('Raw Data'!A5095,References!#REF!,2,FALSE),(VLOOKUP($S5095,References!$B$3:$C$8,2,FALSE))),"")</f>
        <v/>
      </c>
      <c r="W5095" s="66" t="str">
        <f>IFERROR(VLOOKUP($O5095,'Customer List'!$A$1:$J$488,10,FALSE),"")</f>
        <v/>
      </c>
    </row>
    <row r="5096" spans="18:23">
      <c r="R5096" s="97">
        <f t="shared" ref="R5096:R5159" si="226">L5096-K5096</f>
        <v>0</v>
      </c>
      <c r="T5096" s="98">
        <f t="shared" si="225"/>
        <v>0</v>
      </c>
      <c r="U5096" s="99" t="str">
        <f>IFERROR(IF(#REF!="S",VLOOKUP('Raw Data'!A5096,References!#REF!,2,FALSE),(VLOOKUP($S5096,References!$B$3:$C$8,2,FALSE))),"")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6"/>
        <v>0</v>
      </c>
      <c r="T5097" s="98">
        <f t="shared" si="225"/>
        <v>0</v>
      </c>
      <c r="U5097" s="99" t="str">
        <f>IFERROR(IF(#REF!="S",VLOOKUP('Raw Data'!A5097,References!#REF!,2,FALSE),(VLOOKUP($S5097,References!$B$3:$C$8,2,FALSE))),"")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6"/>
        <v>0</v>
      </c>
      <c r="T5098" s="98">
        <f t="shared" si="225"/>
        <v>0</v>
      </c>
      <c r="U5098" s="99" t="str">
        <f>IFERROR(IF(#REF!="S",VLOOKUP('Raw Data'!A5098,References!#REF!,2,FALSE),(VLOOKUP($S5098,References!$B$3:$C$8,2,FALSE))),"")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6"/>
        <v>0</v>
      </c>
      <c r="T5099" s="98">
        <f t="shared" si="225"/>
        <v>0</v>
      </c>
      <c r="U5099" s="99" t="str">
        <f>IFERROR(IF(#REF!="S",VLOOKUP('Raw Data'!A5099,References!#REF!,2,FALSE),(VLOOKUP($S5099,References!$B$3:$C$8,2,FALSE))),"")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6"/>
        <v>0</v>
      </c>
      <c r="T5100" s="98">
        <f t="shared" si="225"/>
        <v>0</v>
      </c>
      <c r="U5100" s="99" t="str">
        <f>IFERROR(IF(#REF!="S",VLOOKUP('Raw Data'!A5100,References!#REF!,2,FALSE),(VLOOKUP($S5100,References!$B$3:$C$8,2,FALSE))),"")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6"/>
        <v>0</v>
      </c>
      <c r="T5101" s="98">
        <f t="shared" si="225"/>
        <v>0</v>
      </c>
      <c r="U5101" s="99" t="str">
        <f>IFERROR(IF(#REF!="S",VLOOKUP('Raw Data'!A5101,References!#REF!,2,FALSE),(VLOOKUP($S5101,References!$B$3:$C$8,2,FALSE))),"")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6"/>
        <v>0</v>
      </c>
      <c r="T5102" s="98">
        <f t="shared" si="225"/>
        <v>0</v>
      </c>
      <c r="U5102" s="99" t="str">
        <f>IFERROR(IF(#REF!="S",VLOOKUP('Raw Data'!A5102,References!#REF!,2,FALSE),(VLOOKUP($S5102,References!$B$3:$C$8,2,FALSE))),"")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6"/>
        <v>0</v>
      </c>
      <c r="T5103" s="98">
        <f t="shared" si="225"/>
        <v>0</v>
      </c>
      <c r="U5103" s="99" t="str">
        <f>IFERROR(IF(#REF!="S",VLOOKUP('Raw Data'!A5103,References!#REF!,2,FALSE),(VLOOKUP($S5103,References!$B$3:$C$8,2,FALSE))),"")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6"/>
        <v>0</v>
      </c>
      <c r="T5104" s="98">
        <f t="shared" si="225"/>
        <v>0</v>
      </c>
      <c r="U5104" s="99" t="str">
        <f>IFERROR(IF(#REF!="S",VLOOKUP('Raw Data'!A5104,References!#REF!,2,FALSE),(VLOOKUP($S5104,References!$B$3:$C$8,2,FALSE))),"")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6"/>
        <v>0</v>
      </c>
      <c r="T5105" s="98">
        <f t="shared" si="225"/>
        <v>0</v>
      </c>
      <c r="U5105" s="99" t="str">
        <f>IFERROR(IF(#REF!="S",VLOOKUP('Raw Data'!A5105,References!#REF!,2,FALSE),(VLOOKUP($S5105,References!$B$3:$C$8,2,FALSE))),"")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6"/>
        <v>0</v>
      </c>
      <c r="T5106" s="98">
        <f t="shared" si="225"/>
        <v>0</v>
      </c>
      <c r="U5106" s="99" t="str">
        <f>IFERROR(IF(#REF!="S",VLOOKUP('Raw Data'!A5106,References!#REF!,2,FALSE),(VLOOKUP($S5106,References!$B$3:$C$8,2,FALSE))),"")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6"/>
        <v>0</v>
      </c>
      <c r="T5107" s="98">
        <f t="shared" si="225"/>
        <v>0</v>
      </c>
      <c r="U5107" s="99" t="str">
        <f>IFERROR(IF(#REF!="S",VLOOKUP('Raw Data'!A5107,References!#REF!,2,FALSE),(VLOOKUP($S5107,References!$B$3:$C$8,2,FALSE))),"")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6"/>
        <v>0</v>
      </c>
      <c r="T5108" s="98">
        <f t="shared" si="225"/>
        <v>0</v>
      </c>
      <c r="U5108" s="99" t="str">
        <f>IFERROR(IF(#REF!="S",VLOOKUP('Raw Data'!A5108,References!#REF!,2,FALSE),(VLOOKUP($S5108,References!$B$3:$C$8,2,FALSE))),"")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6"/>
        <v>0</v>
      </c>
      <c r="T5109" s="98">
        <f t="shared" si="225"/>
        <v>0</v>
      </c>
      <c r="U5109" s="99" t="str">
        <f>IFERROR(IF(#REF!="S",VLOOKUP('Raw Data'!A5109,References!#REF!,2,FALSE),(VLOOKUP($S5109,References!$B$3:$C$8,2,FALSE))),"")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6"/>
        <v>0</v>
      </c>
      <c r="T5110" s="98">
        <f t="shared" si="225"/>
        <v>0</v>
      </c>
      <c r="U5110" s="99" t="str">
        <f>IFERROR(IF(#REF!="S",VLOOKUP('Raw Data'!A5110,References!#REF!,2,FALSE),(VLOOKUP($S5110,References!$B$3:$C$8,2,FALSE))),"")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6"/>
        <v>0</v>
      </c>
      <c r="T5111" s="98">
        <f t="shared" si="225"/>
        <v>0</v>
      </c>
      <c r="U5111" s="99" t="str">
        <f>IFERROR(IF(#REF!="S",VLOOKUP('Raw Data'!A5111,References!#REF!,2,FALSE),(VLOOKUP($S5111,References!$B$3:$C$8,2,FALSE))),"")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6"/>
        <v>0</v>
      </c>
      <c r="T5112" s="98">
        <f t="shared" si="225"/>
        <v>0</v>
      </c>
      <c r="U5112" s="99" t="str">
        <f>IFERROR(IF(#REF!="S",VLOOKUP('Raw Data'!A5112,References!#REF!,2,FALSE),(VLOOKUP($S5112,References!$B$3:$C$8,2,FALSE))),"")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6"/>
        <v>0</v>
      </c>
      <c r="T5113" s="98">
        <f t="shared" si="225"/>
        <v>0</v>
      </c>
      <c r="U5113" s="99" t="str">
        <f>IFERROR(IF(#REF!="S",VLOOKUP('Raw Data'!A5113,References!#REF!,2,FALSE),(VLOOKUP($S5113,References!$B$3:$C$8,2,FALSE))),"")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6"/>
        <v>0</v>
      </c>
      <c r="T5114" s="98">
        <f t="shared" si="225"/>
        <v>0</v>
      </c>
      <c r="U5114" s="99" t="str">
        <f>IFERROR(IF(#REF!="S",VLOOKUP('Raw Data'!A5114,References!#REF!,2,FALSE),(VLOOKUP($S5114,References!$B$3:$C$8,2,FALSE))),"")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6"/>
        <v>0</v>
      </c>
      <c r="T5115" s="98">
        <f t="shared" si="225"/>
        <v>0</v>
      </c>
      <c r="U5115" s="99" t="str">
        <f>IFERROR(IF(#REF!="S",VLOOKUP('Raw Data'!A5115,References!#REF!,2,FALSE),(VLOOKUP($S5115,References!$B$3:$C$8,2,FALSE))),"")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6"/>
        <v>0</v>
      </c>
      <c r="T5116" s="98">
        <f t="shared" si="225"/>
        <v>0</v>
      </c>
      <c r="U5116" s="99" t="str">
        <f>IFERROR(IF(#REF!="S",VLOOKUP('Raw Data'!A5116,References!#REF!,2,FALSE),(VLOOKUP($S5116,References!$B$3:$C$8,2,FALSE))),"")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6"/>
        <v>0</v>
      </c>
      <c r="T5117" s="98">
        <f t="shared" si="225"/>
        <v>0</v>
      </c>
      <c r="U5117" s="99" t="str">
        <f>IFERROR(IF(#REF!="S",VLOOKUP('Raw Data'!A5117,References!#REF!,2,FALSE),(VLOOKUP($S5117,References!$B$3:$C$8,2,FALSE))),"")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6"/>
        <v>0</v>
      </c>
      <c r="T5118" s="98">
        <f t="shared" si="225"/>
        <v>0</v>
      </c>
      <c r="U5118" s="99" t="str">
        <f>IFERROR(IF(#REF!="S",VLOOKUP('Raw Data'!A5118,References!#REF!,2,FALSE),(VLOOKUP($S5118,References!$B$3:$C$8,2,FALSE))),"")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6"/>
        <v>0</v>
      </c>
      <c r="T5119" s="98">
        <f t="shared" si="225"/>
        <v>0</v>
      </c>
      <c r="U5119" s="99" t="str">
        <f>IFERROR(IF(#REF!="S",VLOOKUP('Raw Data'!A5119,References!#REF!,2,FALSE),(VLOOKUP($S5119,References!$B$3:$C$8,2,FALSE))),"")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6"/>
        <v>0</v>
      </c>
      <c r="T5120" s="98">
        <f t="shared" si="225"/>
        <v>0</v>
      </c>
      <c r="U5120" s="99" t="str">
        <f>IFERROR(IF(#REF!="S",VLOOKUP('Raw Data'!A5120,References!#REF!,2,FALSE),(VLOOKUP($S5120,References!$B$3:$C$8,2,FALSE))),"")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6"/>
        <v>0</v>
      </c>
      <c r="T5121" s="98">
        <f t="shared" si="225"/>
        <v>0</v>
      </c>
      <c r="U5121" s="99" t="str">
        <f>IFERROR(IF(#REF!="S",VLOOKUP('Raw Data'!A5121,References!#REF!,2,FALSE),(VLOOKUP($S5121,References!$B$3:$C$8,2,FALSE))),"")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6"/>
        <v>0</v>
      </c>
      <c r="T5122" s="98">
        <f t="shared" si="225"/>
        <v>0</v>
      </c>
      <c r="U5122" s="99" t="str">
        <f>IFERROR(IF(#REF!="S",VLOOKUP('Raw Data'!A5122,References!#REF!,2,FALSE),(VLOOKUP($S5122,References!$B$3:$C$8,2,FALSE))),"")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6"/>
        <v>0</v>
      </c>
      <c r="T5123" s="98">
        <f t="shared" si="225"/>
        <v>0</v>
      </c>
      <c r="U5123" s="99" t="str">
        <f>IFERROR(IF(#REF!="S",VLOOKUP('Raw Data'!A5123,References!#REF!,2,FALSE),(VLOOKUP($S5123,References!$B$3:$C$8,2,FALSE))),"")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6"/>
        <v>0</v>
      </c>
      <c r="T5124" s="98">
        <f t="shared" si="225"/>
        <v>0</v>
      </c>
      <c r="U5124" s="99" t="str">
        <f>IFERROR(IF(#REF!="S",VLOOKUP('Raw Data'!A5124,References!#REF!,2,FALSE),(VLOOKUP($S5124,References!$B$3:$C$8,2,FALSE))),"")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6"/>
        <v>0</v>
      </c>
      <c r="T5125" s="98">
        <f t="shared" si="225"/>
        <v>0</v>
      </c>
      <c r="U5125" s="99" t="str">
        <f>IFERROR(IF(#REF!="S",VLOOKUP('Raw Data'!A5125,References!#REF!,2,FALSE),(VLOOKUP($S5125,References!$B$3:$C$8,2,FALSE))),"")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6"/>
        <v>0</v>
      </c>
      <c r="T5126" s="98">
        <f t="shared" si="225"/>
        <v>0</v>
      </c>
      <c r="U5126" s="99" t="str">
        <f>IFERROR(IF(#REF!="S",VLOOKUP('Raw Data'!A5126,References!#REF!,2,FALSE),(VLOOKUP($S5126,References!$B$3:$C$8,2,FALSE))),"")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6"/>
        <v>0</v>
      </c>
      <c r="T5127" s="98">
        <f t="shared" si="225"/>
        <v>0</v>
      </c>
      <c r="U5127" s="99" t="str">
        <f>IFERROR(IF(#REF!="S",VLOOKUP('Raw Data'!A5127,References!#REF!,2,FALSE),(VLOOKUP($S5127,References!$B$3:$C$8,2,FALSE))),"")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6"/>
        <v>0</v>
      </c>
      <c r="T5128" s="98">
        <f t="shared" si="225"/>
        <v>0</v>
      </c>
      <c r="U5128" s="99" t="str">
        <f>IFERROR(IF(#REF!="S",VLOOKUP('Raw Data'!A5128,References!#REF!,2,FALSE),(VLOOKUP($S5128,References!$B$3:$C$8,2,FALSE))),"")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6"/>
        <v>0</v>
      </c>
      <c r="T5129" s="98">
        <f t="shared" si="225"/>
        <v>0</v>
      </c>
      <c r="U5129" s="99" t="str">
        <f>IFERROR(IF(#REF!="S",VLOOKUP('Raw Data'!A5129,References!#REF!,2,FALSE),(VLOOKUP($S5129,References!$B$3:$C$8,2,FALSE))),"")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6"/>
        <v>0</v>
      </c>
      <c r="T5130" s="98">
        <f t="shared" si="225"/>
        <v>0</v>
      </c>
      <c r="U5130" s="99" t="str">
        <f>IFERROR(IF(#REF!="S",VLOOKUP('Raw Data'!A5130,References!#REF!,2,FALSE),(VLOOKUP($S5130,References!$B$3:$C$8,2,FALSE))),"")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6"/>
        <v>0</v>
      </c>
      <c r="T5131" s="98">
        <f t="shared" si="225"/>
        <v>0</v>
      </c>
      <c r="U5131" s="99" t="str">
        <f>IFERROR(IF(#REF!="S",VLOOKUP('Raw Data'!A5131,References!#REF!,2,FALSE),(VLOOKUP($S5131,References!$B$3:$C$8,2,FALSE))),"")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6"/>
        <v>0</v>
      </c>
      <c r="T5132" s="98">
        <f t="shared" si="225"/>
        <v>0</v>
      </c>
      <c r="U5132" s="99" t="str">
        <f>IFERROR(IF(#REF!="S",VLOOKUP('Raw Data'!A5132,References!#REF!,2,FALSE),(VLOOKUP($S5132,References!$B$3:$C$8,2,FALSE))),"")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6"/>
        <v>0</v>
      </c>
      <c r="T5133" s="98">
        <f t="shared" si="225"/>
        <v>0</v>
      </c>
      <c r="U5133" s="99" t="str">
        <f>IFERROR(IF(#REF!="S",VLOOKUP('Raw Data'!A5133,References!#REF!,2,FALSE),(VLOOKUP($S5133,References!$B$3:$C$8,2,FALSE))),"")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6"/>
        <v>0</v>
      </c>
      <c r="T5134" s="98">
        <f t="shared" si="225"/>
        <v>0</v>
      </c>
      <c r="U5134" s="99" t="str">
        <f>IFERROR(IF(#REF!="S",VLOOKUP('Raw Data'!A5134,References!#REF!,2,FALSE),(VLOOKUP($S5134,References!$B$3:$C$8,2,FALSE))),"")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6"/>
        <v>0</v>
      </c>
      <c r="T5135" s="98">
        <f t="shared" si="225"/>
        <v>0</v>
      </c>
      <c r="U5135" s="99" t="str">
        <f>IFERROR(IF(#REF!="S",VLOOKUP('Raw Data'!A5135,References!#REF!,2,FALSE),(VLOOKUP($S5135,References!$B$3:$C$8,2,FALSE))),"")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6"/>
        <v>0</v>
      </c>
      <c r="T5136" s="98">
        <f t="shared" ref="T5136:T5199" si="227">IF(S5136="50 - Cleaning Fee",1,HOUR($R5136)+MINUTE(R5136)/60)</f>
        <v>0</v>
      </c>
      <c r="U5136" s="99" t="str">
        <f>IFERROR(IF(#REF!="S",VLOOKUP('Raw Data'!A5136,References!#REF!,2,FALSE),(VLOOKUP($S5136,References!$B$3:$C$8,2,FALSE))),"")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6"/>
        <v>0</v>
      </c>
      <c r="T5137" s="98">
        <f t="shared" si="227"/>
        <v>0</v>
      </c>
      <c r="U5137" s="99" t="str">
        <f>IFERROR(IF(#REF!="S",VLOOKUP('Raw Data'!A5137,References!#REF!,2,FALSE),(VLOOKUP($S5137,References!$B$3:$C$8,2,FALSE))),"")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6"/>
        <v>0</v>
      </c>
      <c r="T5138" s="98">
        <f t="shared" si="227"/>
        <v>0</v>
      </c>
      <c r="U5138" s="99" t="str">
        <f>IFERROR(IF(#REF!="S",VLOOKUP('Raw Data'!A5138,References!#REF!,2,FALSE),(VLOOKUP($S5138,References!$B$3:$C$8,2,FALSE))),"")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6"/>
        <v>0</v>
      </c>
      <c r="T5139" s="98">
        <f t="shared" si="227"/>
        <v>0</v>
      </c>
      <c r="U5139" s="99" t="str">
        <f>IFERROR(IF(#REF!="S",VLOOKUP('Raw Data'!A5139,References!#REF!,2,FALSE),(VLOOKUP($S5139,References!$B$3:$C$8,2,FALSE))),"")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6"/>
        <v>0</v>
      </c>
      <c r="T5140" s="98">
        <f t="shared" si="227"/>
        <v>0</v>
      </c>
      <c r="U5140" s="99" t="str">
        <f>IFERROR(IF(#REF!="S",VLOOKUP('Raw Data'!A5140,References!#REF!,2,FALSE),(VLOOKUP($S5140,References!$B$3:$C$8,2,FALSE))),"")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6"/>
        <v>0</v>
      </c>
      <c r="T5141" s="98">
        <f t="shared" si="227"/>
        <v>0</v>
      </c>
      <c r="U5141" s="99" t="str">
        <f>IFERROR(IF(#REF!="S",VLOOKUP('Raw Data'!A5141,References!#REF!,2,FALSE),(VLOOKUP($S5141,References!$B$3:$C$8,2,FALSE))),"")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6"/>
        <v>0</v>
      </c>
      <c r="T5142" s="98">
        <f t="shared" si="227"/>
        <v>0</v>
      </c>
      <c r="U5142" s="99" t="str">
        <f>IFERROR(IF(#REF!="S",VLOOKUP('Raw Data'!A5142,References!#REF!,2,FALSE),(VLOOKUP($S5142,References!$B$3:$C$8,2,FALSE))),"")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6"/>
        <v>0</v>
      </c>
      <c r="T5143" s="98">
        <f t="shared" si="227"/>
        <v>0</v>
      </c>
      <c r="U5143" s="99" t="str">
        <f>IFERROR(IF(#REF!="S",VLOOKUP('Raw Data'!A5143,References!#REF!,2,FALSE),(VLOOKUP($S5143,References!$B$3:$C$8,2,FALSE))),"")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6"/>
        <v>0</v>
      </c>
      <c r="T5144" s="98">
        <f t="shared" si="227"/>
        <v>0</v>
      </c>
      <c r="U5144" s="99" t="str">
        <f>IFERROR(IF(#REF!="S",VLOOKUP('Raw Data'!A5144,References!#REF!,2,FALSE),(VLOOKUP($S5144,References!$B$3:$C$8,2,FALSE))),"")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6"/>
        <v>0</v>
      </c>
      <c r="T5145" s="98">
        <f t="shared" si="227"/>
        <v>0</v>
      </c>
      <c r="U5145" s="99" t="str">
        <f>IFERROR(IF(#REF!="S",VLOOKUP('Raw Data'!A5145,References!#REF!,2,FALSE),(VLOOKUP($S5145,References!$B$3:$C$8,2,FALSE))),"")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6"/>
        <v>0</v>
      </c>
      <c r="T5146" s="98">
        <f t="shared" si="227"/>
        <v>0</v>
      </c>
      <c r="U5146" s="99" t="str">
        <f>IFERROR(IF(#REF!="S",VLOOKUP('Raw Data'!A5146,References!#REF!,2,FALSE),(VLOOKUP($S5146,References!$B$3:$C$8,2,FALSE))),"")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6"/>
        <v>0</v>
      </c>
      <c r="T5147" s="98">
        <f t="shared" si="227"/>
        <v>0</v>
      </c>
      <c r="U5147" s="99" t="str">
        <f>IFERROR(IF(#REF!="S",VLOOKUP('Raw Data'!A5147,References!#REF!,2,FALSE),(VLOOKUP($S5147,References!$B$3:$C$8,2,FALSE))),"")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6"/>
        <v>0</v>
      </c>
      <c r="T5148" s="98">
        <f t="shared" si="227"/>
        <v>0</v>
      </c>
      <c r="U5148" s="99" t="str">
        <f>IFERROR(IF(#REF!="S",VLOOKUP('Raw Data'!A5148,References!#REF!,2,FALSE),(VLOOKUP($S5148,References!$B$3:$C$8,2,FALSE))),"")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6"/>
        <v>0</v>
      </c>
      <c r="T5149" s="98">
        <f t="shared" si="227"/>
        <v>0</v>
      </c>
      <c r="U5149" s="99" t="str">
        <f>IFERROR(IF(#REF!="S",VLOOKUP('Raw Data'!A5149,References!#REF!,2,FALSE),(VLOOKUP($S5149,References!$B$3:$C$8,2,FALSE))),"")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6"/>
        <v>0</v>
      </c>
      <c r="T5150" s="98">
        <f t="shared" si="227"/>
        <v>0</v>
      </c>
      <c r="U5150" s="99" t="str">
        <f>IFERROR(IF(#REF!="S",VLOOKUP('Raw Data'!A5150,References!#REF!,2,FALSE),(VLOOKUP($S5150,References!$B$3:$C$8,2,FALSE))),"")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6"/>
        <v>0</v>
      </c>
      <c r="T5151" s="98">
        <f t="shared" si="227"/>
        <v>0</v>
      </c>
      <c r="U5151" s="99" t="str">
        <f>IFERROR(IF(#REF!="S",VLOOKUP('Raw Data'!A5151,References!#REF!,2,FALSE),(VLOOKUP($S5151,References!$B$3:$C$8,2,FALSE))),"")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6"/>
        <v>0</v>
      </c>
      <c r="T5152" s="98">
        <f t="shared" si="227"/>
        <v>0</v>
      </c>
      <c r="U5152" s="99" t="str">
        <f>IFERROR(IF(#REF!="S",VLOOKUP('Raw Data'!A5152,References!#REF!,2,FALSE),(VLOOKUP($S5152,References!$B$3:$C$8,2,FALSE))),"")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6"/>
        <v>0</v>
      </c>
      <c r="T5153" s="98">
        <f t="shared" si="227"/>
        <v>0</v>
      </c>
      <c r="U5153" s="99" t="str">
        <f>IFERROR(IF(#REF!="S",VLOOKUP('Raw Data'!A5153,References!#REF!,2,FALSE),(VLOOKUP($S5153,References!$B$3:$C$8,2,FALSE))),"")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6"/>
        <v>0</v>
      </c>
      <c r="T5154" s="98">
        <f t="shared" si="227"/>
        <v>0</v>
      </c>
      <c r="U5154" s="99" t="str">
        <f>IFERROR(IF(#REF!="S",VLOOKUP('Raw Data'!A5154,References!#REF!,2,FALSE),(VLOOKUP($S5154,References!$B$3:$C$8,2,FALSE))),"")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6"/>
        <v>0</v>
      </c>
      <c r="T5155" s="98">
        <f t="shared" si="227"/>
        <v>0</v>
      </c>
      <c r="U5155" s="99" t="str">
        <f>IFERROR(IF(#REF!="S",VLOOKUP('Raw Data'!A5155,References!#REF!,2,FALSE),(VLOOKUP($S5155,References!$B$3:$C$8,2,FALSE))),"")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6"/>
        <v>0</v>
      </c>
      <c r="T5156" s="98">
        <f t="shared" si="227"/>
        <v>0</v>
      </c>
      <c r="U5156" s="99" t="str">
        <f>IFERROR(IF(#REF!="S",VLOOKUP('Raw Data'!A5156,References!#REF!,2,FALSE),(VLOOKUP($S5156,References!$B$3:$C$8,2,FALSE))),"")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6"/>
        <v>0</v>
      </c>
      <c r="T5157" s="98">
        <f t="shared" si="227"/>
        <v>0</v>
      </c>
      <c r="U5157" s="99" t="str">
        <f>IFERROR(IF(#REF!="S",VLOOKUP('Raw Data'!A5157,References!#REF!,2,FALSE),(VLOOKUP($S5157,References!$B$3:$C$8,2,FALSE))),"")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6"/>
        <v>0</v>
      </c>
      <c r="T5158" s="98">
        <f t="shared" si="227"/>
        <v>0</v>
      </c>
      <c r="U5158" s="99" t="str">
        <f>IFERROR(IF(#REF!="S",VLOOKUP('Raw Data'!A5158,References!#REF!,2,FALSE),(VLOOKUP($S5158,References!$B$3:$C$8,2,FALSE))),"")</f>
        <v/>
      </c>
      <c r="W5158" s="66" t="str">
        <f>IFERROR(VLOOKUP($O5158,'Customer List'!$A$1:$J$488,10,FALSE),"")</f>
        <v/>
      </c>
    </row>
    <row r="5159" spans="18:23">
      <c r="R5159" s="97">
        <f t="shared" si="226"/>
        <v>0</v>
      </c>
      <c r="T5159" s="98">
        <f t="shared" si="227"/>
        <v>0</v>
      </c>
      <c r="U5159" s="99" t="str">
        <f>IFERROR(IF(#REF!="S",VLOOKUP('Raw Data'!A5159,References!#REF!,2,FALSE),(VLOOKUP($S5159,References!$B$3:$C$8,2,FALSE))),"")</f>
        <v/>
      </c>
      <c r="W5159" s="66" t="str">
        <f>IFERROR(VLOOKUP($O5159,'Customer List'!$A$1:$J$488,10,FALSE),"")</f>
        <v/>
      </c>
    </row>
    <row r="5160" spans="18:23">
      <c r="R5160" s="97">
        <f t="shared" ref="R5160:R5223" si="228">L5160-K5160</f>
        <v>0</v>
      </c>
      <c r="T5160" s="98">
        <f t="shared" si="227"/>
        <v>0</v>
      </c>
      <c r="U5160" s="99" t="str">
        <f>IFERROR(IF(#REF!="S",VLOOKUP('Raw Data'!A5160,References!#REF!,2,FALSE),(VLOOKUP($S5160,References!$B$3:$C$8,2,FALSE))),"")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28"/>
        <v>0</v>
      </c>
      <c r="T5161" s="98">
        <f t="shared" si="227"/>
        <v>0</v>
      </c>
      <c r="U5161" s="99" t="str">
        <f>IFERROR(IF(#REF!="S",VLOOKUP('Raw Data'!A5161,References!#REF!,2,FALSE),(VLOOKUP($S5161,References!$B$3:$C$8,2,FALSE))),"")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28"/>
        <v>0</v>
      </c>
      <c r="T5162" s="98">
        <f t="shared" si="227"/>
        <v>0</v>
      </c>
      <c r="U5162" s="99" t="str">
        <f>IFERROR(IF(#REF!="S",VLOOKUP('Raw Data'!A5162,References!#REF!,2,FALSE),(VLOOKUP($S5162,References!$B$3:$C$8,2,FALSE))),"")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28"/>
        <v>0</v>
      </c>
      <c r="T5163" s="98">
        <f t="shared" si="227"/>
        <v>0</v>
      </c>
      <c r="U5163" s="99" t="str">
        <f>IFERROR(IF(#REF!="S",VLOOKUP('Raw Data'!A5163,References!#REF!,2,FALSE),(VLOOKUP($S5163,References!$B$3:$C$8,2,FALSE))),"")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28"/>
        <v>0</v>
      </c>
      <c r="T5164" s="98">
        <f t="shared" si="227"/>
        <v>0</v>
      </c>
      <c r="U5164" s="99" t="str">
        <f>IFERROR(IF(#REF!="S",VLOOKUP('Raw Data'!A5164,References!#REF!,2,FALSE),(VLOOKUP($S5164,References!$B$3:$C$8,2,FALSE))),"")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28"/>
        <v>0</v>
      </c>
      <c r="T5165" s="98">
        <f t="shared" si="227"/>
        <v>0</v>
      </c>
      <c r="U5165" s="99" t="str">
        <f>IFERROR(IF(#REF!="S",VLOOKUP('Raw Data'!A5165,References!#REF!,2,FALSE),(VLOOKUP($S5165,References!$B$3:$C$8,2,FALSE))),"")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28"/>
        <v>0</v>
      </c>
      <c r="T5166" s="98">
        <f t="shared" si="227"/>
        <v>0</v>
      </c>
      <c r="U5166" s="99" t="str">
        <f>IFERROR(IF(#REF!="S",VLOOKUP('Raw Data'!A5166,References!#REF!,2,FALSE),(VLOOKUP($S5166,References!$B$3:$C$8,2,FALSE))),"")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28"/>
        <v>0</v>
      </c>
      <c r="T5167" s="98">
        <f t="shared" si="227"/>
        <v>0</v>
      </c>
      <c r="U5167" s="99" t="str">
        <f>IFERROR(IF(#REF!="S",VLOOKUP('Raw Data'!A5167,References!#REF!,2,FALSE),(VLOOKUP($S5167,References!$B$3:$C$8,2,FALSE))),"")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28"/>
        <v>0</v>
      </c>
      <c r="T5168" s="98">
        <f t="shared" si="227"/>
        <v>0</v>
      </c>
      <c r="U5168" s="99" t="str">
        <f>IFERROR(IF(#REF!="S",VLOOKUP('Raw Data'!A5168,References!#REF!,2,FALSE),(VLOOKUP($S5168,References!$B$3:$C$8,2,FALSE))),"")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28"/>
        <v>0</v>
      </c>
      <c r="T5169" s="98">
        <f t="shared" si="227"/>
        <v>0</v>
      </c>
      <c r="U5169" s="99" t="str">
        <f>IFERROR(IF(#REF!="S",VLOOKUP('Raw Data'!A5169,References!#REF!,2,FALSE),(VLOOKUP($S5169,References!$B$3:$C$8,2,FALSE))),"")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28"/>
        <v>0</v>
      </c>
      <c r="T5170" s="98">
        <f t="shared" si="227"/>
        <v>0</v>
      </c>
      <c r="U5170" s="99" t="str">
        <f>IFERROR(IF(#REF!="S",VLOOKUP('Raw Data'!A5170,References!#REF!,2,FALSE),(VLOOKUP($S5170,References!$B$3:$C$8,2,FALSE))),"")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28"/>
        <v>0</v>
      </c>
      <c r="T5171" s="98">
        <f t="shared" si="227"/>
        <v>0</v>
      </c>
      <c r="U5171" s="99" t="str">
        <f>IFERROR(IF(#REF!="S",VLOOKUP('Raw Data'!A5171,References!#REF!,2,FALSE),(VLOOKUP($S5171,References!$B$3:$C$8,2,FALSE))),"")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28"/>
        <v>0</v>
      </c>
      <c r="T5172" s="98">
        <f t="shared" si="227"/>
        <v>0</v>
      </c>
      <c r="U5172" s="99" t="str">
        <f>IFERROR(IF(#REF!="S",VLOOKUP('Raw Data'!A5172,References!#REF!,2,FALSE),(VLOOKUP($S5172,References!$B$3:$C$8,2,FALSE))),"")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28"/>
        <v>0</v>
      </c>
      <c r="T5173" s="98">
        <f t="shared" si="227"/>
        <v>0</v>
      </c>
      <c r="U5173" s="99" t="str">
        <f>IFERROR(IF(#REF!="S",VLOOKUP('Raw Data'!A5173,References!#REF!,2,FALSE),(VLOOKUP($S5173,References!$B$3:$C$8,2,FALSE))),"")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28"/>
        <v>0</v>
      </c>
      <c r="T5174" s="98">
        <f t="shared" si="227"/>
        <v>0</v>
      </c>
      <c r="U5174" s="99" t="str">
        <f>IFERROR(IF(#REF!="S",VLOOKUP('Raw Data'!A5174,References!#REF!,2,FALSE),(VLOOKUP($S5174,References!$B$3:$C$8,2,FALSE))),"")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28"/>
        <v>0</v>
      </c>
      <c r="T5175" s="98">
        <f t="shared" si="227"/>
        <v>0</v>
      </c>
      <c r="U5175" s="99" t="str">
        <f>IFERROR(IF(#REF!="S",VLOOKUP('Raw Data'!A5175,References!#REF!,2,FALSE),(VLOOKUP($S5175,References!$B$3:$C$8,2,FALSE))),"")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28"/>
        <v>0</v>
      </c>
      <c r="T5176" s="98">
        <f t="shared" si="227"/>
        <v>0</v>
      </c>
      <c r="U5176" s="99" t="str">
        <f>IFERROR(IF(#REF!="S",VLOOKUP('Raw Data'!A5176,References!#REF!,2,FALSE),(VLOOKUP($S5176,References!$B$3:$C$8,2,FALSE))),"")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28"/>
        <v>0</v>
      </c>
      <c r="T5177" s="98">
        <f t="shared" si="227"/>
        <v>0</v>
      </c>
      <c r="U5177" s="99" t="str">
        <f>IFERROR(IF(#REF!="S",VLOOKUP('Raw Data'!A5177,References!#REF!,2,FALSE),(VLOOKUP($S5177,References!$B$3:$C$8,2,FALSE))),"")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28"/>
        <v>0</v>
      </c>
      <c r="T5178" s="98">
        <f t="shared" si="227"/>
        <v>0</v>
      </c>
      <c r="U5178" s="99" t="str">
        <f>IFERROR(IF(#REF!="S",VLOOKUP('Raw Data'!A5178,References!#REF!,2,FALSE),(VLOOKUP($S5178,References!$B$3:$C$8,2,FALSE))),"")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28"/>
        <v>0</v>
      </c>
      <c r="T5179" s="98">
        <f t="shared" si="227"/>
        <v>0</v>
      </c>
      <c r="U5179" s="99" t="str">
        <f>IFERROR(IF(#REF!="S",VLOOKUP('Raw Data'!A5179,References!#REF!,2,FALSE),(VLOOKUP($S5179,References!$B$3:$C$8,2,FALSE))),"")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28"/>
        <v>0</v>
      </c>
      <c r="T5180" s="98">
        <f t="shared" si="227"/>
        <v>0</v>
      </c>
      <c r="U5180" s="99" t="str">
        <f>IFERROR(IF(#REF!="S",VLOOKUP('Raw Data'!A5180,References!#REF!,2,FALSE),(VLOOKUP($S5180,References!$B$3:$C$8,2,FALSE))),"")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28"/>
        <v>0</v>
      </c>
      <c r="T5181" s="98">
        <f t="shared" si="227"/>
        <v>0</v>
      </c>
      <c r="U5181" s="99" t="str">
        <f>IFERROR(IF(#REF!="S",VLOOKUP('Raw Data'!A5181,References!#REF!,2,FALSE),(VLOOKUP($S5181,References!$B$3:$C$8,2,FALSE))),"")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28"/>
        <v>0</v>
      </c>
      <c r="T5182" s="98">
        <f t="shared" si="227"/>
        <v>0</v>
      </c>
      <c r="U5182" s="99" t="str">
        <f>IFERROR(IF(#REF!="S",VLOOKUP('Raw Data'!A5182,References!#REF!,2,FALSE),(VLOOKUP($S5182,References!$B$3:$C$8,2,FALSE))),"")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28"/>
        <v>0</v>
      </c>
      <c r="T5183" s="98">
        <f t="shared" si="227"/>
        <v>0</v>
      </c>
      <c r="U5183" s="99" t="str">
        <f>IFERROR(IF(#REF!="S",VLOOKUP('Raw Data'!A5183,References!#REF!,2,FALSE),(VLOOKUP($S5183,References!$B$3:$C$8,2,FALSE))),"")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28"/>
        <v>0</v>
      </c>
      <c r="T5184" s="98">
        <f t="shared" si="227"/>
        <v>0</v>
      </c>
      <c r="U5184" s="99" t="str">
        <f>IFERROR(IF(#REF!="S",VLOOKUP('Raw Data'!A5184,References!#REF!,2,FALSE),(VLOOKUP($S5184,References!$B$3:$C$8,2,FALSE))),"")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28"/>
        <v>0</v>
      </c>
      <c r="T5185" s="98">
        <f t="shared" si="227"/>
        <v>0</v>
      </c>
      <c r="U5185" s="99" t="str">
        <f>IFERROR(IF(#REF!="S",VLOOKUP('Raw Data'!A5185,References!#REF!,2,FALSE),(VLOOKUP($S5185,References!$B$3:$C$8,2,FALSE))),"")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28"/>
        <v>0</v>
      </c>
      <c r="T5186" s="98">
        <f t="shared" si="227"/>
        <v>0</v>
      </c>
      <c r="U5186" s="99" t="str">
        <f>IFERROR(IF(#REF!="S",VLOOKUP('Raw Data'!A5186,References!#REF!,2,FALSE),(VLOOKUP($S5186,References!$B$3:$C$8,2,FALSE))),"")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28"/>
        <v>0</v>
      </c>
      <c r="T5187" s="98">
        <f t="shared" si="227"/>
        <v>0</v>
      </c>
      <c r="U5187" s="99" t="str">
        <f>IFERROR(IF(#REF!="S",VLOOKUP('Raw Data'!A5187,References!#REF!,2,FALSE),(VLOOKUP($S5187,References!$B$3:$C$8,2,FALSE))),"")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28"/>
        <v>0</v>
      </c>
      <c r="T5188" s="98">
        <f t="shared" si="227"/>
        <v>0</v>
      </c>
      <c r="U5188" s="99" t="str">
        <f>IFERROR(IF(#REF!="S",VLOOKUP('Raw Data'!A5188,References!#REF!,2,FALSE),(VLOOKUP($S5188,References!$B$3:$C$8,2,FALSE))),"")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28"/>
        <v>0</v>
      </c>
      <c r="T5189" s="98">
        <f t="shared" si="227"/>
        <v>0</v>
      </c>
      <c r="U5189" s="99" t="str">
        <f>IFERROR(IF(#REF!="S",VLOOKUP('Raw Data'!A5189,References!#REF!,2,FALSE),(VLOOKUP($S5189,References!$B$3:$C$8,2,FALSE))),"")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28"/>
        <v>0</v>
      </c>
      <c r="T5190" s="98">
        <f t="shared" si="227"/>
        <v>0</v>
      </c>
      <c r="U5190" s="99" t="str">
        <f>IFERROR(IF(#REF!="S",VLOOKUP('Raw Data'!A5190,References!#REF!,2,FALSE),(VLOOKUP($S5190,References!$B$3:$C$8,2,FALSE))),"")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28"/>
        <v>0</v>
      </c>
      <c r="T5191" s="98">
        <f t="shared" si="227"/>
        <v>0</v>
      </c>
      <c r="U5191" s="99" t="str">
        <f>IFERROR(IF(#REF!="S",VLOOKUP('Raw Data'!A5191,References!#REF!,2,FALSE),(VLOOKUP($S5191,References!$B$3:$C$8,2,FALSE))),"")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28"/>
        <v>0</v>
      </c>
      <c r="T5192" s="98">
        <f t="shared" si="227"/>
        <v>0</v>
      </c>
      <c r="U5192" s="99" t="str">
        <f>IFERROR(IF(#REF!="S",VLOOKUP('Raw Data'!A5192,References!#REF!,2,FALSE),(VLOOKUP($S5192,References!$B$3:$C$8,2,FALSE))),"")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28"/>
        <v>0</v>
      </c>
      <c r="T5193" s="98">
        <f t="shared" si="227"/>
        <v>0</v>
      </c>
      <c r="U5193" s="99" t="str">
        <f>IFERROR(IF(#REF!="S",VLOOKUP('Raw Data'!A5193,References!#REF!,2,FALSE),(VLOOKUP($S5193,References!$B$3:$C$8,2,FALSE))),"")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28"/>
        <v>0</v>
      </c>
      <c r="T5194" s="98">
        <f t="shared" si="227"/>
        <v>0</v>
      </c>
      <c r="U5194" s="99" t="str">
        <f>IFERROR(IF(#REF!="S",VLOOKUP('Raw Data'!A5194,References!#REF!,2,FALSE),(VLOOKUP($S5194,References!$B$3:$C$8,2,FALSE))),"")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28"/>
        <v>0</v>
      </c>
      <c r="T5195" s="98">
        <f t="shared" si="227"/>
        <v>0</v>
      </c>
      <c r="U5195" s="99" t="str">
        <f>IFERROR(IF(#REF!="S",VLOOKUP('Raw Data'!A5195,References!#REF!,2,FALSE),(VLOOKUP($S5195,References!$B$3:$C$8,2,FALSE))),"")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28"/>
        <v>0</v>
      </c>
      <c r="T5196" s="98">
        <f t="shared" si="227"/>
        <v>0</v>
      </c>
      <c r="U5196" s="99" t="str">
        <f>IFERROR(IF(#REF!="S",VLOOKUP('Raw Data'!A5196,References!#REF!,2,FALSE),(VLOOKUP($S5196,References!$B$3:$C$8,2,FALSE))),"")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28"/>
        <v>0</v>
      </c>
      <c r="T5197" s="98">
        <f t="shared" si="227"/>
        <v>0</v>
      </c>
      <c r="U5197" s="99" t="str">
        <f>IFERROR(IF(#REF!="S",VLOOKUP('Raw Data'!A5197,References!#REF!,2,FALSE),(VLOOKUP($S5197,References!$B$3:$C$8,2,FALSE))),"")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28"/>
        <v>0</v>
      </c>
      <c r="T5198" s="98">
        <f t="shared" si="227"/>
        <v>0</v>
      </c>
      <c r="U5198" s="99" t="str">
        <f>IFERROR(IF(#REF!="S",VLOOKUP('Raw Data'!A5198,References!#REF!,2,FALSE),(VLOOKUP($S5198,References!$B$3:$C$8,2,FALSE))),"")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28"/>
        <v>0</v>
      </c>
      <c r="T5199" s="98">
        <f t="shared" si="227"/>
        <v>0</v>
      </c>
      <c r="U5199" s="99" t="str">
        <f>IFERROR(IF(#REF!="S",VLOOKUP('Raw Data'!A5199,References!#REF!,2,FALSE),(VLOOKUP($S5199,References!$B$3:$C$8,2,FALSE))),"")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28"/>
        <v>0</v>
      </c>
      <c r="T5200" s="98">
        <f t="shared" ref="T5200:T5263" si="229">IF(S5200="50 - Cleaning Fee",1,HOUR($R5200)+MINUTE(R5200)/60)</f>
        <v>0</v>
      </c>
      <c r="U5200" s="99" t="str">
        <f>IFERROR(IF(#REF!="S",VLOOKUP('Raw Data'!A5200,References!#REF!,2,FALSE),(VLOOKUP($S5200,References!$B$3:$C$8,2,FALSE))),"")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28"/>
        <v>0</v>
      </c>
      <c r="T5201" s="98">
        <f t="shared" si="229"/>
        <v>0</v>
      </c>
      <c r="U5201" s="99" t="str">
        <f>IFERROR(IF(#REF!="S",VLOOKUP('Raw Data'!A5201,References!#REF!,2,FALSE),(VLOOKUP($S5201,References!$B$3:$C$8,2,FALSE))),"")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28"/>
        <v>0</v>
      </c>
      <c r="T5202" s="98">
        <f t="shared" si="229"/>
        <v>0</v>
      </c>
      <c r="U5202" s="99" t="str">
        <f>IFERROR(IF(#REF!="S",VLOOKUP('Raw Data'!A5202,References!#REF!,2,FALSE),(VLOOKUP($S5202,References!$B$3:$C$8,2,FALSE))),"")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28"/>
        <v>0</v>
      </c>
      <c r="T5203" s="98">
        <f t="shared" si="229"/>
        <v>0</v>
      </c>
      <c r="U5203" s="99" t="str">
        <f>IFERROR(IF(#REF!="S",VLOOKUP('Raw Data'!A5203,References!#REF!,2,FALSE),(VLOOKUP($S5203,References!$B$3:$C$8,2,FALSE))),"")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28"/>
        <v>0</v>
      </c>
      <c r="T5204" s="98">
        <f t="shared" si="229"/>
        <v>0</v>
      </c>
      <c r="U5204" s="99" t="str">
        <f>IFERROR(IF(#REF!="S",VLOOKUP('Raw Data'!A5204,References!#REF!,2,FALSE),(VLOOKUP($S5204,References!$B$3:$C$8,2,FALSE))),"")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28"/>
        <v>0</v>
      </c>
      <c r="T5205" s="98">
        <f t="shared" si="229"/>
        <v>0</v>
      </c>
      <c r="U5205" s="99" t="str">
        <f>IFERROR(IF(#REF!="S",VLOOKUP('Raw Data'!A5205,References!#REF!,2,FALSE),(VLOOKUP($S5205,References!$B$3:$C$8,2,FALSE))),"")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28"/>
        <v>0</v>
      </c>
      <c r="T5206" s="98">
        <f t="shared" si="229"/>
        <v>0</v>
      </c>
      <c r="U5206" s="99" t="str">
        <f>IFERROR(IF(#REF!="S",VLOOKUP('Raw Data'!A5206,References!#REF!,2,FALSE),(VLOOKUP($S5206,References!$B$3:$C$8,2,FALSE))),"")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28"/>
        <v>0</v>
      </c>
      <c r="T5207" s="98">
        <f t="shared" si="229"/>
        <v>0</v>
      </c>
      <c r="U5207" s="99" t="str">
        <f>IFERROR(IF(#REF!="S",VLOOKUP('Raw Data'!A5207,References!#REF!,2,FALSE),(VLOOKUP($S5207,References!$B$3:$C$8,2,FALSE))),"")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28"/>
        <v>0</v>
      </c>
      <c r="T5208" s="98">
        <f t="shared" si="229"/>
        <v>0</v>
      </c>
      <c r="U5208" s="99" t="str">
        <f>IFERROR(IF(#REF!="S",VLOOKUP('Raw Data'!A5208,References!#REF!,2,FALSE),(VLOOKUP($S5208,References!$B$3:$C$8,2,FALSE))),"")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28"/>
        <v>0</v>
      </c>
      <c r="T5209" s="98">
        <f t="shared" si="229"/>
        <v>0</v>
      </c>
      <c r="U5209" s="99" t="str">
        <f>IFERROR(IF(#REF!="S",VLOOKUP('Raw Data'!A5209,References!#REF!,2,FALSE),(VLOOKUP($S5209,References!$B$3:$C$8,2,FALSE))),"")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28"/>
        <v>0</v>
      </c>
      <c r="T5210" s="98">
        <f t="shared" si="229"/>
        <v>0</v>
      </c>
      <c r="U5210" s="99" t="str">
        <f>IFERROR(IF(#REF!="S",VLOOKUP('Raw Data'!A5210,References!#REF!,2,FALSE),(VLOOKUP($S5210,References!$B$3:$C$8,2,FALSE))),"")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28"/>
        <v>0</v>
      </c>
      <c r="T5211" s="98">
        <f t="shared" si="229"/>
        <v>0</v>
      </c>
      <c r="U5211" s="99" t="str">
        <f>IFERROR(IF(#REF!="S",VLOOKUP('Raw Data'!A5211,References!#REF!,2,FALSE),(VLOOKUP($S5211,References!$B$3:$C$8,2,FALSE))),"")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28"/>
        <v>0</v>
      </c>
      <c r="T5212" s="98">
        <f t="shared" si="229"/>
        <v>0</v>
      </c>
      <c r="U5212" s="99" t="str">
        <f>IFERROR(IF(#REF!="S",VLOOKUP('Raw Data'!A5212,References!#REF!,2,FALSE),(VLOOKUP($S5212,References!$B$3:$C$8,2,FALSE))),"")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28"/>
        <v>0</v>
      </c>
      <c r="T5213" s="98">
        <f t="shared" si="229"/>
        <v>0</v>
      </c>
      <c r="U5213" s="99" t="str">
        <f>IFERROR(IF(#REF!="S",VLOOKUP('Raw Data'!A5213,References!#REF!,2,FALSE),(VLOOKUP($S5213,References!$B$3:$C$8,2,FALSE))),"")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28"/>
        <v>0</v>
      </c>
      <c r="T5214" s="98">
        <f t="shared" si="229"/>
        <v>0</v>
      </c>
      <c r="U5214" s="99" t="str">
        <f>IFERROR(IF(#REF!="S",VLOOKUP('Raw Data'!A5214,References!#REF!,2,FALSE),(VLOOKUP($S5214,References!$B$3:$C$8,2,FALSE))),"")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28"/>
        <v>0</v>
      </c>
      <c r="T5215" s="98">
        <f t="shared" si="229"/>
        <v>0</v>
      </c>
      <c r="U5215" s="99" t="str">
        <f>IFERROR(IF(#REF!="S",VLOOKUP('Raw Data'!A5215,References!#REF!,2,FALSE),(VLOOKUP($S5215,References!$B$3:$C$8,2,FALSE))),"")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28"/>
        <v>0</v>
      </c>
      <c r="T5216" s="98">
        <f t="shared" si="229"/>
        <v>0</v>
      </c>
      <c r="U5216" s="99" t="str">
        <f>IFERROR(IF(#REF!="S",VLOOKUP('Raw Data'!A5216,References!#REF!,2,FALSE),(VLOOKUP($S5216,References!$B$3:$C$8,2,FALSE))),"")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28"/>
        <v>0</v>
      </c>
      <c r="T5217" s="98">
        <f t="shared" si="229"/>
        <v>0</v>
      </c>
      <c r="U5217" s="99" t="str">
        <f>IFERROR(IF(#REF!="S",VLOOKUP('Raw Data'!A5217,References!#REF!,2,FALSE),(VLOOKUP($S5217,References!$B$3:$C$8,2,FALSE))),"")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28"/>
        <v>0</v>
      </c>
      <c r="T5218" s="98">
        <f t="shared" si="229"/>
        <v>0</v>
      </c>
      <c r="U5218" s="99" t="str">
        <f>IFERROR(IF(#REF!="S",VLOOKUP('Raw Data'!A5218,References!#REF!,2,FALSE),(VLOOKUP($S5218,References!$B$3:$C$8,2,FALSE))),"")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28"/>
        <v>0</v>
      </c>
      <c r="T5219" s="98">
        <f t="shared" si="229"/>
        <v>0</v>
      </c>
      <c r="U5219" s="99" t="str">
        <f>IFERROR(IF(#REF!="S",VLOOKUP('Raw Data'!A5219,References!#REF!,2,FALSE),(VLOOKUP($S5219,References!$B$3:$C$8,2,FALSE))),"")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28"/>
        <v>0</v>
      </c>
      <c r="T5220" s="98">
        <f t="shared" si="229"/>
        <v>0</v>
      </c>
      <c r="U5220" s="99" t="str">
        <f>IFERROR(IF(#REF!="S",VLOOKUP('Raw Data'!A5220,References!#REF!,2,FALSE),(VLOOKUP($S5220,References!$B$3:$C$8,2,FALSE))),"")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28"/>
        <v>0</v>
      </c>
      <c r="T5221" s="98">
        <f t="shared" si="229"/>
        <v>0</v>
      </c>
      <c r="U5221" s="99" t="str">
        <f>IFERROR(IF(#REF!="S",VLOOKUP('Raw Data'!A5221,References!#REF!,2,FALSE),(VLOOKUP($S5221,References!$B$3:$C$8,2,FALSE))),"")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28"/>
        <v>0</v>
      </c>
      <c r="T5222" s="98">
        <f t="shared" si="229"/>
        <v>0</v>
      </c>
      <c r="U5222" s="99" t="str">
        <f>IFERROR(IF(#REF!="S",VLOOKUP('Raw Data'!A5222,References!#REF!,2,FALSE),(VLOOKUP($S5222,References!$B$3:$C$8,2,FALSE))),"")</f>
        <v/>
      </c>
      <c r="W5222" s="66" t="str">
        <f>IFERROR(VLOOKUP($O5222,'Customer List'!$A$1:$J$488,10,FALSE),"")</f>
        <v/>
      </c>
    </row>
    <row r="5223" spans="18:23">
      <c r="R5223" s="97">
        <f t="shared" si="228"/>
        <v>0</v>
      </c>
      <c r="T5223" s="98">
        <f t="shared" si="229"/>
        <v>0</v>
      </c>
      <c r="U5223" s="99" t="str">
        <f>IFERROR(IF(#REF!="S",VLOOKUP('Raw Data'!A5223,References!#REF!,2,FALSE),(VLOOKUP($S5223,References!$B$3:$C$8,2,FALSE))),"")</f>
        <v/>
      </c>
      <c r="W5223" s="66" t="str">
        <f>IFERROR(VLOOKUP($O5223,'Customer List'!$A$1:$J$488,10,FALSE),"")</f>
        <v/>
      </c>
    </row>
    <row r="5224" spans="18:23">
      <c r="R5224" s="97">
        <f t="shared" ref="R5224:R5287" si="230">L5224-K5224</f>
        <v>0</v>
      </c>
      <c r="T5224" s="98">
        <f t="shared" si="229"/>
        <v>0</v>
      </c>
      <c r="U5224" s="99" t="str">
        <f>IFERROR(IF(#REF!="S",VLOOKUP('Raw Data'!A5224,References!#REF!,2,FALSE),(VLOOKUP($S5224,References!$B$3:$C$8,2,FALSE))),"")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0"/>
        <v>0</v>
      </c>
      <c r="T5225" s="98">
        <f t="shared" si="229"/>
        <v>0</v>
      </c>
      <c r="U5225" s="99" t="str">
        <f>IFERROR(IF(#REF!="S",VLOOKUP('Raw Data'!A5225,References!#REF!,2,FALSE),(VLOOKUP($S5225,References!$B$3:$C$8,2,FALSE))),"")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0"/>
        <v>0</v>
      </c>
      <c r="T5226" s="98">
        <f t="shared" si="229"/>
        <v>0</v>
      </c>
      <c r="U5226" s="99" t="str">
        <f>IFERROR(IF(#REF!="S",VLOOKUP('Raw Data'!A5226,References!#REF!,2,FALSE),(VLOOKUP($S5226,References!$B$3:$C$8,2,FALSE))),"")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0"/>
        <v>0</v>
      </c>
      <c r="T5227" s="98">
        <f t="shared" si="229"/>
        <v>0</v>
      </c>
      <c r="U5227" s="99" t="str">
        <f>IFERROR(IF(#REF!="S",VLOOKUP('Raw Data'!A5227,References!#REF!,2,FALSE),(VLOOKUP($S5227,References!$B$3:$C$8,2,FALSE))),"")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0"/>
        <v>0</v>
      </c>
      <c r="T5228" s="98">
        <f t="shared" si="229"/>
        <v>0</v>
      </c>
      <c r="U5228" s="99" t="str">
        <f>IFERROR(IF(#REF!="S",VLOOKUP('Raw Data'!A5228,References!#REF!,2,FALSE),(VLOOKUP($S5228,References!$B$3:$C$8,2,FALSE))),"")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0"/>
        <v>0</v>
      </c>
      <c r="T5229" s="98">
        <f t="shared" si="229"/>
        <v>0</v>
      </c>
      <c r="U5229" s="99" t="str">
        <f>IFERROR(IF(#REF!="S",VLOOKUP('Raw Data'!A5229,References!#REF!,2,FALSE),(VLOOKUP($S5229,References!$B$3:$C$8,2,FALSE))),"")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0"/>
        <v>0</v>
      </c>
      <c r="T5230" s="98">
        <f t="shared" si="229"/>
        <v>0</v>
      </c>
      <c r="U5230" s="99" t="str">
        <f>IFERROR(IF(#REF!="S",VLOOKUP('Raw Data'!A5230,References!#REF!,2,FALSE),(VLOOKUP($S5230,References!$B$3:$C$8,2,FALSE))),"")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0"/>
        <v>0</v>
      </c>
      <c r="T5231" s="98">
        <f t="shared" si="229"/>
        <v>0</v>
      </c>
      <c r="U5231" s="99" t="str">
        <f>IFERROR(IF(#REF!="S",VLOOKUP('Raw Data'!A5231,References!#REF!,2,FALSE),(VLOOKUP($S5231,References!$B$3:$C$8,2,FALSE))),"")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0"/>
        <v>0</v>
      </c>
      <c r="T5232" s="98">
        <f t="shared" si="229"/>
        <v>0</v>
      </c>
      <c r="U5232" s="99" t="str">
        <f>IFERROR(IF(#REF!="S",VLOOKUP('Raw Data'!A5232,References!#REF!,2,FALSE),(VLOOKUP($S5232,References!$B$3:$C$8,2,FALSE))),"")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0"/>
        <v>0</v>
      </c>
      <c r="T5233" s="98">
        <f t="shared" si="229"/>
        <v>0</v>
      </c>
      <c r="U5233" s="99" t="str">
        <f>IFERROR(IF(#REF!="S",VLOOKUP('Raw Data'!A5233,References!#REF!,2,FALSE),(VLOOKUP($S5233,References!$B$3:$C$8,2,FALSE))),"")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0"/>
        <v>0</v>
      </c>
      <c r="T5234" s="98">
        <f t="shared" si="229"/>
        <v>0</v>
      </c>
      <c r="U5234" s="99" t="str">
        <f>IFERROR(IF(#REF!="S",VLOOKUP('Raw Data'!A5234,References!#REF!,2,FALSE),(VLOOKUP($S5234,References!$B$3:$C$8,2,FALSE))),"")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0"/>
        <v>0</v>
      </c>
      <c r="T5235" s="98">
        <f t="shared" si="229"/>
        <v>0</v>
      </c>
      <c r="U5235" s="99" t="str">
        <f>IFERROR(IF(#REF!="S",VLOOKUP('Raw Data'!A5235,References!#REF!,2,FALSE),(VLOOKUP($S5235,References!$B$3:$C$8,2,FALSE))),"")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0"/>
        <v>0</v>
      </c>
      <c r="T5236" s="98">
        <f t="shared" si="229"/>
        <v>0</v>
      </c>
      <c r="U5236" s="99" t="str">
        <f>IFERROR(IF(#REF!="S",VLOOKUP('Raw Data'!A5236,References!#REF!,2,FALSE),(VLOOKUP($S5236,References!$B$3:$C$8,2,FALSE))),"")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0"/>
        <v>0</v>
      </c>
      <c r="T5237" s="98">
        <f t="shared" si="229"/>
        <v>0</v>
      </c>
      <c r="U5237" s="99" t="str">
        <f>IFERROR(IF(#REF!="S",VLOOKUP('Raw Data'!A5237,References!#REF!,2,FALSE),(VLOOKUP($S5237,References!$B$3:$C$8,2,FALSE))),"")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0"/>
        <v>0</v>
      </c>
      <c r="T5238" s="98">
        <f t="shared" si="229"/>
        <v>0</v>
      </c>
      <c r="U5238" s="99" t="str">
        <f>IFERROR(IF(#REF!="S",VLOOKUP('Raw Data'!A5238,References!#REF!,2,FALSE),(VLOOKUP($S5238,References!$B$3:$C$8,2,FALSE))),"")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0"/>
        <v>0</v>
      </c>
      <c r="T5239" s="98">
        <f t="shared" si="229"/>
        <v>0</v>
      </c>
      <c r="U5239" s="99" t="str">
        <f>IFERROR(IF(#REF!="S",VLOOKUP('Raw Data'!A5239,References!#REF!,2,FALSE),(VLOOKUP($S5239,References!$B$3:$C$8,2,FALSE))),"")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0"/>
        <v>0</v>
      </c>
      <c r="T5240" s="98">
        <f t="shared" si="229"/>
        <v>0</v>
      </c>
      <c r="U5240" s="99" t="str">
        <f>IFERROR(IF(#REF!="S",VLOOKUP('Raw Data'!A5240,References!#REF!,2,FALSE),(VLOOKUP($S5240,References!$B$3:$C$8,2,FALSE))),"")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0"/>
        <v>0</v>
      </c>
      <c r="T5241" s="98">
        <f t="shared" si="229"/>
        <v>0</v>
      </c>
      <c r="U5241" s="99" t="str">
        <f>IFERROR(IF(#REF!="S",VLOOKUP('Raw Data'!A5241,References!#REF!,2,FALSE),(VLOOKUP($S5241,References!$B$3:$C$8,2,FALSE))),"")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0"/>
        <v>0</v>
      </c>
      <c r="T5242" s="98">
        <f t="shared" si="229"/>
        <v>0</v>
      </c>
      <c r="U5242" s="99" t="str">
        <f>IFERROR(IF(#REF!="S",VLOOKUP('Raw Data'!A5242,References!#REF!,2,FALSE),(VLOOKUP($S5242,References!$B$3:$C$8,2,FALSE))),"")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0"/>
        <v>0</v>
      </c>
      <c r="T5243" s="98">
        <f t="shared" si="229"/>
        <v>0</v>
      </c>
      <c r="U5243" s="99" t="str">
        <f>IFERROR(IF(#REF!="S",VLOOKUP('Raw Data'!A5243,References!#REF!,2,FALSE),(VLOOKUP($S5243,References!$B$3:$C$8,2,FALSE))),"")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0"/>
        <v>0</v>
      </c>
      <c r="T5244" s="98">
        <f t="shared" si="229"/>
        <v>0</v>
      </c>
      <c r="U5244" s="99" t="str">
        <f>IFERROR(IF(#REF!="S",VLOOKUP('Raw Data'!A5244,References!#REF!,2,FALSE),(VLOOKUP($S5244,References!$B$3:$C$8,2,FALSE))),"")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0"/>
        <v>0</v>
      </c>
      <c r="T5245" s="98">
        <f t="shared" si="229"/>
        <v>0</v>
      </c>
      <c r="U5245" s="99" t="str">
        <f>IFERROR(IF(#REF!="S",VLOOKUP('Raw Data'!A5245,References!#REF!,2,FALSE),(VLOOKUP($S5245,References!$B$3:$C$8,2,FALSE))),"")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0"/>
        <v>0</v>
      </c>
      <c r="T5246" s="98">
        <f t="shared" si="229"/>
        <v>0</v>
      </c>
      <c r="U5246" s="99" t="str">
        <f>IFERROR(IF(#REF!="S",VLOOKUP('Raw Data'!A5246,References!#REF!,2,FALSE),(VLOOKUP($S5246,References!$B$3:$C$8,2,FALSE))),"")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0"/>
        <v>0</v>
      </c>
      <c r="T5247" s="98">
        <f t="shared" si="229"/>
        <v>0</v>
      </c>
      <c r="U5247" s="99" t="str">
        <f>IFERROR(IF(#REF!="S",VLOOKUP('Raw Data'!A5247,References!#REF!,2,FALSE),(VLOOKUP($S5247,References!$B$3:$C$8,2,FALSE))),"")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0"/>
        <v>0</v>
      </c>
      <c r="T5248" s="98">
        <f t="shared" si="229"/>
        <v>0</v>
      </c>
      <c r="U5248" s="99" t="str">
        <f>IFERROR(IF(#REF!="S",VLOOKUP('Raw Data'!A5248,References!#REF!,2,FALSE),(VLOOKUP($S5248,References!$B$3:$C$8,2,FALSE))),"")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0"/>
        <v>0</v>
      </c>
      <c r="T5249" s="98">
        <f t="shared" si="229"/>
        <v>0</v>
      </c>
      <c r="U5249" s="99" t="str">
        <f>IFERROR(IF(#REF!="S",VLOOKUP('Raw Data'!A5249,References!#REF!,2,FALSE),(VLOOKUP($S5249,References!$B$3:$C$8,2,FALSE))),"")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0"/>
        <v>0</v>
      </c>
      <c r="T5250" s="98">
        <f t="shared" si="229"/>
        <v>0</v>
      </c>
      <c r="U5250" s="99" t="str">
        <f>IFERROR(IF(#REF!="S",VLOOKUP('Raw Data'!A5250,References!#REF!,2,FALSE),(VLOOKUP($S5250,References!$B$3:$C$8,2,FALSE))),"")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0"/>
        <v>0</v>
      </c>
      <c r="T5251" s="98">
        <f t="shared" si="229"/>
        <v>0</v>
      </c>
      <c r="U5251" s="99" t="str">
        <f>IFERROR(IF(#REF!="S",VLOOKUP('Raw Data'!A5251,References!#REF!,2,FALSE),(VLOOKUP($S5251,References!$B$3:$C$8,2,FALSE))),"")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0"/>
        <v>0</v>
      </c>
      <c r="T5252" s="98">
        <f t="shared" si="229"/>
        <v>0</v>
      </c>
      <c r="U5252" s="99" t="str">
        <f>IFERROR(IF(#REF!="S",VLOOKUP('Raw Data'!A5252,References!#REF!,2,FALSE),(VLOOKUP($S5252,References!$B$3:$C$8,2,FALSE))),"")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0"/>
        <v>0</v>
      </c>
      <c r="T5253" s="98">
        <f t="shared" si="229"/>
        <v>0</v>
      </c>
      <c r="U5253" s="99" t="str">
        <f>IFERROR(IF(#REF!="S",VLOOKUP('Raw Data'!A5253,References!#REF!,2,FALSE),(VLOOKUP($S5253,References!$B$3:$C$8,2,FALSE))),"")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0"/>
        <v>0</v>
      </c>
      <c r="T5254" s="98">
        <f t="shared" si="229"/>
        <v>0</v>
      </c>
      <c r="U5254" s="99" t="str">
        <f>IFERROR(IF(#REF!="S",VLOOKUP('Raw Data'!A5254,References!#REF!,2,FALSE),(VLOOKUP($S5254,References!$B$3:$C$8,2,FALSE))),"")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0"/>
        <v>0</v>
      </c>
      <c r="T5255" s="98">
        <f t="shared" si="229"/>
        <v>0</v>
      </c>
      <c r="U5255" s="99" t="str">
        <f>IFERROR(IF(#REF!="S",VLOOKUP('Raw Data'!A5255,References!#REF!,2,FALSE),(VLOOKUP($S5255,References!$B$3:$C$8,2,FALSE))),"")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0"/>
        <v>0</v>
      </c>
      <c r="T5256" s="98">
        <f t="shared" si="229"/>
        <v>0</v>
      </c>
      <c r="U5256" s="99" t="str">
        <f>IFERROR(IF(#REF!="S",VLOOKUP('Raw Data'!A5256,References!#REF!,2,FALSE),(VLOOKUP($S5256,References!$B$3:$C$8,2,FALSE))),"")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0"/>
        <v>0</v>
      </c>
      <c r="T5257" s="98">
        <f t="shared" si="229"/>
        <v>0</v>
      </c>
      <c r="U5257" s="99" t="str">
        <f>IFERROR(IF(#REF!="S",VLOOKUP('Raw Data'!A5257,References!#REF!,2,FALSE),(VLOOKUP($S5257,References!$B$3:$C$8,2,FALSE))),"")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0"/>
        <v>0</v>
      </c>
      <c r="T5258" s="98">
        <f t="shared" si="229"/>
        <v>0</v>
      </c>
      <c r="U5258" s="99" t="str">
        <f>IFERROR(IF(#REF!="S",VLOOKUP('Raw Data'!A5258,References!#REF!,2,FALSE),(VLOOKUP($S5258,References!$B$3:$C$8,2,FALSE))),"")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0"/>
        <v>0</v>
      </c>
      <c r="T5259" s="98">
        <f t="shared" si="229"/>
        <v>0</v>
      </c>
      <c r="U5259" s="99" t="str">
        <f>IFERROR(IF(#REF!="S",VLOOKUP('Raw Data'!A5259,References!#REF!,2,FALSE),(VLOOKUP($S5259,References!$B$3:$C$8,2,FALSE))),"")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0"/>
        <v>0</v>
      </c>
      <c r="T5260" s="98">
        <f t="shared" si="229"/>
        <v>0</v>
      </c>
      <c r="U5260" s="99" t="str">
        <f>IFERROR(IF(#REF!="S",VLOOKUP('Raw Data'!A5260,References!#REF!,2,FALSE),(VLOOKUP($S5260,References!$B$3:$C$8,2,FALSE))),"")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0"/>
        <v>0</v>
      </c>
      <c r="T5261" s="98">
        <f t="shared" si="229"/>
        <v>0</v>
      </c>
      <c r="U5261" s="99" t="str">
        <f>IFERROR(IF(#REF!="S",VLOOKUP('Raw Data'!A5261,References!#REF!,2,FALSE),(VLOOKUP($S5261,References!$B$3:$C$8,2,FALSE))),"")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0"/>
        <v>0</v>
      </c>
      <c r="T5262" s="98">
        <f t="shared" si="229"/>
        <v>0</v>
      </c>
      <c r="U5262" s="99" t="str">
        <f>IFERROR(IF(#REF!="S",VLOOKUP('Raw Data'!A5262,References!#REF!,2,FALSE),(VLOOKUP($S5262,References!$B$3:$C$8,2,FALSE))),"")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0"/>
        <v>0</v>
      </c>
      <c r="T5263" s="98">
        <f t="shared" si="229"/>
        <v>0</v>
      </c>
      <c r="U5263" s="99" t="str">
        <f>IFERROR(IF(#REF!="S",VLOOKUP('Raw Data'!A5263,References!#REF!,2,FALSE),(VLOOKUP($S5263,References!$B$3:$C$8,2,FALSE))),"")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0"/>
        <v>0</v>
      </c>
      <c r="T5264" s="98">
        <f t="shared" ref="T5264:T5327" si="231">IF(S5264="50 - Cleaning Fee",1,HOUR($R5264)+MINUTE(R5264)/60)</f>
        <v>0</v>
      </c>
      <c r="U5264" s="99" t="str">
        <f>IFERROR(IF(#REF!="S",VLOOKUP('Raw Data'!A5264,References!#REF!,2,FALSE),(VLOOKUP($S5264,References!$B$3:$C$8,2,FALSE))),"")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0"/>
        <v>0</v>
      </c>
      <c r="T5265" s="98">
        <f t="shared" si="231"/>
        <v>0</v>
      </c>
      <c r="U5265" s="99" t="str">
        <f>IFERROR(IF(#REF!="S",VLOOKUP('Raw Data'!A5265,References!#REF!,2,FALSE),(VLOOKUP($S5265,References!$B$3:$C$8,2,FALSE))),"")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0"/>
        <v>0</v>
      </c>
      <c r="T5266" s="98">
        <f t="shared" si="231"/>
        <v>0</v>
      </c>
      <c r="U5266" s="99" t="str">
        <f>IFERROR(IF(#REF!="S",VLOOKUP('Raw Data'!A5266,References!#REF!,2,FALSE),(VLOOKUP($S5266,References!$B$3:$C$8,2,FALSE))),"")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0"/>
        <v>0</v>
      </c>
      <c r="T5267" s="98">
        <f t="shared" si="231"/>
        <v>0</v>
      </c>
      <c r="U5267" s="99" t="str">
        <f>IFERROR(IF(#REF!="S",VLOOKUP('Raw Data'!A5267,References!#REF!,2,FALSE),(VLOOKUP($S5267,References!$B$3:$C$8,2,FALSE))),"")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0"/>
        <v>0</v>
      </c>
      <c r="T5268" s="98">
        <f t="shared" si="231"/>
        <v>0</v>
      </c>
      <c r="U5268" s="99" t="str">
        <f>IFERROR(IF(#REF!="S",VLOOKUP('Raw Data'!A5268,References!#REF!,2,FALSE),(VLOOKUP($S5268,References!$B$3:$C$8,2,FALSE))),"")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0"/>
        <v>0</v>
      </c>
      <c r="T5269" s="98">
        <f t="shared" si="231"/>
        <v>0</v>
      </c>
      <c r="U5269" s="99" t="str">
        <f>IFERROR(IF(#REF!="S",VLOOKUP('Raw Data'!A5269,References!#REF!,2,FALSE),(VLOOKUP($S5269,References!$B$3:$C$8,2,FALSE))),"")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0"/>
        <v>0</v>
      </c>
      <c r="T5270" s="98">
        <f t="shared" si="231"/>
        <v>0</v>
      </c>
      <c r="U5270" s="99" t="str">
        <f>IFERROR(IF(#REF!="S",VLOOKUP('Raw Data'!A5270,References!#REF!,2,FALSE),(VLOOKUP($S5270,References!$B$3:$C$8,2,FALSE))),"")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0"/>
        <v>0</v>
      </c>
      <c r="T5271" s="98">
        <f t="shared" si="231"/>
        <v>0</v>
      </c>
      <c r="U5271" s="99" t="str">
        <f>IFERROR(IF(#REF!="S",VLOOKUP('Raw Data'!A5271,References!#REF!,2,FALSE),(VLOOKUP($S5271,References!$B$3:$C$8,2,FALSE))),"")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0"/>
        <v>0</v>
      </c>
      <c r="T5272" s="98">
        <f t="shared" si="231"/>
        <v>0</v>
      </c>
      <c r="U5272" s="99" t="str">
        <f>IFERROR(IF(#REF!="S",VLOOKUP('Raw Data'!A5272,References!#REF!,2,FALSE),(VLOOKUP($S5272,References!$B$3:$C$8,2,FALSE))),"")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0"/>
        <v>0</v>
      </c>
      <c r="T5273" s="98">
        <f t="shared" si="231"/>
        <v>0</v>
      </c>
      <c r="U5273" s="99" t="str">
        <f>IFERROR(IF(#REF!="S",VLOOKUP('Raw Data'!A5273,References!#REF!,2,FALSE),(VLOOKUP($S5273,References!$B$3:$C$8,2,FALSE))),"")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0"/>
        <v>0</v>
      </c>
      <c r="T5274" s="98">
        <f t="shared" si="231"/>
        <v>0</v>
      </c>
      <c r="U5274" s="99" t="str">
        <f>IFERROR(IF(#REF!="S",VLOOKUP('Raw Data'!A5274,References!#REF!,2,FALSE),(VLOOKUP($S5274,References!$B$3:$C$8,2,FALSE))),"")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0"/>
        <v>0</v>
      </c>
      <c r="T5275" s="98">
        <f t="shared" si="231"/>
        <v>0</v>
      </c>
      <c r="U5275" s="99" t="str">
        <f>IFERROR(IF(#REF!="S",VLOOKUP('Raw Data'!A5275,References!#REF!,2,FALSE),(VLOOKUP($S5275,References!$B$3:$C$8,2,FALSE))),"")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0"/>
        <v>0</v>
      </c>
      <c r="T5276" s="98">
        <f t="shared" si="231"/>
        <v>0</v>
      </c>
      <c r="U5276" s="99" t="str">
        <f>IFERROR(IF(#REF!="S",VLOOKUP('Raw Data'!A5276,References!#REF!,2,FALSE),(VLOOKUP($S5276,References!$B$3:$C$8,2,FALSE))),"")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0"/>
        <v>0</v>
      </c>
      <c r="T5277" s="98">
        <f t="shared" si="231"/>
        <v>0</v>
      </c>
      <c r="U5277" s="99" t="str">
        <f>IFERROR(IF(#REF!="S",VLOOKUP('Raw Data'!A5277,References!#REF!,2,FALSE),(VLOOKUP($S5277,References!$B$3:$C$8,2,FALSE))),"")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0"/>
        <v>0</v>
      </c>
      <c r="T5278" s="98">
        <f t="shared" si="231"/>
        <v>0</v>
      </c>
      <c r="U5278" s="99" t="str">
        <f>IFERROR(IF(#REF!="S",VLOOKUP('Raw Data'!A5278,References!#REF!,2,FALSE),(VLOOKUP($S5278,References!$B$3:$C$8,2,FALSE))),"")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0"/>
        <v>0</v>
      </c>
      <c r="T5279" s="98">
        <f t="shared" si="231"/>
        <v>0</v>
      </c>
      <c r="U5279" s="99" t="str">
        <f>IFERROR(IF(#REF!="S",VLOOKUP('Raw Data'!A5279,References!#REF!,2,FALSE),(VLOOKUP($S5279,References!$B$3:$C$8,2,FALSE))),"")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0"/>
        <v>0</v>
      </c>
      <c r="T5280" s="98">
        <f t="shared" si="231"/>
        <v>0</v>
      </c>
      <c r="U5280" s="99" t="str">
        <f>IFERROR(IF(#REF!="S",VLOOKUP('Raw Data'!A5280,References!#REF!,2,FALSE),(VLOOKUP($S5280,References!$B$3:$C$8,2,FALSE))),"")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0"/>
        <v>0</v>
      </c>
      <c r="T5281" s="98">
        <f t="shared" si="231"/>
        <v>0</v>
      </c>
      <c r="U5281" s="99" t="str">
        <f>IFERROR(IF(#REF!="S",VLOOKUP('Raw Data'!A5281,References!#REF!,2,FALSE),(VLOOKUP($S5281,References!$B$3:$C$8,2,FALSE))),"")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0"/>
        <v>0</v>
      </c>
      <c r="T5282" s="98">
        <f t="shared" si="231"/>
        <v>0</v>
      </c>
      <c r="U5282" s="99" t="str">
        <f>IFERROR(IF(#REF!="S",VLOOKUP('Raw Data'!A5282,References!#REF!,2,FALSE),(VLOOKUP($S5282,References!$B$3:$C$8,2,FALSE))),"")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0"/>
        <v>0</v>
      </c>
      <c r="T5283" s="98">
        <f t="shared" si="231"/>
        <v>0</v>
      </c>
      <c r="U5283" s="99" t="str">
        <f>IFERROR(IF(#REF!="S",VLOOKUP('Raw Data'!A5283,References!#REF!,2,FALSE),(VLOOKUP($S5283,References!$B$3:$C$8,2,FALSE))),"")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0"/>
        <v>0</v>
      </c>
      <c r="T5284" s="98">
        <f t="shared" si="231"/>
        <v>0</v>
      </c>
      <c r="U5284" s="99" t="str">
        <f>IFERROR(IF(#REF!="S",VLOOKUP('Raw Data'!A5284,References!#REF!,2,FALSE),(VLOOKUP($S5284,References!$B$3:$C$8,2,FALSE))),"")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0"/>
        <v>0</v>
      </c>
      <c r="T5285" s="98">
        <f t="shared" si="231"/>
        <v>0</v>
      </c>
      <c r="U5285" s="99" t="str">
        <f>IFERROR(IF(#REF!="S",VLOOKUP('Raw Data'!A5285,References!#REF!,2,FALSE),(VLOOKUP($S5285,References!$B$3:$C$8,2,FALSE))),"")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0"/>
        <v>0</v>
      </c>
      <c r="T5286" s="98">
        <f t="shared" si="231"/>
        <v>0</v>
      </c>
      <c r="U5286" s="99" t="str">
        <f>IFERROR(IF(#REF!="S",VLOOKUP('Raw Data'!A5286,References!#REF!,2,FALSE),(VLOOKUP($S5286,References!$B$3:$C$8,2,FALSE))),"")</f>
        <v/>
      </c>
      <c r="W5286" s="66" t="str">
        <f>IFERROR(VLOOKUP($O5286,'Customer List'!$A$1:$J$488,10,FALSE),"")</f>
        <v/>
      </c>
    </row>
    <row r="5287" spans="18:23">
      <c r="R5287" s="97">
        <f t="shared" si="230"/>
        <v>0</v>
      </c>
      <c r="T5287" s="98">
        <f t="shared" si="231"/>
        <v>0</v>
      </c>
      <c r="U5287" s="99" t="str">
        <f>IFERROR(IF(#REF!="S",VLOOKUP('Raw Data'!A5287,References!#REF!,2,FALSE),(VLOOKUP($S5287,References!$B$3:$C$8,2,FALSE))),"")</f>
        <v/>
      </c>
      <c r="W5287" s="66" t="str">
        <f>IFERROR(VLOOKUP($O5287,'Customer List'!$A$1:$J$488,10,FALSE),"")</f>
        <v/>
      </c>
    </row>
    <row r="5288" spans="18:23">
      <c r="R5288" s="97">
        <f t="shared" ref="R5288:R5351" si="232">L5288-K5288</f>
        <v>0</v>
      </c>
      <c r="T5288" s="98">
        <f t="shared" si="231"/>
        <v>0</v>
      </c>
      <c r="U5288" s="99" t="str">
        <f>IFERROR(IF(#REF!="S",VLOOKUP('Raw Data'!A5288,References!#REF!,2,FALSE),(VLOOKUP($S5288,References!$B$3:$C$8,2,FALSE))),"")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2"/>
        <v>0</v>
      </c>
      <c r="T5289" s="98">
        <f t="shared" si="231"/>
        <v>0</v>
      </c>
      <c r="U5289" s="99" t="str">
        <f>IFERROR(IF(#REF!="S",VLOOKUP('Raw Data'!A5289,References!#REF!,2,FALSE),(VLOOKUP($S5289,References!$B$3:$C$8,2,FALSE))),"")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2"/>
        <v>0</v>
      </c>
      <c r="T5290" s="98">
        <f t="shared" si="231"/>
        <v>0</v>
      </c>
      <c r="U5290" s="99" t="str">
        <f>IFERROR(IF(#REF!="S",VLOOKUP('Raw Data'!A5290,References!#REF!,2,FALSE),(VLOOKUP($S5290,References!$B$3:$C$8,2,FALSE))),"")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2"/>
        <v>0</v>
      </c>
      <c r="T5291" s="98">
        <f t="shared" si="231"/>
        <v>0</v>
      </c>
      <c r="U5291" s="99" t="str">
        <f>IFERROR(IF(#REF!="S",VLOOKUP('Raw Data'!A5291,References!#REF!,2,FALSE),(VLOOKUP($S5291,References!$B$3:$C$8,2,FALSE))),"")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2"/>
        <v>0</v>
      </c>
      <c r="T5292" s="98">
        <f t="shared" si="231"/>
        <v>0</v>
      </c>
      <c r="U5292" s="99" t="str">
        <f>IFERROR(IF(#REF!="S",VLOOKUP('Raw Data'!A5292,References!#REF!,2,FALSE),(VLOOKUP($S5292,References!$B$3:$C$8,2,FALSE))),"")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2"/>
        <v>0</v>
      </c>
      <c r="T5293" s="98">
        <f t="shared" si="231"/>
        <v>0</v>
      </c>
      <c r="U5293" s="99" t="str">
        <f>IFERROR(IF(#REF!="S",VLOOKUP('Raw Data'!A5293,References!#REF!,2,FALSE),(VLOOKUP($S5293,References!$B$3:$C$8,2,FALSE))),"")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2"/>
        <v>0</v>
      </c>
      <c r="T5294" s="98">
        <f t="shared" si="231"/>
        <v>0</v>
      </c>
      <c r="U5294" s="99" t="str">
        <f>IFERROR(IF(#REF!="S",VLOOKUP('Raw Data'!A5294,References!#REF!,2,FALSE),(VLOOKUP($S5294,References!$B$3:$C$8,2,FALSE))),"")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2"/>
        <v>0</v>
      </c>
      <c r="T5295" s="98">
        <f t="shared" si="231"/>
        <v>0</v>
      </c>
      <c r="U5295" s="99" t="str">
        <f>IFERROR(IF(#REF!="S",VLOOKUP('Raw Data'!A5295,References!#REF!,2,FALSE),(VLOOKUP($S5295,References!$B$3:$C$8,2,FALSE))),"")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2"/>
        <v>0</v>
      </c>
      <c r="T5296" s="98">
        <f t="shared" si="231"/>
        <v>0</v>
      </c>
      <c r="U5296" s="99" t="str">
        <f>IFERROR(IF(#REF!="S",VLOOKUP('Raw Data'!A5296,References!#REF!,2,FALSE),(VLOOKUP($S5296,References!$B$3:$C$8,2,FALSE))),"")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2"/>
        <v>0</v>
      </c>
      <c r="T5297" s="98">
        <f t="shared" si="231"/>
        <v>0</v>
      </c>
      <c r="U5297" s="99" t="str">
        <f>IFERROR(IF(#REF!="S",VLOOKUP('Raw Data'!A5297,References!#REF!,2,FALSE),(VLOOKUP($S5297,References!$B$3:$C$8,2,FALSE))),"")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2"/>
        <v>0</v>
      </c>
      <c r="T5298" s="98">
        <f t="shared" si="231"/>
        <v>0</v>
      </c>
      <c r="U5298" s="99" t="str">
        <f>IFERROR(IF(#REF!="S",VLOOKUP('Raw Data'!A5298,References!#REF!,2,FALSE),(VLOOKUP($S5298,References!$B$3:$C$8,2,FALSE))),"")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2"/>
        <v>0</v>
      </c>
      <c r="T5299" s="98">
        <f t="shared" si="231"/>
        <v>0</v>
      </c>
      <c r="U5299" s="99" t="str">
        <f>IFERROR(IF(#REF!="S",VLOOKUP('Raw Data'!A5299,References!#REF!,2,FALSE),(VLOOKUP($S5299,References!$B$3:$C$8,2,FALSE))),"")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2"/>
        <v>0</v>
      </c>
      <c r="T5300" s="98">
        <f t="shared" si="231"/>
        <v>0</v>
      </c>
      <c r="U5300" s="99" t="str">
        <f>IFERROR(IF(#REF!="S",VLOOKUP('Raw Data'!A5300,References!#REF!,2,FALSE),(VLOOKUP($S5300,References!$B$3:$C$8,2,FALSE))),"")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2"/>
        <v>0</v>
      </c>
      <c r="T5301" s="98">
        <f t="shared" si="231"/>
        <v>0</v>
      </c>
      <c r="U5301" s="99" t="str">
        <f>IFERROR(IF(#REF!="S",VLOOKUP('Raw Data'!A5301,References!#REF!,2,FALSE),(VLOOKUP($S5301,References!$B$3:$C$8,2,FALSE))),"")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2"/>
        <v>0</v>
      </c>
      <c r="T5302" s="98">
        <f t="shared" si="231"/>
        <v>0</v>
      </c>
      <c r="U5302" s="99" t="str">
        <f>IFERROR(IF(#REF!="S",VLOOKUP('Raw Data'!A5302,References!#REF!,2,FALSE),(VLOOKUP($S5302,References!$B$3:$C$8,2,FALSE))),"")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2"/>
        <v>0</v>
      </c>
      <c r="T5303" s="98">
        <f t="shared" si="231"/>
        <v>0</v>
      </c>
      <c r="U5303" s="99" t="str">
        <f>IFERROR(IF(#REF!="S",VLOOKUP('Raw Data'!A5303,References!#REF!,2,FALSE),(VLOOKUP($S5303,References!$B$3:$C$8,2,FALSE))),"")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2"/>
        <v>0</v>
      </c>
      <c r="T5304" s="98">
        <f t="shared" si="231"/>
        <v>0</v>
      </c>
      <c r="U5304" s="99" t="str">
        <f>IFERROR(IF(#REF!="S",VLOOKUP('Raw Data'!A5304,References!#REF!,2,FALSE),(VLOOKUP($S5304,References!$B$3:$C$8,2,FALSE))),"")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2"/>
        <v>0</v>
      </c>
      <c r="T5305" s="98">
        <f t="shared" si="231"/>
        <v>0</v>
      </c>
      <c r="U5305" s="99" t="str">
        <f>IFERROR(IF(#REF!="S",VLOOKUP('Raw Data'!A5305,References!#REF!,2,FALSE),(VLOOKUP($S5305,References!$B$3:$C$8,2,FALSE))),"")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2"/>
        <v>0</v>
      </c>
      <c r="T5306" s="98">
        <f t="shared" si="231"/>
        <v>0</v>
      </c>
      <c r="U5306" s="99" t="str">
        <f>IFERROR(IF(#REF!="S",VLOOKUP('Raw Data'!A5306,References!#REF!,2,FALSE),(VLOOKUP($S5306,References!$B$3:$C$8,2,FALSE))),"")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2"/>
        <v>0</v>
      </c>
      <c r="T5307" s="98">
        <f t="shared" si="231"/>
        <v>0</v>
      </c>
      <c r="U5307" s="99" t="str">
        <f>IFERROR(IF(#REF!="S",VLOOKUP('Raw Data'!A5307,References!#REF!,2,FALSE),(VLOOKUP($S5307,References!$B$3:$C$8,2,FALSE))),"")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2"/>
        <v>0</v>
      </c>
      <c r="T5308" s="98">
        <f t="shared" si="231"/>
        <v>0</v>
      </c>
      <c r="U5308" s="99" t="str">
        <f>IFERROR(IF(#REF!="S",VLOOKUP('Raw Data'!A5308,References!#REF!,2,FALSE),(VLOOKUP($S5308,References!$B$3:$C$8,2,FALSE))),"")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2"/>
        <v>0</v>
      </c>
      <c r="T5309" s="98">
        <f t="shared" si="231"/>
        <v>0</v>
      </c>
      <c r="U5309" s="99" t="str">
        <f>IFERROR(IF(#REF!="S",VLOOKUP('Raw Data'!A5309,References!#REF!,2,FALSE),(VLOOKUP($S5309,References!$B$3:$C$8,2,FALSE))),"")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2"/>
        <v>0</v>
      </c>
      <c r="T5310" s="98">
        <f t="shared" si="231"/>
        <v>0</v>
      </c>
      <c r="U5310" s="99" t="str">
        <f>IFERROR(IF(#REF!="S",VLOOKUP('Raw Data'!A5310,References!#REF!,2,FALSE),(VLOOKUP($S5310,References!$B$3:$C$8,2,FALSE))),"")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2"/>
        <v>0</v>
      </c>
      <c r="T5311" s="98">
        <f t="shared" si="231"/>
        <v>0</v>
      </c>
      <c r="U5311" s="99" t="str">
        <f>IFERROR(IF(#REF!="S",VLOOKUP('Raw Data'!A5311,References!#REF!,2,FALSE),(VLOOKUP($S5311,References!$B$3:$C$8,2,FALSE))),"")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2"/>
        <v>0</v>
      </c>
      <c r="T5312" s="98">
        <f t="shared" si="231"/>
        <v>0</v>
      </c>
      <c r="U5312" s="99" t="str">
        <f>IFERROR(IF(#REF!="S",VLOOKUP('Raw Data'!A5312,References!#REF!,2,FALSE),(VLOOKUP($S5312,References!$B$3:$C$8,2,FALSE))),"")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2"/>
        <v>0</v>
      </c>
      <c r="T5313" s="98">
        <f t="shared" si="231"/>
        <v>0</v>
      </c>
      <c r="U5313" s="99" t="str">
        <f>IFERROR(IF(#REF!="S",VLOOKUP('Raw Data'!A5313,References!#REF!,2,FALSE),(VLOOKUP($S5313,References!$B$3:$C$8,2,FALSE))),"")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2"/>
        <v>0</v>
      </c>
      <c r="T5314" s="98">
        <f t="shared" si="231"/>
        <v>0</v>
      </c>
      <c r="U5314" s="99" t="str">
        <f>IFERROR(IF(#REF!="S",VLOOKUP('Raw Data'!A5314,References!#REF!,2,FALSE),(VLOOKUP($S5314,References!$B$3:$C$8,2,FALSE))),"")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2"/>
        <v>0</v>
      </c>
      <c r="T5315" s="98">
        <f t="shared" si="231"/>
        <v>0</v>
      </c>
      <c r="U5315" s="99" t="str">
        <f>IFERROR(IF(#REF!="S",VLOOKUP('Raw Data'!A5315,References!#REF!,2,FALSE),(VLOOKUP($S5315,References!$B$3:$C$8,2,FALSE))),"")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2"/>
        <v>0</v>
      </c>
      <c r="T5316" s="98">
        <f t="shared" si="231"/>
        <v>0</v>
      </c>
      <c r="U5316" s="99" t="str">
        <f>IFERROR(IF(#REF!="S",VLOOKUP('Raw Data'!A5316,References!#REF!,2,FALSE),(VLOOKUP($S5316,References!$B$3:$C$8,2,FALSE))),"")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2"/>
        <v>0</v>
      </c>
      <c r="T5317" s="98">
        <f t="shared" si="231"/>
        <v>0</v>
      </c>
      <c r="U5317" s="99" t="str">
        <f>IFERROR(IF(#REF!="S",VLOOKUP('Raw Data'!A5317,References!#REF!,2,FALSE),(VLOOKUP($S5317,References!$B$3:$C$8,2,FALSE))),"")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2"/>
        <v>0</v>
      </c>
      <c r="T5318" s="98">
        <f t="shared" si="231"/>
        <v>0</v>
      </c>
      <c r="U5318" s="99" t="str">
        <f>IFERROR(IF(#REF!="S",VLOOKUP('Raw Data'!A5318,References!#REF!,2,FALSE),(VLOOKUP($S5318,References!$B$3:$C$8,2,FALSE))),"")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2"/>
        <v>0</v>
      </c>
      <c r="T5319" s="98">
        <f t="shared" si="231"/>
        <v>0</v>
      </c>
      <c r="U5319" s="99" t="str">
        <f>IFERROR(IF(#REF!="S",VLOOKUP('Raw Data'!A5319,References!#REF!,2,FALSE),(VLOOKUP($S5319,References!$B$3:$C$8,2,FALSE))),"")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2"/>
        <v>0</v>
      </c>
      <c r="T5320" s="98">
        <f t="shared" si="231"/>
        <v>0</v>
      </c>
      <c r="U5320" s="99" t="str">
        <f>IFERROR(IF(#REF!="S",VLOOKUP('Raw Data'!A5320,References!#REF!,2,FALSE),(VLOOKUP($S5320,References!$B$3:$C$8,2,FALSE))),"")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2"/>
        <v>0</v>
      </c>
      <c r="T5321" s="98">
        <f t="shared" si="231"/>
        <v>0</v>
      </c>
      <c r="U5321" s="99" t="str">
        <f>IFERROR(IF(#REF!="S",VLOOKUP('Raw Data'!A5321,References!#REF!,2,FALSE),(VLOOKUP($S5321,References!$B$3:$C$8,2,FALSE))),"")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2"/>
        <v>0</v>
      </c>
      <c r="T5322" s="98">
        <f t="shared" si="231"/>
        <v>0</v>
      </c>
      <c r="U5322" s="99" t="str">
        <f>IFERROR(IF(#REF!="S",VLOOKUP('Raw Data'!A5322,References!#REF!,2,FALSE),(VLOOKUP($S5322,References!$B$3:$C$8,2,FALSE))),"")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2"/>
        <v>0</v>
      </c>
      <c r="T5323" s="98">
        <f t="shared" si="231"/>
        <v>0</v>
      </c>
      <c r="U5323" s="99" t="str">
        <f>IFERROR(IF(#REF!="S",VLOOKUP('Raw Data'!A5323,References!#REF!,2,FALSE),(VLOOKUP($S5323,References!$B$3:$C$8,2,FALSE))),"")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2"/>
        <v>0</v>
      </c>
      <c r="T5324" s="98">
        <f t="shared" si="231"/>
        <v>0</v>
      </c>
      <c r="U5324" s="99" t="str">
        <f>IFERROR(IF(#REF!="S",VLOOKUP('Raw Data'!A5324,References!#REF!,2,FALSE),(VLOOKUP($S5324,References!$B$3:$C$8,2,FALSE))),"")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2"/>
        <v>0</v>
      </c>
      <c r="T5325" s="98">
        <f t="shared" si="231"/>
        <v>0</v>
      </c>
      <c r="U5325" s="99" t="str">
        <f>IFERROR(IF(#REF!="S",VLOOKUP('Raw Data'!A5325,References!#REF!,2,FALSE),(VLOOKUP($S5325,References!$B$3:$C$8,2,FALSE))),"")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2"/>
        <v>0</v>
      </c>
      <c r="T5326" s="98">
        <f t="shared" si="231"/>
        <v>0</v>
      </c>
      <c r="U5326" s="99" t="str">
        <f>IFERROR(IF(#REF!="S",VLOOKUP('Raw Data'!A5326,References!#REF!,2,FALSE),(VLOOKUP($S5326,References!$B$3:$C$8,2,FALSE))),"")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2"/>
        <v>0</v>
      </c>
      <c r="T5327" s="98">
        <f t="shared" si="231"/>
        <v>0</v>
      </c>
      <c r="U5327" s="99" t="str">
        <f>IFERROR(IF(#REF!="S",VLOOKUP('Raw Data'!A5327,References!#REF!,2,FALSE),(VLOOKUP($S5327,References!$B$3:$C$8,2,FALSE))),"")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2"/>
        <v>0</v>
      </c>
      <c r="T5328" s="98">
        <f t="shared" ref="T5328:T5391" si="233">IF(S5328="50 - Cleaning Fee",1,HOUR($R5328)+MINUTE(R5328)/60)</f>
        <v>0</v>
      </c>
      <c r="U5328" s="99" t="str">
        <f>IFERROR(IF(#REF!="S",VLOOKUP('Raw Data'!A5328,References!#REF!,2,FALSE),(VLOOKUP($S5328,References!$B$3:$C$8,2,FALSE))),"")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2"/>
        <v>0</v>
      </c>
      <c r="T5329" s="98">
        <f t="shared" si="233"/>
        <v>0</v>
      </c>
      <c r="U5329" s="99" t="str">
        <f>IFERROR(IF(#REF!="S",VLOOKUP('Raw Data'!A5329,References!#REF!,2,FALSE),(VLOOKUP($S5329,References!$B$3:$C$8,2,FALSE))),"")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2"/>
        <v>0</v>
      </c>
      <c r="T5330" s="98">
        <f t="shared" si="233"/>
        <v>0</v>
      </c>
      <c r="U5330" s="99" t="str">
        <f>IFERROR(IF(#REF!="S",VLOOKUP('Raw Data'!A5330,References!#REF!,2,FALSE),(VLOOKUP($S5330,References!$B$3:$C$8,2,FALSE))),"")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2"/>
        <v>0</v>
      </c>
      <c r="T5331" s="98">
        <f t="shared" si="233"/>
        <v>0</v>
      </c>
      <c r="U5331" s="99" t="str">
        <f>IFERROR(IF(#REF!="S",VLOOKUP('Raw Data'!A5331,References!#REF!,2,FALSE),(VLOOKUP($S5331,References!$B$3:$C$8,2,FALSE))),"")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2"/>
        <v>0</v>
      </c>
      <c r="T5332" s="98">
        <f t="shared" si="233"/>
        <v>0</v>
      </c>
      <c r="U5332" s="99" t="str">
        <f>IFERROR(IF(#REF!="S",VLOOKUP('Raw Data'!A5332,References!#REF!,2,FALSE),(VLOOKUP($S5332,References!$B$3:$C$8,2,FALSE))),"")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2"/>
        <v>0</v>
      </c>
      <c r="T5333" s="98">
        <f t="shared" si="233"/>
        <v>0</v>
      </c>
      <c r="U5333" s="99" t="str">
        <f>IFERROR(IF(#REF!="S",VLOOKUP('Raw Data'!A5333,References!#REF!,2,FALSE),(VLOOKUP($S5333,References!$B$3:$C$8,2,FALSE))),"")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2"/>
        <v>0</v>
      </c>
      <c r="T5334" s="98">
        <f t="shared" si="233"/>
        <v>0</v>
      </c>
      <c r="U5334" s="99" t="str">
        <f>IFERROR(IF(#REF!="S",VLOOKUP('Raw Data'!A5334,References!#REF!,2,FALSE),(VLOOKUP($S5334,References!$B$3:$C$8,2,FALSE))),"")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2"/>
        <v>0</v>
      </c>
      <c r="T5335" s="98">
        <f t="shared" si="233"/>
        <v>0</v>
      </c>
      <c r="U5335" s="99" t="str">
        <f>IFERROR(IF(#REF!="S",VLOOKUP('Raw Data'!A5335,References!#REF!,2,FALSE),(VLOOKUP($S5335,References!$B$3:$C$8,2,FALSE))),"")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2"/>
        <v>0</v>
      </c>
      <c r="T5336" s="98">
        <f t="shared" si="233"/>
        <v>0</v>
      </c>
      <c r="U5336" s="99" t="str">
        <f>IFERROR(IF(#REF!="S",VLOOKUP('Raw Data'!A5336,References!#REF!,2,FALSE),(VLOOKUP($S5336,References!$B$3:$C$8,2,FALSE))),"")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2"/>
        <v>0</v>
      </c>
      <c r="T5337" s="98">
        <f t="shared" si="233"/>
        <v>0</v>
      </c>
      <c r="U5337" s="99" t="str">
        <f>IFERROR(IF(#REF!="S",VLOOKUP('Raw Data'!A5337,References!#REF!,2,FALSE),(VLOOKUP($S5337,References!$B$3:$C$8,2,FALSE))),"")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2"/>
        <v>0</v>
      </c>
      <c r="T5338" s="98">
        <f t="shared" si="233"/>
        <v>0</v>
      </c>
      <c r="U5338" s="99" t="str">
        <f>IFERROR(IF(#REF!="S",VLOOKUP('Raw Data'!A5338,References!#REF!,2,FALSE),(VLOOKUP($S5338,References!$B$3:$C$8,2,FALSE))),"")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2"/>
        <v>0</v>
      </c>
      <c r="T5339" s="98">
        <f t="shared" si="233"/>
        <v>0</v>
      </c>
      <c r="U5339" s="99" t="str">
        <f>IFERROR(IF(#REF!="S",VLOOKUP('Raw Data'!A5339,References!#REF!,2,FALSE),(VLOOKUP($S5339,References!$B$3:$C$8,2,FALSE))),"")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2"/>
        <v>0</v>
      </c>
      <c r="T5340" s="98">
        <f t="shared" si="233"/>
        <v>0</v>
      </c>
      <c r="U5340" s="99" t="str">
        <f>IFERROR(IF(#REF!="S",VLOOKUP('Raw Data'!A5340,References!#REF!,2,FALSE),(VLOOKUP($S5340,References!$B$3:$C$8,2,FALSE))),"")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2"/>
        <v>0</v>
      </c>
      <c r="T5341" s="98">
        <f t="shared" si="233"/>
        <v>0</v>
      </c>
      <c r="U5341" s="99" t="str">
        <f>IFERROR(IF(#REF!="S",VLOOKUP('Raw Data'!A5341,References!#REF!,2,FALSE),(VLOOKUP($S5341,References!$B$3:$C$8,2,FALSE))),"")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2"/>
        <v>0</v>
      </c>
      <c r="T5342" s="98">
        <f t="shared" si="233"/>
        <v>0</v>
      </c>
      <c r="U5342" s="99" t="str">
        <f>IFERROR(IF(#REF!="S",VLOOKUP('Raw Data'!A5342,References!#REF!,2,FALSE),(VLOOKUP($S5342,References!$B$3:$C$8,2,FALSE))),"")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2"/>
        <v>0</v>
      </c>
      <c r="T5343" s="98">
        <f t="shared" si="233"/>
        <v>0</v>
      </c>
      <c r="U5343" s="99" t="str">
        <f>IFERROR(IF(#REF!="S",VLOOKUP('Raw Data'!A5343,References!#REF!,2,FALSE),(VLOOKUP($S5343,References!$B$3:$C$8,2,FALSE))),"")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2"/>
        <v>0</v>
      </c>
      <c r="T5344" s="98">
        <f t="shared" si="233"/>
        <v>0</v>
      </c>
      <c r="U5344" s="99" t="str">
        <f>IFERROR(IF(#REF!="S",VLOOKUP('Raw Data'!A5344,References!#REF!,2,FALSE),(VLOOKUP($S5344,References!$B$3:$C$8,2,FALSE))),"")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2"/>
        <v>0</v>
      </c>
      <c r="T5345" s="98">
        <f t="shared" si="233"/>
        <v>0</v>
      </c>
      <c r="U5345" s="99" t="str">
        <f>IFERROR(IF(#REF!="S",VLOOKUP('Raw Data'!A5345,References!#REF!,2,FALSE),(VLOOKUP($S5345,References!$B$3:$C$8,2,FALSE))),"")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2"/>
        <v>0</v>
      </c>
      <c r="T5346" s="98">
        <f t="shared" si="233"/>
        <v>0</v>
      </c>
      <c r="U5346" s="99" t="str">
        <f>IFERROR(IF(#REF!="S",VLOOKUP('Raw Data'!A5346,References!#REF!,2,FALSE),(VLOOKUP($S5346,References!$B$3:$C$8,2,FALSE))),"")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2"/>
        <v>0</v>
      </c>
      <c r="T5347" s="98">
        <f t="shared" si="233"/>
        <v>0</v>
      </c>
      <c r="U5347" s="99" t="str">
        <f>IFERROR(IF(#REF!="S",VLOOKUP('Raw Data'!A5347,References!#REF!,2,FALSE),(VLOOKUP($S5347,References!$B$3:$C$8,2,FALSE))),"")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2"/>
        <v>0</v>
      </c>
      <c r="T5348" s="98">
        <f t="shared" si="233"/>
        <v>0</v>
      </c>
      <c r="U5348" s="99" t="str">
        <f>IFERROR(IF(#REF!="S",VLOOKUP('Raw Data'!A5348,References!#REF!,2,FALSE),(VLOOKUP($S5348,References!$B$3:$C$8,2,FALSE))),"")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2"/>
        <v>0</v>
      </c>
      <c r="T5349" s="98">
        <f t="shared" si="233"/>
        <v>0</v>
      </c>
      <c r="U5349" s="99" t="str">
        <f>IFERROR(IF(#REF!="S",VLOOKUP('Raw Data'!A5349,References!#REF!,2,FALSE),(VLOOKUP($S5349,References!$B$3:$C$8,2,FALSE))),"")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2"/>
        <v>0</v>
      </c>
      <c r="T5350" s="98">
        <f t="shared" si="233"/>
        <v>0</v>
      </c>
      <c r="U5350" s="99" t="str">
        <f>IFERROR(IF(#REF!="S",VLOOKUP('Raw Data'!A5350,References!#REF!,2,FALSE),(VLOOKUP($S5350,References!$B$3:$C$8,2,FALSE))),"")</f>
        <v/>
      </c>
      <c r="W5350" s="66" t="str">
        <f>IFERROR(VLOOKUP($O5350,'Customer List'!$A$1:$J$488,10,FALSE),"")</f>
        <v/>
      </c>
    </row>
    <row r="5351" spans="18:23">
      <c r="R5351" s="97">
        <f t="shared" si="232"/>
        <v>0</v>
      </c>
      <c r="T5351" s="98">
        <f t="shared" si="233"/>
        <v>0</v>
      </c>
      <c r="U5351" s="99" t="str">
        <f>IFERROR(IF(#REF!="S",VLOOKUP('Raw Data'!A5351,References!#REF!,2,FALSE),(VLOOKUP($S5351,References!$B$3:$C$8,2,FALSE))),"")</f>
        <v/>
      </c>
      <c r="W5351" s="66" t="str">
        <f>IFERROR(VLOOKUP($O5351,'Customer List'!$A$1:$J$488,10,FALSE),"")</f>
        <v/>
      </c>
    </row>
    <row r="5352" spans="18:23">
      <c r="R5352" s="97">
        <f t="shared" ref="R5352:R5415" si="234">L5352-K5352</f>
        <v>0</v>
      </c>
      <c r="T5352" s="98">
        <f t="shared" si="233"/>
        <v>0</v>
      </c>
      <c r="U5352" s="99" t="str">
        <f>IFERROR(IF(#REF!="S",VLOOKUP('Raw Data'!A5352,References!#REF!,2,FALSE),(VLOOKUP($S5352,References!$B$3:$C$8,2,FALSE))),"")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4"/>
        <v>0</v>
      </c>
      <c r="T5353" s="98">
        <f t="shared" si="233"/>
        <v>0</v>
      </c>
      <c r="U5353" s="99" t="str">
        <f>IFERROR(IF(#REF!="S",VLOOKUP('Raw Data'!A5353,References!#REF!,2,FALSE),(VLOOKUP($S5353,References!$B$3:$C$8,2,FALSE))),"")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4"/>
        <v>0</v>
      </c>
      <c r="T5354" s="98">
        <f t="shared" si="233"/>
        <v>0</v>
      </c>
      <c r="U5354" s="99" t="str">
        <f>IFERROR(IF(#REF!="S",VLOOKUP('Raw Data'!A5354,References!#REF!,2,FALSE),(VLOOKUP($S5354,References!$B$3:$C$8,2,FALSE))),"")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4"/>
        <v>0</v>
      </c>
      <c r="T5355" s="98">
        <f t="shared" si="233"/>
        <v>0</v>
      </c>
      <c r="U5355" s="99" t="str">
        <f>IFERROR(IF(#REF!="S",VLOOKUP('Raw Data'!A5355,References!#REF!,2,FALSE),(VLOOKUP($S5355,References!$B$3:$C$8,2,FALSE))),"")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4"/>
        <v>0</v>
      </c>
      <c r="T5356" s="98">
        <f t="shared" si="233"/>
        <v>0</v>
      </c>
      <c r="U5356" s="99" t="str">
        <f>IFERROR(IF(#REF!="S",VLOOKUP('Raw Data'!A5356,References!#REF!,2,FALSE),(VLOOKUP($S5356,References!$B$3:$C$8,2,FALSE))),"")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4"/>
        <v>0</v>
      </c>
      <c r="T5357" s="98">
        <f t="shared" si="233"/>
        <v>0</v>
      </c>
      <c r="U5357" s="99" t="str">
        <f>IFERROR(IF(#REF!="S",VLOOKUP('Raw Data'!A5357,References!#REF!,2,FALSE),(VLOOKUP($S5357,References!$B$3:$C$8,2,FALSE))),"")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4"/>
        <v>0</v>
      </c>
      <c r="T5358" s="98">
        <f t="shared" si="233"/>
        <v>0</v>
      </c>
      <c r="U5358" s="99" t="str">
        <f>IFERROR(IF(#REF!="S",VLOOKUP('Raw Data'!A5358,References!#REF!,2,FALSE),(VLOOKUP($S5358,References!$B$3:$C$8,2,FALSE))),"")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4"/>
        <v>0</v>
      </c>
      <c r="T5359" s="98">
        <f t="shared" si="233"/>
        <v>0</v>
      </c>
      <c r="U5359" s="99" t="str">
        <f>IFERROR(IF(#REF!="S",VLOOKUP('Raw Data'!A5359,References!#REF!,2,FALSE),(VLOOKUP($S5359,References!$B$3:$C$8,2,FALSE))),"")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4"/>
        <v>0</v>
      </c>
      <c r="T5360" s="98">
        <f t="shared" si="233"/>
        <v>0</v>
      </c>
      <c r="U5360" s="99" t="str">
        <f>IFERROR(IF(#REF!="S",VLOOKUP('Raw Data'!A5360,References!#REF!,2,FALSE),(VLOOKUP($S5360,References!$B$3:$C$8,2,FALSE))),"")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4"/>
        <v>0</v>
      </c>
      <c r="T5361" s="98">
        <f t="shared" si="233"/>
        <v>0</v>
      </c>
      <c r="U5361" s="99" t="str">
        <f>IFERROR(IF(#REF!="S",VLOOKUP('Raw Data'!A5361,References!#REF!,2,FALSE),(VLOOKUP($S5361,References!$B$3:$C$8,2,FALSE))),"")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4"/>
        <v>0</v>
      </c>
      <c r="T5362" s="98">
        <f t="shared" si="233"/>
        <v>0</v>
      </c>
      <c r="U5362" s="99" t="str">
        <f>IFERROR(IF(#REF!="S",VLOOKUP('Raw Data'!A5362,References!#REF!,2,FALSE),(VLOOKUP($S5362,References!$B$3:$C$8,2,FALSE))),"")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4"/>
        <v>0</v>
      </c>
      <c r="T5363" s="98">
        <f t="shared" si="233"/>
        <v>0</v>
      </c>
      <c r="U5363" s="99" t="str">
        <f>IFERROR(IF(#REF!="S",VLOOKUP('Raw Data'!A5363,References!#REF!,2,FALSE),(VLOOKUP($S5363,References!$B$3:$C$8,2,FALSE))),"")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4"/>
        <v>0</v>
      </c>
      <c r="T5364" s="98">
        <f t="shared" si="233"/>
        <v>0</v>
      </c>
      <c r="U5364" s="99" t="str">
        <f>IFERROR(IF(#REF!="S",VLOOKUP('Raw Data'!A5364,References!#REF!,2,FALSE),(VLOOKUP($S5364,References!$B$3:$C$8,2,FALSE))),"")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4"/>
        <v>0</v>
      </c>
      <c r="T5365" s="98">
        <f t="shared" si="233"/>
        <v>0</v>
      </c>
      <c r="U5365" s="99" t="str">
        <f>IFERROR(IF(#REF!="S",VLOOKUP('Raw Data'!A5365,References!#REF!,2,FALSE),(VLOOKUP($S5365,References!$B$3:$C$8,2,FALSE))),"")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4"/>
        <v>0</v>
      </c>
      <c r="T5366" s="98">
        <f t="shared" si="233"/>
        <v>0</v>
      </c>
      <c r="U5366" s="99" t="str">
        <f>IFERROR(IF(#REF!="S",VLOOKUP('Raw Data'!A5366,References!#REF!,2,FALSE),(VLOOKUP($S5366,References!$B$3:$C$8,2,FALSE))),"")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4"/>
        <v>0</v>
      </c>
      <c r="T5367" s="98">
        <f t="shared" si="233"/>
        <v>0</v>
      </c>
      <c r="U5367" s="99" t="str">
        <f>IFERROR(IF(#REF!="S",VLOOKUP('Raw Data'!A5367,References!#REF!,2,FALSE),(VLOOKUP($S5367,References!$B$3:$C$8,2,FALSE))),"")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4"/>
        <v>0</v>
      </c>
      <c r="T5368" s="98">
        <f t="shared" si="233"/>
        <v>0</v>
      </c>
      <c r="U5368" s="99" t="str">
        <f>IFERROR(IF(#REF!="S",VLOOKUP('Raw Data'!A5368,References!#REF!,2,FALSE),(VLOOKUP($S5368,References!$B$3:$C$8,2,FALSE))),"")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4"/>
        <v>0</v>
      </c>
      <c r="T5369" s="98">
        <f t="shared" si="233"/>
        <v>0</v>
      </c>
      <c r="U5369" s="99" t="str">
        <f>IFERROR(IF(#REF!="S",VLOOKUP('Raw Data'!A5369,References!#REF!,2,FALSE),(VLOOKUP($S5369,References!$B$3:$C$8,2,FALSE))),"")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4"/>
        <v>0</v>
      </c>
      <c r="T5370" s="98">
        <f t="shared" si="233"/>
        <v>0</v>
      </c>
      <c r="U5370" s="99" t="str">
        <f>IFERROR(IF(#REF!="S",VLOOKUP('Raw Data'!A5370,References!#REF!,2,FALSE),(VLOOKUP($S5370,References!$B$3:$C$8,2,FALSE))),"")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4"/>
        <v>0</v>
      </c>
      <c r="T5371" s="98">
        <f t="shared" si="233"/>
        <v>0</v>
      </c>
      <c r="U5371" s="99" t="str">
        <f>IFERROR(IF(#REF!="S",VLOOKUP('Raw Data'!A5371,References!#REF!,2,FALSE),(VLOOKUP($S5371,References!$B$3:$C$8,2,FALSE))),"")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4"/>
        <v>0</v>
      </c>
      <c r="T5372" s="98">
        <f t="shared" si="233"/>
        <v>0</v>
      </c>
      <c r="U5372" s="99" t="str">
        <f>IFERROR(IF(#REF!="S",VLOOKUP('Raw Data'!A5372,References!#REF!,2,FALSE),(VLOOKUP($S5372,References!$B$3:$C$8,2,FALSE))),"")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4"/>
        <v>0</v>
      </c>
      <c r="T5373" s="98">
        <f t="shared" si="233"/>
        <v>0</v>
      </c>
      <c r="U5373" s="99" t="str">
        <f>IFERROR(IF(#REF!="S",VLOOKUP('Raw Data'!A5373,References!#REF!,2,FALSE),(VLOOKUP($S5373,References!$B$3:$C$8,2,FALSE))),"")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4"/>
        <v>0</v>
      </c>
      <c r="T5374" s="98">
        <f t="shared" si="233"/>
        <v>0</v>
      </c>
      <c r="U5374" s="99" t="str">
        <f>IFERROR(IF(#REF!="S",VLOOKUP('Raw Data'!A5374,References!#REF!,2,FALSE),(VLOOKUP($S5374,References!$B$3:$C$8,2,FALSE))),"")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4"/>
        <v>0</v>
      </c>
      <c r="T5375" s="98">
        <f t="shared" si="233"/>
        <v>0</v>
      </c>
      <c r="U5375" s="99" t="str">
        <f>IFERROR(IF(#REF!="S",VLOOKUP('Raw Data'!A5375,References!#REF!,2,FALSE),(VLOOKUP($S5375,References!$B$3:$C$8,2,FALSE))),"")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4"/>
        <v>0</v>
      </c>
      <c r="T5376" s="98">
        <f t="shared" si="233"/>
        <v>0</v>
      </c>
      <c r="U5376" s="99" t="str">
        <f>IFERROR(IF(#REF!="S",VLOOKUP('Raw Data'!A5376,References!#REF!,2,FALSE),(VLOOKUP($S5376,References!$B$3:$C$8,2,FALSE))),"")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4"/>
        <v>0</v>
      </c>
      <c r="T5377" s="98">
        <f t="shared" si="233"/>
        <v>0</v>
      </c>
      <c r="U5377" s="99" t="str">
        <f>IFERROR(IF(#REF!="S",VLOOKUP('Raw Data'!A5377,References!#REF!,2,FALSE),(VLOOKUP($S5377,References!$B$3:$C$8,2,FALSE))),"")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4"/>
        <v>0</v>
      </c>
      <c r="T5378" s="98">
        <f t="shared" si="233"/>
        <v>0</v>
      </c>
      <c r="U5378" s="99" t="str">
        <f>IFERROR(IF(#REF!="S",VLOOKUP('Raw Data'!A5378,References!#REF!,2,FALSE),(VLOOKUP($S5378,References!$B$3:$C$8,2,FALSE))),"")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4"/>
        <v>0</v>
      </c>
      <c r="T5379" s="98">
        <f t="shared" si="233"/>
        <v>0</v>
      </c>
      <c r="U5379" s="99" t="str">
        <f>IFERROR(IF(#REF!="S",VLOOKUP('Raw Data'!A5379,References!#REF!,2,FALSE),(VLOOKUP($S5379,References!$B$3:$C$8,2,FALSE))),"")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4"/>
        <v>0</v>
      </c>
      <c r="T5380" s="98">
        <f t="shared" si="233"/>
        <v>0</v>
      </c>
      <c r="U5380" s="99" t="str">
        <f>IFERROR(IF(#REF!="S",VLOOKUP('Raw Data'!A5380,References!#REF!,2,FALSE),(VLOOKUP($S5380,References!$B$3:$C$8,2,FALSE))),"")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4"/>
        <v>0</v>
      </c>
      <c r="T5381" s="98">
        <f t="shared" si="233"/>
        <v>0</v>
      </c>
      <c r="U5381" s="99" t="str">
        <f>IFERROR(IF(#REF!="S",VLOOKUP('Raw Data'!A5381,References!#REF!,2,FALSE),(VLOOKUP($S5381,References!$B$3:$C$8,2,FALSE))),"")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4"/>
        <v>0</v>
      </c>
      <c r="T5382" s="98">
        <f t="shared" si="233"/>
        <v>0</v>
      </c>
      <c r="U5382" s="99" t="str">
        <f>IFERROR(IF(#REF!="S",VLOOKUP('Raw Data'!A5382,References!#REF!,2,FALSE),(VLOOKUP($S5382,References!$B$3:$C$8,2,FALSE))),"")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4"/>
        <v>0</v>
      </c>
      <c r="T5383" s="98">
        <f t="shared" si="233"/>
        <v>0</v>
      </c>
      <c r="U5383" s="99" t="str">
        <f>IFERROR(IF(#REF!="S",VLOOKUP('Raw Data'!A5383,References!#REF!,2,FALSE),(VLOOKUP($S5383,References!$B$3:$C$8,2,FALSE))),"")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4"/>
        <v>0</v>
      </c>
      <c r="T5384" s="98">
        <f t="shared" si="233"/>
        <v>0</v>
      </c>
      <c r="U5384" s="99" t="str">
        <f>IFERROR(IF(#REF!="S",VLOOKUP('Raw Data'!A5384,References!#REF!,2,FALSE),(VLOOKUP($S5384,References!$B$3:$C$8,2,FALSE))),"")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4"/>
        <v>0</v>
      </c>
      <c r="T5385" s="98">
        <f t="shared" si="233"/>
        <v>0</v>
      </c>
      <c r="U5385" s="99" t="str">
        <f>IFERROR(IF(#REF!="S",VLOOKUP('Raw Data'!A5385,References!#REF!,2,FALSE),(VLOOKUP($S5385,References!$B$3:$C$8,2,FALSE))),"")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4"/>
        <v>0</v>
      </c>
      <c r="T5386" s="98">
        <f t="shared" si="233"/>
        <v>0</v>
      </c>
      <c r="U5386" s="99" t="str">
        <f>IFERROR(IF(#REF!="S",VLOOKUP('Raw Data'!A5386,References!#REF!,2,FALSE),(VLOOKUP($S5386,References!$B$3:$C$8,2,FALSE))),"")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4"/>
        <v>0</v>
      </c>
      <c r="T5387" s="98">
        <f t="shared" si="233"/>
        <v>0</v>
      </c>
      <c r="U5387" s="99" t="str">
        <f>IFERROR(IF(#REF!="S",VLOOKUP('Raw Data'!A5387,References!#REF!,2,FALSE),(VLOOKUP($S5387,References!$B$3:$C$8,2,FALSE))),"")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4"/>
        <v>0</v>
      </c>
      <c r="T5388" s="98">
        <f t="shared" si="233"/>
        <v>0</v>
      </c>
      <c r="U5388" s="99" t="str">
        <f>IFERROR(IF(#REF!="S",VLOOKUP('Raw Data'!A5388,References!#REF!,2,FALSE),(VLOOKUP($S5388,References!$B$3:$C$8,2,FALSE))),"")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4"/>
        <v>0</v>
      </c>
      <c r="T5389" s="98">
        <f t="shared" si="233"/>
        <v>0</v>
      </c>
      <c r="U5389" s="99" t="str">
        <f>IFERROR(IF(#REF!="S",VLOOKUP('Raw Data'!A5389,References!#REF!,2,FALSE),(VLOOKUP($S5389,References!$B$3:$C$8,2,FALSE))),"")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4"/>
        <v>0</v>
      </c>
      <c r="T5390" s="98">
        <f t="shared" si="233"/>
        <v>0</v>
      </c>
      <c r="U5390" s="99" t="str">
        <f>IFERROR(IF(#REF!="S",VLOOKUP('Raw Data'!A5390,References!#REF!,2,FALSE),(VLOOKUP($S5390,References!$B$3:$C$8,2,FALSE))),"")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4"/>
        <v>0</v>
      </c>
      <c r="T5391" s="98">
        <f t="shared" si="233"/>
        <v>0</v>
      </c>
      <c r="U5391" s="99" t="str">
        <f>IFERROR(IF(#REF!="S",VLOOKUP('Raw Data'!A5391,References!#REF!,2,FALSE),(VLOOKUP($S5391,References!$B$3:$C$8,2,FALSE))),"")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4"/>
        <v>0</v>
      </c>
      <c r="T5392" s="98">
        <f t="shared" ref="T5392:T5455" si="235">IF(S5392="50 - Cleaning Fee",1,HOUR($R5392)+MINUTE(R5392)/60)</f>
        <v>0</v>
      </c>
      <c r="U5392" s="99" t="str">
        <f>IFERROR(IF(#REF!="S",VLOOKUP('Raw Data'!A5392,References!#REF!,2,FALSE),(VLOOKUP($S5392,References!$B$3:$C$8,2,FALSE))),"")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4"/>
        <v>0</v>
      </c>
      <c r="T5393" s="98">
        <f t="shared" si="235"/>
        <v>0</v>
      </c>
      <c r="U5393" s="99" t="str">
        <f>IFERROR(IF(#REF!="S",VLOOKUP('Raw Data'!A5393,References!#REF!,2,FALSE),(VLOOKUP($S5393,References!$B$3:$C$8,2,FALSE))),"")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4"/>
        <v>0</v>
      </c>
      <c r="T5394" s="98">
        <f t="shared" si="235"/>
        <v>0</v>
      </c>
      <c r="U5394" s="99" t="str">
        <f>IFERROR(IF(#REF!="S",VLOOKUP('Raw Data'!A5394,References!#REF!,2,FALSE),(VLOOKUP($S5394,References!$B$3:$C$8,2,FALSE))),"")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4"/>
        <v>0</v>
      </c>
      <c r="T5395" s="98">
        <f t="shared" si="235"/>
        <v>0</v>
      </c>
      <c r="U5395" s="99" t="str">
        <f>IFERROR(IF(#REF!="S",VLOOKUP('Raw Data'!A5395,References!#REF!,2,FALSE),(VLOOKUP($S5395,References!$B$3:$C$8,2,FALSE))),"")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4"/>
        <v>0</v>
      </c>
      <c r="T5396" s="98">
        <f t="shared" si="235"/>
        <v>0</v>
      </c>
      <c r="U5396" s="99" t="str">
        <f>IFERROR(IF(#REF!="S",VLOOKUP('Raw Data'!A5396,References!#REF!,2,FALSE),(VLOOKUP($S5396,References!$B$3:$C$8,2,FALSE))),"")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4"/>
        <v>0</v>
      </c>
      <c r="T5397" s="98">
        <f t="shared" si="235"/>
        <v>0</v>
      </c>
      <c r="U5397" s="99" t="str">
        <f>IFERROR(IF(#REF!="S",VLOOKUP('Raw Data'!A5397,References!#REF!,2,FALSE),(VLOOKUP($S5397,References!$B$3:$C$8,2,FALSE))),"")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4"/>
        <v>0</v>
      </c>
      <c r="T5398" s="98">
        <f t="shared" si="235"/>
        <v>0</v>
      </c>
      <c r="U5398" s="99" t="str">
        <f>IFERROR(IF(#REF!="S",VLOOKUP('Raw Data'!A5398,References!#REF!,2,FALSE),(VLOOKUP($S5398,References!$B$3:$C$8,2,FALSE))),"")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4"/>
        <v>0</v>
      </c>
      <c r="T5399" s="98">
        <f t="shared" si="235"/>
        <v>0</v>
      </c>
      <c r="U5399" s="99" t="str">
        <f>IFERROR(IF(#REF!="S",VLOOKUP('Raw Data'!A5399,References!#REF!,2,FALSE),(VLOOKUP($S5399,References!$B$3:$C$8,2,FALSE))),"")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4"/>
        <v>0</v>
      </c>
      <c r="T5400" s="98">
        <f t="shared" si="235"/>
        <v>0</v>
      </c>
      <c r="U5400" s="99" t="str">
        <f>IFERROR(IF(#REF!="S",VLOOKUP('Raw Data'!A5400,References!#REF!,2,FALSE),(VLOOKUP($S5400,References!$B$3:$C$8,2,FALSE))),"")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4"/>
        <v>0</v>
      </c>
      <c r="T5401" s="98">
        <f t="shared" si="235"/>
        <v>0</v>
      </c>
      <c r="U5401" s="99" t="str">
        <f>IFERROR(IF(#REF!="S",VLOOKUP('Raw Data'!A5401,References!#REF!,2,FALSE),(VLOOKUP($S5401,References!$B$3:$C$8,2,FALSE))),"")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4"/>
        <v>0</v>
      </c>
      <c r="T5402" s="98">
        <f t="shared" si="235"/>
        <v>0</v>
      </c>
      <c r="U5402" s="99" t="str">
        <f>IFERROR(IF(#REF!="S",VLOOKUP('Raw Data'!A5402,References!#REF!,2,FALSE),(VLOOKUP($S5402,References!$B$3:$C$8,2,FALSE))),"")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4"/>
        <v>0</v>
      </c>
      <c r="T5403" s="98">
        <f t="shared" si="235"/>
        <v>0</v>
      </c>
      <c r="U5403" s="99" t="str">
        <f>IFERROR(IF(#REF!="S",VLOOKUP('Raw Data'!A5403,References!#REF!,2,FALSE),(VLOOKUP($S5403,References!$B$3:$C$8,2,FALSE))),"")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4"/>
        <v>0</v>
      </c>
      <c r="T5404" s="98">
        <f t="shared" si="235"/>
        <v>0</v>
      </c>
      <c r="U5404" s="99" t="str">
        <f>IFERROR(IF(#REF!="S",VLOOKUP('Raw Data'!A5404,References!#REF!,2,FALSE),(VLOOKUP($S5404,References!$B$3:$C$8,2,FALSE))),"")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4"/>
        <v>0</v>
      </c>
      <c r="T5405" s="98">
        <f t="shared" si="235"/>
        <v>0</v>
      </c>
      <c r="U5405" s="99" t="str">
        <f>IFERROR(IF(#REF!="S",VLOOKUP('Raw Data'!A5405,References!#REF!,2,FALSE),(VLOOKUP($S5405,References!$B$3:$C$8,2,FALSE))),"")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4"/>
        <v>0</v>
      </c>
      <c r="T5406" s="98">
        <f t="shared" si="235"/>
        <v>0</v>
      </c>
      <c r="U5406" s="99" t="str">
        <f>IFERROR(IF(#REF!="S",VLOOKUP('Raw Data'!A5406,References!#REF!,2,FALSE),(VLOOKUP($S5406,References!$B$3:$C$8,2,FALSE))),"")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4"/>
        <v>0</v>
      </c>
      <c r="T5407" s="98">
        <f t="shared" si="235"/>
        <v>0</v>
      </c>
      <c r="U5407" s="99" t="str">
        <f>IFERROR(IF(#REF!="S",VLOOKUP('Raw Data'!A5407,References!#REF!,2,FALSE),(VLOOKUP($S5407,References!$B$3:$C$8,2,FALSE))),"")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4"/>
        <v>0</v>
      </c>
      <c r="T5408" s="98">
        <f t="shared" si="235"/>
        <v>0</v>
      </c>
      <c r="U5408" s="99" t="str">
        <f>IFERROR(IF(#REF!="S",VLOOKUP('Raw Data'!A5408,References!#REF!,2,FALSE),(VLOOKUP($S5408,References!$B$3:$C$8,2,FALSE))),"")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4"/>
        <v>0</v>
      </c>
      <c r="T5409" s="98">
        <f t="shared" si="235"/>
        <v>0</v>
      </c>
      <c r="U5409" s="99" t="str">
        <f>IFERROR(IF(#REF!="S",VLOOKUP('Raw Data'!A5409,References!#REF!,2,FALSE),(VLOOKUP($S5409,References!$B$3:$C$8,2,FALSE))),"")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4"/>
        <v>0</v>
      </c>
      <c r="T5410" s="98">
        <f t="shared" si="235"/>
        <v>0</v>
      </c>
      <c r="U5410" s="99" t="str">
        <f>IFERROR(IF(#REF!="S",VLOOKUP('Raw Data'!A5410,References!#REF!,2,FALSE),(VLOOKUP($S5410,References!$B$3:$C$8,2,FALSE))),"")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4"/>
        <v>0</v>
      </c>
      <c r="T5411" s="98">
        <f t="shared" si="235"/>
        <v>0</v>
      </c>
      <c r="U5411" s="99" t="str">
        <f>IFERROR(IF(#REF!="S",VLOOKUP('Raw Data'!A5411,References!#REF!,2,FALSE),(VLOOKUP($S5411,References!$B$3:$C$8,2,FALSE))),"")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4"/>
        <v>0</v>
      </c>
      <c r="T5412" s="98">
        <f t="shared" si="235"/>
        <v>0</v>
      </c>
      <c r="U5412" s="99" t="str">
        <f>IFERROR(IF(#REF!="S",VLOOKUP('Raw Data'!A5412,References!#REF!,2,FALSE),(VLOOKUP($S5412,References!$B$3:$C$8,2,FALSE))),"")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4"/>
        <v>0</v>
      </c>
      <c r="T5413" s="98">
        <f t="shared" si="235"/>
        <v>0</v>
      </c>
      <c r="U5413" s="99" t="str">
        <f>IFERROR(IF(#REF!="S",VLOOKUP('Raw Data'!A5413,References!#REF!,2,FALSE),(VLOOKUP($S5413,References!$B$3:$C$8,2,FALSE))),"")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4"/>
        <v>0</v>
      </c>
      <c r="T5414" s="98">
        <f t="shared" si="235"/>
        <v>0</v>
      </c>
      <c r="U5414" s="99" t="str">
        <f>IFERROR(IF(#REF!="S",VLOOKUP('Raw Data'!A5414,References!#REF!,2,FALSE),(VLOOKUP($S5414,References!$B$3:$C$8,2,FALSE))),"")</f>
        <v/>
      </c>
      <c r="W5414" s="66" t="str">
        <f>IFERROR(VLOOKUP($O5414,'Customer List'!$A$1:$J$488,10,FALSE),"")</f>
        <v/>
      </c>
    </row>
    <row r="5415" spans="18:23">
      <c r="R5415" s="97">
        <f t="shared" si="234"/>
        <v>0</v>
      </c>
      <c r="T5415" s="98">
        <f t="shared" si="235"/>
        <v>0</v>
      </c>
      <c r="U5415" s="99" t="str">
        <f>IFERROR(IF(#REF!="S",VLOOKUP('Raw Data'!A5415,References!#REF!,2,FALSE),(VLOOKUP($S5415,References!$B$3:$C$8,2,FALSE))),"")</f>
        <v/>
      </c>
      <c r="W5415" s="66" t="str">
        <f>IFERROR(VLOOKUP($O5415,'Customer List'!$A$1:$J$488,10,FALSE),"")</f>
        <v/>
      </c>
    </row>
    <row r="5416" spans="18:23">
      <c r="R5416" s="97">
        <f t="shared" ref="R5416:R5479" si="236">L5416-K5416</f>
        <v>0</v>
      </c>
      <c r="T5416" s="98">
        <f t="shared" si="235"/>
        <v>0</v>
      </c>
      <c r="U5416" s="99" t="str">
        <f>IFERROR(IF(#REF!="S",VLOOKUP('Raw Data'!A5416,References!#REF!,2,FALSE),(VLOOKUP($S5416,References!$B$3:$C$8,2,FALSE))),"")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6"/>
        <v>0</v>
      </c>
      <c r="T5417" s="98">
        <f t="shared" si="235"/>
        <v>0</v>
      </c>
      <c r="U5417" s="99" t="str">
        <f>IFERROR(IF(#REF!="S",VLOOKUP('Raw Data'!A5417,References!#REF!,2,FALSE),(VLOOKUP($S5417,References!$B$3:$C$8,2,FALSE))),"")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6"/>
        <v>0</v>
      </c>
      <c r="T5418" s="98">
        <f t="shared" si="235"/>
        <v>0</v>
      </c>
      <c r="U5418" s="99" t="str">
        <f>IFERROR(IF(#REF!="S",VLOOKUP('Raw Data'!A5418,References!#REF!,2,FALSE),(VLOOKUP($S5418,References!$B$3:$C$8,2,FALSE))),"")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6"/>
        <v>0</v>
      </c>
      <c r="T5419" s="98">
        <f t="shared" si="235"/>
        <v>0</v>
      </c>
      <c r="U5419" s="99" t="str">
        <f>IFERROR(IF(#REF!="S",VLOOKUP('Raw Data'!A5419,References!#REF!,2,FALSE),(VLOOKUP($S5419,References!$B$3:$C$8,2,FALSE))),"")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6"/>
        <v>0</v>
      </c>
      <c r="T5420" s="98">
        <f t="shared" si="235"/>
        <v>0</v>
      </c>
      <c r="U5420" s="99" t="str">
        <f>IFERROR(IF(#REF!="S",VLOOKUP('Raw Data'!A5420,References!#REF!,2,FALSE),(VLOOKUP($S5420,References!$B$3:$C$8,2,FALSE))),"")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6"/>
        <v>0</v>
      </c>
      <c r="T5421" s="98">
        <f t="shared" si="235"/>
        <v>0</v>
      </c>
      <c r="U5421" s="99" t="str">
        <f>IFERROR(IF(#REF!="S",VLOOKUP('Raw Data'!A5421,References!#REF!,2,FALSE),(VLOOKUP($S5421,References!$B$3:$C$8,2,FALSE))),"")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6"/>
        <v>0</v>
      </c>
      <c r="T5422" s="98">
        <f t="shared" si="235"/>
        <v>0</v>
      </c>
      <c r="U5422" s="99" t="str">
        <f>IFERROR(IF(#REF!="S",VLOOKUP('Raw Data'!A5422,References!#REF!,2,FALSE),(VLOOKUP($S5422,References!$B$3:$C$8,2,FALSE))),"")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6"/>
        <v>0</v>
      </c>
      <c r="T5423" s="98">
        <f t="shared" si="235"/>
        <v>0</v>
      </c>
      <c r="U5423" s="99" t="str">
        <f>IFERROR(IF(#REF!="S",VLOOKUP('Raw Data'!A5423,References!#REF!,2,FALSE),(VLOOKUP($S5423,References!$B$3:$C$8,2,FALSE))),"")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6"/>
        <v>0</v>
      </c>
      <c r="T5424" s="98">
        <f t="shared" si="235"/>
        <v>0</v>
      </c>
      <c r="U5424" s="99" t="str">
        <f>IFERROR(IF(#REF!="S",VLOOKUP('Raw Data'!A5424,References!#REF!,2,FALSE),(VLOOKUP($S5424,References!$B$3:$C$8,2,FALSE))),"")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6"/>
        <v>0</v>
      </c>
      <c r="T5425" s="98">
        <f t="shared" si="235"/>
        <v>0</v>
      </c>
      <c r="U5425" s="99" t="str">
        <f>IFERROR(IF(#REF!="S",VLOOKUP('Raw Data'!A5425,References!#REF!,2,FALSE),(VLOOKUP($S5425,References!$B$3:$C$8,2,FALSE))),"")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6"/>
        <v>0</v>
      </c>
      <c r="T5426" s="98">
        <f t="shared" si="235"/>
        <v>0</v>
      </c>
      <c r="U5426" s="99" t="str">
        <f>IFERROR(IF(#REF!="S",VLOOKUP('Raw Data'!A5426,References!#REF!,2,FALSE),(VLOOKUP($S5426,References!$B$3:$C$8,2,FALSE))),"")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6"/>
        <v>0</v>
      </c>
      <c r="T5427" s="98">
        <f t="shared" si="235"/>
        <v>0</v>
      </c>
      <c r="U5427" s="99" t="str">
        <f>IFERROR(IF(#REF!="S",VLOOKUP('Raw Data'!A5427,References!#REF!,2,FALSE),(VLOOKUP($S5427,References!$B$3:$C$8,2,FALSE))),"")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6"/>
        <v>0</v>
      </c>
      <c r="T5428" s="98">
        <f t="shared" si="235"/>
        <v>0</v>
      </c>
      <c r="U5428" s="99" t="str">
        <f>IFERROR(IF(#REF!="S",VLOOKUP('Raw Data'!A5428,References!#REF!,2,FALSE),(VLOOKUP($S5428,References!$B$3:$C$8,2,FALSE))),"")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6"/>
        <v>0</v>
      </c>
      <c r="T5429" s="98">
        <f t="shared" si="235"/>
        <v>0</v>
      </c>
      <c r="U5429" s="99" t="str">
        <f>IFERROR(IF(#REF!="S",VLOOKUP('Raw Data'!A5429,References!#REF!,2,FALSE),(VLOOKUP($S5429,References!$B$3:$C$8,2,FALSE))),"")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6"/>
        <v>0</v>
      </c>
      <c r="T5430" s="98">
        <f t="shared" si="235"/>
        <v>0</v>
      </c>
      <c r="U5430" s="99" t="str">
        <f>IFERROR(IF(#REF!="S",VLOOKUP('Raw Data'!A5430,References!#REF!,2,FALSE),(VLOOKUP($S5430,References!$B$3:$C$8,2,FALSE))),"")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6"/>
        <v>0</v>
      </c>
      <c r="T5431" s="98">
        <f t="shared" si="235"/>
        <v>0</v>
      </c>
      <c r="U5431" s="99" t="str">
        <f>IFERROR(IF(#REF!="S",VLOOKUP('Raw Data'!A5431,References!#REF!,2,FALSE),(VLOOKUP($S5431,References!$B$3:$C$8,2,FALSE))),"")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6"/>
        <v>0</v>
      </c>
      <c r="T5432" s="98">
        <f t="shared" si="235"/>
        <v>0</v>
      </c>
      <c r="U5432" s="99" t="str">
        <f>IFERROR(IF(#REF!="S",VLOOKUP('Raw Data'!A5432,References!#REF!,2,FALSE),(VLOOKUP($S5432,References!$B$3:$C$8,2,FALSE))),"")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6"/>
        <v>0</v>
      </c>
      <c r="T5433" s="98">
        <f t="shared" si="235"/>
        <v>0</v>
      </c>
      <c r="U5433" s="99" t="str">
        <f>IFERROR(IF(#REF!="S",VLOOKUP('Raw Data'!A5433,References!#REF!,2,FALSE),(VLOOKUP($S5433,References!$B$3:$C$8,2,FALSE))),"")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6"/>
        <v>0</v>
      </c>
      <c r="T5434" s="98">
        <f t="shared" si="235"/>
        <v>0</v>
      </c>
      <c r="U5434" s="99" t="str">
        <f>IFERROR(IF(#REF!="S",VLOOKUP('Raw Data'!A5434,References!#REF!,2,FALSE),(VLOOKUP($S5434,References!$B$3:$C$8,2,FALSE))),"")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6"/>
        <v>0</v>
      </c>
      <c r="T5435" s="98">
        <f t="shared" si="235"/>
        <v>0</v>
      </c>
      <c r="U5435" s="99" t="str">
        <f>IFERROR(IF(#REF!="S",VLOOKUP('Raw Data'!A5435,References!#REF!,2,FALSE),(VLOOKUP($S5435,References!$B$3:$C$8,2,FALSE))),"")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6"/>
        <v>0</v>
      </c>
      <c r="T5436" s="98">
        <f t="shared" si="235"/>
        <v>0</v>
      </c>
      <c r="U5436" s="99" t="str">
        <f>IFERROR(IF(#REF!="S",VLOOKUP('Raw Data'!A5436,References!#REF!,2,FALSE),(VLOOKUP($S5436,References!$B$3:$C$8,2,FALSE))),"")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6"/>
        <v>0</v>
      </c>
      <c r="T5437" s="98">
        <f t="shared" si="235"/>
        <v>0</v>
      </c>
      <c r="U5437" s="99" t="str">
        <f>IFERROR(IF(#REF!="S",VLOOKUP('Raw Data'!A5437,References!#REF!,2,FALSE),(VLOOKUP($S5437,References!$B$3:$C$8,2,FALSE))),"")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6"/>
        <v>0</v>
      </c>
      <c r="T5438" s="98">
        <f t="shared" si="235"/>
        <v>0</v>
      </c>
      <c r="U5438" s="99" t="str">
        <f>IFERROR(IF(#REF!="S",VLOOKUP('Raw Data'!A5438,References!#REF!,2,FALSE),(VLOOKUP($S5438,References!$B$3:$C$8,2,FALSE))),"")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6"/>
        <v>0</v>
      </c>
      <c r="T5439" s="98">
        <f t="shared" si="235"/>
        <v>0</v>
      </c>
      <c r="U5439" s="99" t="str">
        <f>IFERROR(IF(#REF!="S",VLOOKUP('Raw Data'!A5439,References!#REF!,2,FALSE),(VLOOKUP($S5439,References!$B$3:$C$8,2,FALSE))),"")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6"/>
        <v>0</v>
      </c>
      <c r="T5440" s="98">
        <f t="shared" si="235"/>
        <v>0</v>
      </c>
      <c r="U5440" s="99" t="str">
        <f>IFERROR(IF(#REF!="S",VLOOKUP('Raw Data'!A5440,References!#REF!,2,FALSE),(VLOOKUP($S5440,References!$B$3:$C$8,2,FALSE))),"")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6"/>
        <v>0</v>
      </c>
      <c r="T5441" s="98">
        <f t="shared" si="235"/>
        <v>0</v>
      </c>
      <c r="U5441" s="99" t="str">
        <f>IFERROR(IF(#REF!="S",VLOOKUP('Raw Data'!A5441,References!#REF!,2,FALSE),(VLOOKUP($S5441,References!$B$3:$C$8,2,FALSE))),"")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6"/>
        <v>0</v>
      </c>
      <c r="T5442" s="98">
        <f t="shared" si="235"/>
        <v>0</v>
      </c>
      <c r="U5442" s="99" t="str">
        <f>IFERROR(IF(#REF!="S",VLOOKUP('Raw Data'!A5442,References!#REF!,2,FALSE),(VLOOKUP($S5442,References!$B$3:$C$8,2,FALSE))),"")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6"/>
        <v>0</v>
      </c>
      <c r="T5443" s="98">
        <f t="shared" si="235"/>
        <v>0</v>
      </c>
      <c r="U5443" s="99" t="str">
        <f>IFERROR(IF(#REF!="S",VLOOKUP('Raw Data'!A5443,References!#REF!,2,FALSE),(VLOOKUP($S5443,References!$B$3:$C$8,2,FALSE))),"")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6"/>
        <v>0</v>
      </c>
      <c r="T5444" s="98">
        <f t="shared" si="235"/>
        <v>0</v>
      </c>
      <c r="U5444" s="99" t="str">
        <f>IFERROR(IF(#REF!="S",VLOOKUP('Raw Data'!A5444,References!#REF!,2,FALSE),(VLOOKUP($S5444,References!$B$3:$C$8,2,FALSE))),"")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6"/>
        <v>0</v>
      </c>
      <c r="T5445" s="98">
        <f t="shared" si="235"/>
        <v>0</v>
      </c>
      <c r="U5445" s="99" t="str">
        <f>IFERROR(IF(#REF!="S",VLOOKUP('Raw Data'!A5445,References!#REF!,2,FALSE),(VLOOKUP($S5445,References!$B$3:$C$8,2,FALSE))),"")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6"/>
        <v>0</v>
      </c>
      <c r="T5446" s="98">
        <f t="shared" si="235"/>
        <v>0</v>
      </c>
      <c r="U5446" s="99" t="str">
        <f>IFERROR(IF(#REF!="S",VLOOKUP('Raw Data'!A5446,References!#REF!,2,FALSE),(VLOOKUP($S5446,References!$B$3:$C$8,2,FALSE))),"")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6"/>
        <v>0</v>
      </c>
      <c r="T5447" s="98">
        <f t="shared" si="235"/>
        <v>0</v>
      </c>
      <c r="U5447" s="99" t="str">
        <f>IFERROR(IF(#REF!="S",VLOOKUP('Raw Data'!A5447,References!#REF!,2,FALSE),(VLOOKUP($S5447,References!$B$3:$C$8,2,FALSE))),"")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6"/>
        <v>0</v>
      </c>
      <c r="T5448" s="98">
        <f t="shared" si="235"/>
        <v>0</v>
      </c>
      <c r="U5448" s="99" t="str">
        <f>IFERROR(IF(#REF!="S",VLOOKUP('Raw Data'!A5448,References!#REF!,2,FALSE),(VLOOKUP($S5448,References!$B$3:$C$8,2,FALSE))),"")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6"/>
        <v>0</v>
      </c>
      <c r="T5449" s="98">
        <f t="shared" si="235"/>
        <v>0</v>
      </c>
      <c r="U5449" s="99" t="str">
        <f>IFERROR(IF(#REF!="S",VLOOKUP('Raw Data'!A5449,References!#REF!,2,FALSE),(VLOOKUP($S5449,References!$B$3:$C$8,2,FALSE))),"")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6"/>
        <v>0</v>
      </c>
      <c r="T5450" s="98">
        <f t="shared" si="235"/>
        <v>0</v>
      </c>
      <c r="U5450" s="99" t="str">
        <f>IFERROR(IF(#REF!="S",VLOOKUP('Raw Data'!A5450,References!#REF!,2,FALSE),(VLOOKUP($S5450,References!$B$3:$C$8,2,FALSE))),"")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6"/>
        <v>0</v>
      </c>
      <c r="T5451" s="98">
        <f t="shared" si="235"/>
        <v>0</v>
      </c>
      <c r="U5451" s="99" t="str">
        <f>IFERROR(IF(#REF!="S",VLOOKUP('Raw Data'!A5451,References!#REF!,2,FALSE),(VLOOKUP($S5451,References!$B$3:$C$8,2,FALSE))),"")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6"/>
        <v>0</v>
      </c>
      <c r="T5452" s="98">
        <f t="shared" si="235"/>
        <v>0</v>
      </c>
      <c r="U5452" s="99" t="str">
        <f>IFERROR(IF(#REF!="S",VLOOKUP('Raw Data'!A5452,References!#REF!,2,FALSE),(VLOOKUP($S5452,References!$B$3:$C$8,2,FALSE))),"")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6"/>
        <v>0</v>
      </c>
      <c r="T5453" s="98">
        <f t="shared" si="235"/>
        <v>0</v>
      </c>
      <c r="U5453" s="99" t="str">
        <f>IFERROR(IF(#REF!="S",VLOOKUP('Raw Data'!A5453,References!#REF!,2,FALSE),(VLOOKUP($S5453,References!$B$3:$C$8,2,FALSE))),"")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6"/>
        <v>0</v>
      </c>
      <c r="T5454" s="98">
        <f t="shared" si="235"/>
        <v>0</v>
      </c>
      <c r="U5454" s="99" t="str">
        <f>IFERROR(IF(#REF!="S",VLOOKUP('Raw Data'!A5454,References!#REF!,2,FALSE),(VLOOKUP($S5454,References!$B$3:$C$8,2,FALSE))),"")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6"/>
        <v>0</v>
      </c>
      <c r="T5455" s="98">
        <f t="shared" si="235"/>
        <v>0</v>
      </c>
      <c r="U5455" s="99" t="str">
        <f>IFERROR(IF(#REF!="S",VLOOKUP('Raw Data'!A5455,References!#REF!,2,FALSE),(VLOOKUP($S5455,References!$B$3:$C$8,2,FALSE))),"")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6"/>
        <v>0</v>
      </c>
      <c r="T5456" s="98">
        <f t="shared" ref="T5456:T5519" si="237">IF(S5456="50 - Cleaning Fee",1,HOUR($R5456)+MINUTE(R5456)/60)</f>
        <v>0</v>
      </c>
      <c r="U5456" s="99" t="str">
        <f>IFERROR(IF(#REF!="S",VLOOKUP('Raw Data'!A5456,References!#REF!,2,FALSE),(VLOOKUP($S5456,References!$B$3:$C$8,2,FALSE))),"")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6"/>
        <v>0</v>
      </c>
      <c r="T5457" s="98">
        <f t="shared" si="237"/>
        <v>0</v>
      </c>
      <c r="U5457" s="99" t="str">
        <f>IFERROR(IF(#REF!="S",VLOOKUP('Raw Data'!A5457,References!#REF!,2,FALSE),(VLOOKUP($S5457,References!$B$3:$C$8,2,FALSE))),"")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6"/>
        <v>0</v>
      </c>
      <c r="T5458" s="98">
        <f t="shared" si="237"/>
        <v>0</v>
      </c>
      <c r="U5458" s="99" t="str">
        <f>IFERROR(IF(#REF!="S",VLOOKUP('Raw Data'!A5458,References!#REF!,2,FALSE),(VLOOKUP($S5458,References!$B$3:$C$8,2,FALSE))),"")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6"/>
        <v>0</v>
      </c>
      <c r="T5459" s="98">
        <f t="shared" si="237"/>
        <v>0</v>
      </c>
      <c r="U5459" s="99" t="str">
        <f>IFERROR(IF(#REF!="S",VLOOKUP('Raw Data'!A5459,References!#REF!,2,FALSE),(VLOOKUP($S5459,References!$B$3:$C$8,2,FALSE))),"")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6"/>
        <v>0</v>
      </c>
      <c r="T5460" s="98">
        <f t="shared" si="237"/>
        <v>0</v>
      </c>
      <c r="U5460" s="99" t="str">
        <f>IFERROR(IF(#REF!="S",VLOOKUP('Raw Data'!A5460,References!#REF!,2,FALSE),(VLOOKUP($S5460,References!$B$3:$C$8,2,FALSE))),"")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6"/>
        <v>0</v>
      </c>
      <c r="T5461" s="98">
        <f t="shared" si="237"/>
        <v>0</v>
      </c>
      <c r="U5461" s="99" t="str">
        <f>IFERROR(IF(#REF!="S",VLOOKUP('Raw Data'!A5461,References!#REF!,2,FALSE),(VLOOKUP($S5461,References!$B$3:$C$8,2,FALSE))),"")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6"/>
        <v>0</v>
      </c>
      <c r="T5462" s="98">
        <f t="shared" si="237"/>
        <v>0</v>
      </c>
      <c r="U5462" s="99" t="str">
        <f>IFERROR(IF(#REF!="S",VLOOKUP('Raw Data'!A5462,References!#REF!,2,FALSE),(VLOOKUP($S5462,References!$B$3:$C$8,2,FALSE))),"")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6"/>
        <v>0</v>
      </c>
      <c r="T5463" s="98">
        <f t="shared" si="237"/>
        <v>0</v>
      </c>
      <c r="U5463" s="99" t="str">
        <f>IFERROR(IF(#REF!="S",VLOOKUP('Raw Data'!A5463,References!#REF!,2,FALSE),(VLOOKUP($S5463,References!$B$3:$C$8,2,FALSE))),"")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6"/>
        <v>0</v>
      </c>
      <c r="T5464" s="98">
        <f t="shared" si="237"/>
        <v>0</v>
      </c>
      <c r="U5464" s="99" t="str">
        <f>IFERROR(IF(#REF!="S",VLOOKUP('Raw Data'!A5464,References!#REF!,2,FALSE),(VLOOKUP($S5464,References!$B$3:$C$8,2,FALSE))),"")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6"/>
        <v>0</v>
      </c>
      <c r="T5465" s="98">
        <f t="shared" si="237"/>
        <v>0</v>
      </c>
      <c r="U5465" s="99" t="str">
        <f>IFERROR(IF(#REF!="S",VLOOKUP('Raw Data'!A5465,References!#REF!,2,FALSE),(VLOOKUP($S5465,References!$B$3:$C$8,2,FALSE))),"")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6"/>
        <v>0</v>
      </c>
      <c r="T5466" s="98">
        <f t="shared" si="237"/>
        <v>0</v>
      </c>
      <c r="U5466" s="99" t="str">
        <f>IFERROR(IF(#REF!="S",VLOOKUP('Raw Data'!A5466,References!#REF!,2,FALSE),(VLOOKUP($S5466,References!$B$3:$C$8,2,FALSE))),"")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6"/>
        <v>0</v>
      </c>
      <c r="T5467" s="98">
        <f t="shared" si="237"/>
        <v>0</v>
      </c>
      <c r="U5467" s="99" t="str">
        <f>IFERROR(IF(#REF!="S",VLOOKUP('Raw Data'!A5467,References!#REF!,2,FALSE),(VLOOKUP($S5467,References!$B$3:$C$8,2,FALSE))),"")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6"/>
        <v>0</v>
      </c>
      <c r="T5468" s="98">
        <f t="shared" si="237"/>
        <v>0</v>
      </c>
      <c r="U5468" s="99" t="str">
        <f>IFERROR(IF(#REF!="S",VLOOKUP('Raw Data'!A5468,References!#REF!,2,FALSE),(VLOOKUP($S5468,References!$B$3:$C$8,2,FALSE))),"")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6"/>
        <v>0</v>
      </c>
      <c r="T5469" s="98">
        <f t="shared" si="237"/>
        <v>0</v>
      </c>
      <c r="U5469" s="99" t="str">
        <f>IFERROR(IF(#REF!="S",VLOOKUP('Raw Data'!A5469,References!#REF!,2,FALSE),(VLOOKUP($S5469,References!$B$3:$C$8,2,FALSE))),"")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6"/>
        <v>0</v>
      </c>
      <c r="T5470" s="98">
        <f t="shared" si="237"/>
        <v>0</v>
      </c>
      <c r="U5470" s="99" t="str">
        <f>IFERROR(IF(#REF!="S",VLOOKUP('Raw Data'!A5470,References!#REF!,2,FALSE),(VLOOKUP($S5470,References!$B$3:$C$8,2,FALSE))),"")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6"/>
        <v>0</v>
      </c>
      <c r="T5471" s="98">
        <f t="shared" si="237"/>
        <v>0</v>
      </c>
      <c r="U5471" s="99" t="str">
        <f>IFERROR(IF(#REF!="S",VLOOKUP('Raw Data'!A5471,References!#REF!,2,FALSE),(VLOOKUP($S5471,References!$B$3:$C$8,2,FALSE))),"")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6"/>
        <v>0</v>
      </c>
      <c r="T5472" s="98">
        <f t="shared" si="237"/>
        <v>0</v>
      </c>
      <c r="U5472" s="99" t="str">
        <f>IFERROR(IF(#REF!="S",VLOOKUP('Raw Data'!A5472,References!#REF!,2,FALSE),(VLOOKUP($S5472,References!$B$3:$C$8,2,FALSE))),"")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6"/>
        <v>0</v>
      </c>
      <c r="T5473" s="98">
        <f t="shared" si="237"/>
        <v>0</v>
      </c>
      <c r="U5473" s="99" t="str">
        <f>IFERROR(IF(#REF!="S",VLOOKUP('Raw Data'!A5473,References!#REF!,2,FALSE),(VLOOKUP($S5473,References!$B$3:$C$8,2,FALSE))),"")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6"/>
        <v>0</v>
      </c>
      <c r="T5474" s="98">
        <f t="shared" si="237"/>
        <v>0</v>
      </c>
      <c r="U5474" s="99" t="str">
        <f>IFERROR(IF(#REF!="S",VLOOKUP('Raw Data'!A5474,References!#REF!,2,FALSE),(VLOOKUP($S5474,References!$B$3:$C$8,2,FALSE))),"")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6"/>
        <v>0</v>
      </c>
      <c r="T5475" s="98">
        <f t="shared" si="237"/>
        <v>0</v>
      </c>
      <c r="U5475" s="99" t="str">
        <f>IFERROR(IF(#REF!="S",VLOOKUP('Raw Data'!A5475,References!#REF!,2,FALSE),(VLOOKUP($S5475,References!$B$3:$C$8,2,FALSE))),"")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6"/>
        <v>0</v>
      </c>
      <c r="T5476" s="98">
        <f t="shared" si="237"/>
        <v>0</v>
      </c>
      <c r="U5476" s="99" t="str">
        <f>IFERROR(IF(#REF!="S",VLOOKUP('Raw Data'!A5476,References!#REF!,2,FALSE),(VLOOKUP($S5476,References!$B$3:$C$8,2,FALSE))),"")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6"/>
        <v>0</v>
      </c>
      <c r="T5477" s="98">
        <f t="shared" si="237"/>
        <v>0</v>
      </c>
      <c r="U5477" s="99" t="str">
        <f>IFERROR(IF(#REF!="S",VLOOKUP('Raw Data'!A5477,References!#REF!,2,FALSE),(VLOOKUP($S5477,References!$B$3:$C$8,2,FALSE))),"")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6"/>
        <v>0</v>
      </c>
      <c r="T5478" s="98">
        <f t="shared" si="237"/>
        <v>0</v>
      </c>
      <c r="U5478" s="99" t="str">
        <f>IFERROR(IF(#REF!="S",VLOOKUP('Raw Data'!A5478,References!#REF!,2,FALSE),(VLOOKUP($S5478,References!$B$3:$C$8,2,FALSE))),"")</f>
        <v/>
      </c>
      <c r="W5478" s="66" t="str">
        <f>IFERROR(VLOOKUP($O5478,'Customer List'!$A$1:$J$488,10,FALSE),"")</f>
        <v/>
      </c>
    </row>
    <row r="5479" spans="18:23">
      <c r="R5479" s="97">
        <f t="shared" si="236"/>
        <v>0</v>
      </c>
      <c r="T5479" s="98">
        <f t="shared" si="237"/>
        <v>0</v>
      </c>
      <c r="U5479" s="99" t="str">
        <f>IFERROR(IF(#REF!="S",VLOOKUP('Raw Data'!A5479,References!#REF!,2,FALSE),(VLOOKUP($S5479,References!$B$3:$C$8,2,FALSE))),"")</f>
        <v/>
      </c>
      <c r="W5479" s="66" t="str">
        <f>IFERROR(VLOOKUP($O5479,'Customer List'!$A$1:$J$488,10,FALSE),"")</f>
        <v/>
      </c>
    </row>
    <row r="5480" spans="18:23">
      <c r="R5480" s="97">
        <f t="shared" ref="R5480:R5543" si="238">L5480-K5480</f>
        <v>0</v>
      </c>
      <c r="T5480" s="98">
        <f t="shared" si="237"/>
        <v>0</v>
      </c>
      <c r="U5480" s="99" t="str">
        <f>IFERROR(IF(#REF!="S",VLOOKUP('Raw Data'!A5480,References!#REF!,2,FALSE),(VLOOKUP($S5480,References!$B$3:$C$8,2,FALSE))),"")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38"/>
        <v>0</v>
      </c>
      <c r="T5481" s="98">
        <f t="shared" si="237"/>
        <v>0</v>
      </c>
      <c r="U5481" s="99" t="str">
        <f>IFERROR(IF(#REF!="S",VLOOKUP('Raw Data'!A5481,References!#REF!,2,FALSE),(VLOOKUP($S5481,References!$B$3:$C$8,2,FALSE))),"")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38"/>
        <v>0</v>
      </c>
      <c r="T5482" s="98">
        <f t="shared" si="237"/>
        <v>0</v>
      </c>
      <c r="U5482" s="99" t="str">
        <f>IFERROR(IF(#REF!="S",VLOOKUP('Raw Data'!A5482,References!#REF!,2,FALSE),(VLOOKUP($S5482,References!$B$3:$C$8,2,FALSE))),"")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38"/>
        <v>0</v>
      </c>
      <c r="T5483" s="98">
        <f t="shared" si="237"/>
        <v>0</v>
      </c>
      <c r="U5483" s="99" t="str">
        <f>IFERROR(IF(#REF!="S",VLOOKUP('Raw Data'!A5483,References!#REF!,2,FALSE),(VLOOKUP($S5483,References!$B$3:$C$8,2,FALSE))),"")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38"/>
        <v>0</v>
      </c>
      <c r="T5484" s="98">
        <f t="shared" si="237"/>
        <v>0</v>
      </c>
      <c r="U5484" s="99" t="str">
        <f>IFERROR(IF(#REF!="S",VLOOKUP('Raw Data'!A5484,References!#REF!,2,FALSE),(VLOOKUP($S5484,References!$B$3:$C$8,2,FALSE))),"")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38"/>
        <v>0</v>
      </c>
      <c r="T5485" s="98">
        <f t="shared" si="237"/>
        <v>0</v>
      </c>
      <c r="U5485" s="99" t="str">
        <f>IFERROR(IF(#REF!="S",VLOOKUP('Raw Data'!A5485,References!#REF!,2,FALSE),(VLOOKUP($S5485,References!$B$3:$C$8,2,FALSE))),"")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38"/>
        <v>0</v>
      </c>
      <c r="T5486" s="98">
        <f t="shared" si="237"/>
        <v>0</v>
      </c>
      <c r="U5486" s="99" t="str">
        <f>IFERROR(IF(#REF!="S",VLOOKUP('Raw Data'!A5486,References!#REF!,2,FALSE),(VLOOKUP($S5486,References!$B$3:$C$8,2,FALSE))),"")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38"/>
        <v>0</v>
      </c>
      <c r="T5487" s="98">
        <f t="shared" si="237"/>
        <v>0</v>
      </c>
      <c r="U5487" s="99" t="str">
        <f>IFERROR(IF(#REF!="S",VLOOKUP('Raw Data'!A5487,References!#REF!,2,FALSE),(VLOOKUP($S5487,References!$B$3:$C$8,2,FALSE))),"")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38"/>
        <v>0</v>
      </c>
      <c r="T5488" s="98">
        <f t="shared" si="237"/>
        <v>0</v>
      </c>
      <c r="U5488" s="99" t="str">
        <f>IFERROR(IF(#REF!="S",VLOOKUP('Raw Data'!A5488,References!#REF!,2,FALSE),(VLOOKUP($S5488,References!$B$3:$C$8,2,FALSE))),"")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38"/>
        <v>0</v>
      </c>
      <c r="T5489" s="98">
        <f t="shared" si="237"/>
        <v>0</v>
      </c>
      <c r="U5489" s="99" t="str">
        <f>IFERROR(IF(#REF!="S",VLOOKUP('Raw Data'!A5489,References!#REF!,2,FALSE),(VLOOKUP($S5489,References!$B$3:$C$8,2,FALSE))),"")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38"/>
        <v>0</v>
      </c>
      <c r="T5490" s="98">
        <f t="shared" si="237"/>
        <v>0</v>
      </c>
      <c r="U5490" s="99" t="str">
        <f>IFERROR(IF(#REF!="S",VLOOKUP('Raw Data'!A5490,References!#REF!,2,FALSE),(VLOOKUP($S5490,References!$B$3:$C$8,2,FALSE))),"")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38"/>
        <v>0</v>
      </c>
      <c r="T5491" s="98">
        <f t="shared" si="237"/>
        <v>0</v>
      </c>
      <c r="U5491" s="99" t="str">
        <f>IFERROR(IF(#REF!="S",VLOOKUP('Raw Data'!A5491,References!#REF!,2,FALSE),(VLOOKUP($S5491,References!$B$3:$C$8,2,FALSE))),"")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38"/>
        <v>0</v>
      </c>
      <c r="T5492" s="98">
        <f t="shared" si="237"/>
        <v>0</v>
      </c>
      <c r="U5492" s="99" t="str">
        <f>IFERROR(IF(#REF!="S",VLOOKUP('Raw Data'!A5492,References!#REF!,2,FALSE),(VLOOKUP($S5492,References!$B$3:$C$8,2,FALSE))),"")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38"/>
        <v>0</v>
      </c>
      <c r="T5493" s="98">
        <f t="shared" si="237"/>
        <v>0</v>
      </c>
      <c r="U5493" s="99" t="str">
        <f>IFERROR(IF(#REF!="S",VLOOKUP('Raw Data'!A5493,References!#REF!,2,FALSE),(VLOOKUP($S5493,References!$B$3:$C$8,2,FALSE))),"")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38"/>
        <v>0</v>
      </c>
      <c r="T5494" s="98">
        <f t="shared" si="237"/>
        <v>0</v>
      </c>
      <c r="U5494" s="99" t="str">
        <f>IFERROR(IF(#REF!="S",VLOOKUP('Raw Data'!A5494,References!#REF!,2,FALSE),(VLOOKUP($S5494,References!$B$3:$C$8,2,FALSE))),"")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38"/>
        <v>0</v>
      </c>
      <c r="T5495" s="98">
        <f t="shared" si="237"/>
        <v>0</v>
      </c>
      <c r="U5495" s="99" t="str">
        <f>IFERROR(IF(#REF!="S",VLOOKUP('Raw Data'!A5495,References!#REF!,2,FALSE),(VLOOKUP($S5495,References!$B$3:$C$8,2,FALSE))),"")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38"/>
        <v>0</v>
      </c>
      <c r="T5496" s="98">
        <f t="shared" si="237"/>
        <v>0</v>
      </c>
      <c r="U5496" s="99" t="str">
        <f>IFERROR(IF(#REF!="S",VLOOKUP('Raw Data'!A5496,References!#REF!,2,FALSE),(VLOOKUP($S5496,References!$B$3:$C$8,2,FALSE))),"")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38"/>
        <v>0</v>
      </c>
      <c r="T5497" s="98">
        <f t="shared" si="237"/>
        <v>0</v>
      </c>
      <c r="U5497" s="99" t="str">
        <f>IFERROR(IF(#REF!="S",VLOOKUP('Raw Data'!A5497,References!#REF!,2,FALSE),(VLOOKUP($S5497,References!$B$3:$C$8,2,FALSE))),"")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38"/>
        <v>0</v>
      </c>
      <c r="T5498" s="98">
        <f t="shared" si="237"/>
        <v>0</v>
      </c>
      <c r="U5498" s="99" t="str">
        <f>IFERROR(IF(#REF!="S",VLOOKUP('Raw Data'!A5498,References!#REF!,2,FALSE),(VLOOKUP($S5498,References!$B$3:$C$8,2,FALSE))),"")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38"/>
        <v>0</v>
      </c>
      <c r="T5499" s="98">
        <f t="shared" si="237"/>
        <v>0</v>
      </c>
      <c r="U5499" s="99" t="str">
        <f>IFERROR(IF(#REF!="S",VLOOKUP('Raw Data'!A5499,References!#REF!,2,FALSE),(VLOOKUP($S5499,References!$B$3:$C$8,2,FALSE))),"")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38"/>
        <v>0</v>
      </c>
      <c r="T5500" s="98">
        <f t="shared" si="237"/>
        <v>0</v>
      </c>
      <c r="U5500" s="99" t="str">
        <f>IFERROR(IF(#REF!="S",VLOOKUP('Raw Data'!A5500,References!#REF!,2,FALSE),(VLOOKUP($S5500,References!$B$3:$C$8,2,FALSE))),"")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38"/>
        <v>0</v>
      </c>
      <c r="T5501" s="98">
        <f t="shared" si="237"/>
        <v>0</v>
      </c>
      <c r="U5501" s="99" t="str">
        <f>IFERROR(IF(#REF!="S",VLOOKUP('Raw Data'!A5501,References!#REF!,2,FALSE),(VLOOKUP($S5501,References!$B$3:$C$8,2,FALSE))),"")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38"/>
        <v>0</v>
      </c>
      <c r="T5502" s="98">
        <f t="shared" si="237"/>
        <v>0</v>
      </c>
      <c r="U5502" s="99" t="str">
        <f>IFERROR(IF(#REF!="S",VLOOKUP('Raw Data'!A5502,References!#REF!,2,FALSE),(VLOOKUP($S5502,References!$B$3:$C$8,2,FALSE))),"")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38"/>
        <v>0</v>
      </c>
      <c r="T5503" s="98">
        <f t="shared" si="237"/>
        <v>0</v>
      </c>
      <c r="U5503" s="99" t="str">
        <f>IFERROR(IF(#REF!="S",VLOOKUP('Raw Data'!A5503,References!#REF!,2,FALSE),(VLOOKUP($S5503,References!$B$3:$C$8,2,FALSE))),"")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38"/>
        <v>0</v>
      </c>
      <c r="T5504" s="98">
        <f t="shared" si="237"/>
        <v>0</v>
      </c>
      <c r="U5504" s="99" t="str">
        <f>IFERROR(IF(#REF!="S",VLOOKUP('Raw Data'!A5504,References!#REF!,2,FALSE),(VLOOKUP($S5504,References!$B$3:$C$8,2,FALSE))),"")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38"/>
        <v>0</v>
      </c>
      <c r="T5505" s="98">
        <f t="shared" si="237"/>
        <v>0</v>
      </c>
      <c r="U5505" s="99" t="str">
        <f>IFERROR(IF(#REF!="S",VLOOKUP('Raw Data'!A5505,References!#REF!,2,FALSE),(VLOOKUP($S5505,References!$B$3:$C$8,2,FALSE))),"")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38"/>
        <v>0</v>
      </c>
      <c r="T5506" s="98">
        <f t="shared" si="237"/>
        <v>0</v>
      </c>
      <c r="U5506" s="99" t="str">
        <f>IFERROR(IF(#REF!="S",VLOOKUP('Raw Data'!A5506,References!#REF!,2,FALSE),(VLOOKUP($S5506,References!$B$3:$C$8,2,FALSE))),"")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38"/>
        <v>0</v>
      </c>
      <c r="T5507" s="98">
        <f t="shared" si="237"/>
        <v>0</v>
      </c>
      <c r="U5507" s="99" t="str">
        <f>IFERROR(IF(#REF!="S",VLOOKUP('Raw Data'!A5507,References!#REF!,2,FALSE),(VLOOKUP($S5507,References!$B$3:$C$8,2,FALSE))),"")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38"/>
        <v>0</v>
      </c>
      <c r="T5508" s="98">
        <f t="shared" si="237"/>
        <v>0</v>
      </c>
      <c r="U5508" s="99" t="str">
        <f>IFERROR(IF(#REF!="S",VLOOKUP('Raw Data'!A5508,References!#REF!,2,FALSE),(VLOOKUP($S5508,References!$B$3:$C$8,2,FALSE))),"")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38"/>
        <v>0</v>
      </c>
      <c r="T5509" s="98">
        <f t="shared" si="237"/>
        <v>0</v>
      </c>
      <c r="U5509" s="99" t="str">
        <f>IFERROR(IF(#REF!="S",VLOOKUP('Raw Data'!A5509,References!#REF!,2,FALSE),(VLOOKUP($S5509,References!$B$3:$C$8,2,FALSE))),"")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38"/>
        <v>0</v>
      </c>
      <c r="T5510" s="98">
        <f t="shared" si="237"/>
        <v>0</v>
      </c>
      <c r="U5510" s="99" t="str">
        <f>IFERROR(IF(#REF!="S",VLOOKUP('Raw Data'!A5510,References!#REF!,2,FALSE),(VLOOKUP($S5510,References!$B$3:$C$8,2,FALSE))),"")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38"/>
        <v>0</v>
      </c>
      <c r="T5511" s="98">
        <f t="shared" si="237"/>
        <v>0</v>
      </c>
      <c r="U5511" s="99" t="str">
        <f>IFERROR(IF(#REF!="S",VLOOKUP('Raw Data'!A5511,References!#REF!,2,FALSE),(VLOOKUP($S5511,References!$B$3:$C$8,2,FALSE))),"")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38"/>
        <v>0</v>
      </c>
      <c r="T5512" s="98">
        <f t="shared" si="237"/>
        <v>0</v>
      </c>
      <c r="U5512" s="99" t="str">
        <f>IFERROR(IF(#REF!="S",VLOOKUP('Raw Data'!A5512,References!#REF!,2,FALSE),(VLOOKUP($S5512,References!$B$3:$C$8,2,FALSE))),"")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38"/>
        <v>0</v>
      </c>
      <c r="T5513" s="98">
        <f t="shared" si="237"/>
        <v>0</v>
      </c>
      <c r="U5513" s="99" t="str">
        <f>IFERROR(IF(#REF!="S",VLOOKUP('Raw Data'!A5513,References!#REF!,2,FALSE),(VLOOKUP($S5513,References!$B$3:$C$8,2,FALSE))),"")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38"/>
        <v>0</v>
      </c>
      <c r="T5514" s="98">
        <f t="shared" si="237"/>
        <v>0</v>
      </c>
      <c r="U5514" s="99" t="str">
        <f>IFERROR(IF(#REF!="S",VLOOKUP('Raw Data'!A5514,References!#REF!,2,FALSE),(VLOOKUP($S5514,References!$B$3:$C$8,2,FALSE))),"")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38"/>
        <v>0</v>
      </c>
      <c r="T5515" s="98">
        <f t="shared" si="237"/>
        <v>0</v>
      </c>
      <c r="U5515" s="99" t="str">
        <f>IFERROR(IF(#REF!="S",VLOOKUP('Raw Data'!A5515,References!#REF!,2,FALSE),(VLOOKUP($S5515,References!$B$3:$C$8,2,FALSE))),"")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38"/>
        <v>0</v>
      </c>
      <c r="T5516" s="98">
        <f t="shared" si="237"/>
        <v>0</v>
      </c>
      <c r="U5516" s="99" t="str">
        <f>IFERROR(IF(#REF!="S",VLOOKUP('Raw Data'!A5516,References!#REF!,2,FALSE),(VLOOKUP($S5516,References!$B$3:$C$8,2,FALSE))),"")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38"/>
        <v>0</v>
      </c>
      <c r="T5517" s="98">
        <f t="shared" si="237"/>
        <v>0</v>
      </c>
      <c r="U5517" s="99" t="str">
        <f>IFERROR(IF(#REF!="S",VLOOKUP('Raw Data'!A5517,References!#REF!,2,FALSE),(VLOOKUP($S5517,References!$B$3:$C$8,2,FALSE))),"")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38"/>
        <v>0</v>
      </c>
      <c r="T5518" s="98">
        <f t="shared" si="237"/>
        <v>0</v>
      </c>
      <c r="U5518" s="99" t="str">
        <f>IFERROR(IF(#REF!="S",VLOOKUP('Raw Data'!A5518,References!#REF!,2,FALSE),(VLOOKUP($S5518,References!$B$3:$C$8,2,FALSE))),"")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38"/>
        <v>0</v>
      </c>
      <c r="T5519" s="98">
        <f t="shared" si="237"/>
        <v>0</v>
      </c>
      <c r="U5519" s="99" t="str">
        <f>IFERROR(IF(#REF!="S",VLOOKUP('Raw Data'!A5519,References!#REF!,2,FALSE),(VLOOKUP($S5519,References!$B$3:$C$8,2,FALSE))),"")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38"/>
        <v>0</v>
      </c>
      <c r="T5520" s="98">
        <f t="shared" ref="T5520:T5583" si="239">IF(S5520="50 - Cleaning Fee",1,HOUR($R5520)+MINUTE(R5520)/60)</f>
        <v>0</v>
      </c>
      <c r="U5520" s="99" t="str">
        <f>IFERROR(IF(#REF!="S",VLOOKUP('Raw Data'!A5520,References!#REF!,2,FALSE),(VLOOKUP($S5520,References!$B$3:$C$8,2,FALSE))),"")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38"/>
        <v>0</v>
      </c>
      <c r="T5521" s="98">
        <f t="shared" si="239"/>
        <v>0</v>
      </c>
      <c r="U5521" s="99" t="str">
        <f>IFERROR(IF(#REF!="S",VLOOKUP('Raw Data'!A5521,References!#REF!,2,FALSE),(VLOOKUP($S5521,References!$B$3:$C$8,2,FALSE))),"")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38"/>
        <v>0</v>
      </c>
      <c r="T5522" s="98">
        <f t="shared" si="239"/>
        <v>0</v>
      </c>
      <c r="U5522" s="99" t="str">
        <f>IFERROR(IF(#REF!="S",VLOOKUP('Raw Data'!A5522,References!#REF!,2,FALSE),(VLOOKUP($S5522,References!$B$3:$C$8,2,FALSE))),"")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38"/>
        <v>0</v>
      </c>
      <c r="T5523" s="98">
        <f t="shared" si="239"/>
        <v>0</v>
      </c>
      <c r="U5523" s="99" t="str">
        <f>IFERROR(IF(#REF!="S",VLOOKUP('Raw Data'!A5523,References!#REF!,2,FALSE),(VLOOKUP($S5523,References!$B$3:$C$8,2,FALSE))),"")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38"/>
        <v>0</v>
      </c>
      <c r="T5524" s="98">
        <f t="shared" si="239"/>
        <v>0</v>
      </c>
      <c r="U5524" s="99" t="str">
        <f>IFERROR(IF(#REF!="S",VLOOKUP('Raw Data'!A5524,References!#REF!,2,FALSE),(VLOOKUP($S5524,References!$B$3:$C$8,2,FALSE))),"")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38"/>
        <v>0</v>
      </c>
      <c r="T5525" s="98">
        <f t="shared" si="239"/>
        <v>0</v>
      </c>
      <c r="U5525" s="99" t="str">
        <f>IFERROR(IF(#REF!="S",VLOOKUP('Raw Data'!A5525,References!#REF!,2,FALSE),(VLOOKUP($S5525,References!$B$3:$C$8,2,FALSE))),"")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38"/>
        <v>0</v>
      </c>
      <c r="T5526" s="98">
        <f t="shared" si="239"/>
        <v>0</v>
      </c>
      <c r="U5526" s="99" t="str">
        <f>IFERROR(IF(#REF!="S",VLOOKUP('Raw Data'!A5526,References!#REF!,2,FALSE),(VLOOKUP($S5526,References!$B$3:$C$8,2,FALSE))),"")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38"/>
        <v>0</v>
      </c>
      <c r="T5527" s="98">
        <f t="shared" si="239"/>
        <v>0</v>
      </c>
      <c r="U5527" s="99" t="str">
        <f>IFERROR(IF(#REF!="S",VLOOKUP('Raw Data'!A5527,References!#REF!,2,FALSE),(VLOOKUP($S5527,References!$B$3:$C$8,2,FALSE))),"")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38"/>
        <v>0</v>
      </c>
      <c r="T5528" s="98">
        <f t="shared" si="239"/>
        <v>0</v>
      </c>
      <c r="U5528" s="99" t="str">
        <f>IFERROR(IF(#REF!="S",VLOOKUP('Raw Data'!A5528,References!#REF!,2,FALSE),(VLOOKUP($S5528,References!$B$3:$C$8,2,FALSE))),"")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38"/>
        <v>0</v>
      </c>
      <c r="T5529" s="98">
        <f t="shared" si="239"/>
        <v>0</v>
      </c>
      <c r="U5529" s="99" t="str">
        <f>IFERROR(IF(#REF!="S",VLOOKUP('Raw Data'!A5529,References!#REF!,2,FALSE),(VLOOKUP($S5529,References!$B$3:$C$8,2,FALSE))),"")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38"/>
        <v>0</v>
      </c>
      <c r="T5530" s="98">
        <f t="shared" si="239"/>
        <v>0</v>
      </c>
      <c r="U5530" s="99" t="str">
        <f>IFERROR(IF(#REF!="S",VLOOKUP('Raw Data'!A5530,References!#REF!,2,FALSE),(VLOOKUP($S5530,References!$B$3:$C$8,2,FALSE))),"")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38"/>
        <v>0</v>
      </c>
      <c r="T5531" s="98">
        <f t="shared" si="239"/>
        <v>0</v>
      </c>
      <c r="U5531" s="99" t="str">
        <f>IFERROR(IF(#REF!="S",VLOOKUP('Raw Data'!A5531,References!#REF!,2,FALSE),(VLOOKUP($S5531,References!$B$3:$C$8,2,FALSE))),"")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38"/>
        <v>0</v>
      </c>
      <c r="T5532" s="98">
        <f t="shared" si="239"/>
        <v>0</v>
      </c>
      <c r="U5532" s="99" t="str">
        <f>IFERROR(IF(#REF!="S",VLOOKUP('Raw Data'!A5532,References!#REF!,2,FALSE),(VLOOKUP($S5532,References!$B$3:$C$8,2,FALSE))),"")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38"/>
        <v>0</v>
      </c>
      <c r="T5533" s="98">
        <f t="shared" si="239"/>
        <v>0</v>
      </c>
      <c r="U5533" s="99" t="str">
        <f>IFERROR(IF(#REF!="S",VLOOKUP('Raw Data'!A5533,References!#REF!,2,FALSE),(VLOOKUP($S5533,References!$B$3:$C$8,2,FALSE))),"")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38"/>
        <v>0</v>
      </c>
      <c r="T5534" s="98">
        <f t="shared" si="239"/>
        <v>0</v>
      </c>
      <c r="U5534" s="99" t="str">
        <f>IFERROR(IF(#REF!="S",VLOOKUP('Raw Data'!A5534,References!#REF!,2,FALSE),(VLOOKUP($S5534,References!$B$3:$C$8,2,FALSE))),"")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38"/>
        <v>0</v>
      </c>
      <c r="T5535" s="98">
        <f t="shared" si="239"/>
        <v>0</v>
      </c>
      <c r="U5535" s="99" t="str">
        <f>IFERROR(IF(#REF!="S",VLOOKUP('Raw Data'!A5535,References!#REF!,2,FALSE),(VLOOKUP($S5535,References!$B$3:$C$8,2,FALSE))),"")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38"/>
        <v>0</v>
      </c>
      <c r="T5536" s="98">
        <f t="shared" si="239"/>
        <v>0</v>
      </c>
      <c r="U5536" s="99" t="str">
        <f>IFERROR(IF(#REF!="S",VLOOKUP('Raw Data'!A5536,References!#REF!,2,FALSE),(VLOOKUP($S5536,References!$B$3:$C$8,2,FALSE))),"")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38"/>
        <v>0</v>
      </c>
      <c r="T5537" s="98">
        <f t="shared" si="239"/>
        <v>0</v>
      </c>
      <c r="U5537" s="99" t="str">
        <f>IFERROR(IF(#REF!="S",VLOOKUP('Raw Data'!A5537,References!#REF!,2,FALSE),(VLOOKUP($S5537,References!$B$3:$C$8,2,FALSE))),"")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38"/>
        <v>0</v>
      </c>
      <c r="T5538" s="98">
        <f t="shared" si="239"/>
        <v>0</v>
      </c>
      <c r="U5538" s="99" t="str">
        <f>IFERROR(IF(#REF!="S",VLOOKUP('Raw Data'!A5538,References!#REF!,2,FALSE),(VLOOKUP($S5538,References!$B$3:$C$8,2,FALSE))),"")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38"/>
        <v>0</v>
      </c>
      <c r="T5539" s="98">
        <f t="shared" si="239"/>
        <v>0</v>
      </c>
      <c r="U5539" s="99" t="str">
        <f>IFERROR(IF(#REF!="S",VLOOKUP('Raw Data'!A5539,References!#REF!,2,FALSE),(VLOOKUP($S5539,References!$B$3:$C$8,2,FALSE))),"")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38"/>
        <v>0</v>
      </c>
      <c r="T5540" s="98">
        <f t="shared" si="239"/>
        <v>0</v>
      </c>
      <c r="U5540" s="99" t="str">
        <f>IFERROR(IF(#REF!="S",VLOOKUP('Raw Data'!A5540,References!#REF!,2,FALSE),(VLOOKUP($S5540,References!$B$3:$C$8,2,FALSE))),"")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38"/>
        <v>0</v>
      </c>
      <c r="T5541" s="98">
        <f t="shared" si="239"/>
        <v>0</v>
      </c>
      <c r="U5541" s="99" t="str">
        <f>IFERROR(IF(#REF!="S",VLOOKUP('Raw Data'!A5541,References!#REF!,2,FALSE),(VLOOKUP($S5541,References!$B$3:$C$8,2,FALSE))),"")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38"/>
        <v>0</v>
      </c>
      <c r="T5542" s="98">
        <f t="shared" si="239"/>
        <v>0</v>
      </c>
      <c r="U5542" s="99" t="str">
        <f>IFERROR(IF(#REF!="S",VLOOKUP('Raw Data'!A5542,References!#REF!,2,FALSE),(VLOOKUP($S5542,References!$B$3:$C$8,2,FALSE))),"")</f>
        <v/>
      </c>
      <c r="W5542" s="66" t="str">
        <f>IFERROR(VLOOKUP($O5542,'Customer List'!$A$1:$J$488,10,FALSE),"")</f>
        <v/>
      </c>
    </row>
    <row r="5543" spans="18:23">
      <c r="R5543" s="97">
        <f t="shared" si="238"/>
        <v>0</v>
      </c>
      <c r="T5543" s="98">
        <f t="shared" si="239"/>
        <v>0</v>
      </c>
      <c r="U5543" s="99" t="str">
        <f>IFERROR(IF(#REF!="S",VLOOKUP('Raw Data'!A5543,References!#REF!,2,FALSE),(VLOOKUP($S5543,References!$B$3:$C$8,2,FALSE))),"")</f>
        <v/>
      </c>
      <c r="W5543" s="66" t="str">
        <f>IFERROR(VLOOKUP($O5543,'Customer List'!$A$1:$J$488,10,FALSE),"")</f>
        <v/>
      </c>
    </row>
    <row r="5544" spans="18:23">
      <c r="R5544" s="97">
        <f t="shared" ref="R5544:R5607" si="240">L5544-K5544</f>
        <v>0</v>
      </c>
      <c r="T5544" s="98">
        <f t="shared" si="239"/>
        <v>0</v>
      </c>
      <c r="U5544" s="99" t="str">
        <f>IFERROR(IF(#REF!="S",VLOOKUP('Raw Data'!A5544,References!#REF!,2,FALSE),(VLOOKUP($S5544,References!$B$3:$C$8,2,FALSE))),"")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0"/>
        <v>0</v>
      </c>
      <c r="T5545" s="98">
        <f t="shared" si="239"/>
        <v>0</v>
      </c>
      <c r="U5545" s="99" t="str">
        <f>IFERROR(IF(#REF!="S",VLOOKUP('Raw Data'!A5545,References!#REF!,2,FALSE),(VLOOKUP($S5545,References!$B$3:$C$8,2,FALSE))),"")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0"/>
        <v>0</v>
      </c>
      <c r="T5546" s="98">
        <f t="shared" si="239"/>
        <v>0</v>
      </c>
      <c r="U5546" s="99" t="str">
        <f>IFERROR(IF(#REF!="S",VLOOKUP('Raw Data'!A5546,References!#REF!,2,FALSE),(VLOOKUP($S5546,References!$B$3:$C$8,2,FALSE))),"")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0"/>
        <v>0</v>
      </c>
      <c r="T5547" s="98">
        <f t="shared" si="239"/>
        <v>0</v>
      </c>
      <c r="U5547" s="99" t="str">
        <f>IFERROR(IF(#REF!="S",VLOOKUP('Raw Data'!A5547,References!#REF!,2,FALSE),(VLOOKUP($S5547,References!$B$3:$C$8,2,FALSE))),"")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0"/>
        <v>0</v>
      </c>
      <c r="T5548" s="98">
        <f t="shared" si="239"/>
        <v>0</v>
      </c>
      <c r="U5548" s="99" t="str">
        <f>IFERROR(IF(#REF!="S",VLOOKUP('Raw Data'!A5548,References!#REF!,2,FALSE),(VLOOKUP($S5548,References!$B$3:$C$8,2,FALSE))),"")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0"/>
        <v>0</v>
      </c>
      <c r="T5549" s="98">
        <f t="shared" si="239"/>
        <v>0</v>
      </c>
      <c r="U5549" s="99" t="str">
        <f>IFERROR(IF(#REF!="S",VLOOKUP('Raw Data'!A5549,References!#REF!,2,FALSE),(VLOOKUP($S5549,References!$B$3:$C$8,2,FALSE))),"")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0"/>
        <v>0</v>
      </c>
      <c r="T5550" s="98">
        <f t="shared" si="239"/>
        <v>0</v>
      </c>
      <c r="U5550" s="99" t="str">
        <f>IFERROR(IF(#REF!="S",VLOOKUP('Raw Data'!A5550,References!#REF!,2,FALSE),(VLOOKUP($S5550,References!$B$3:$C$8,2,FALSE))),"")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0"/>
        <v>0</v>
      </c>
      <c r="T5551" s="98">
        <f t="shared" si="239"/>
        <v>0</v>
      </c>
      <c r="U5551" s="99" t="str">
        <f>IFERROR(IF(#REF!="S",VLOOKUP('Raw Data'!A5551,References!#REF!,2,FALSE),(VLOOKUP($S5551,References!$B$3:$C$8,2,FALSE))),"")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0"/>
        <v>0</v>
      </c>
      <c r="T5552" s="98">
        <f t="shared" si="239"/>
        <v>0</v>
      </c>
      <c r="U5552" s="99" t="str">
        <f>IFERROR(IF(#REF!="S",VLOOKUP('Raw Data'!A5552,References!#REF!,2,FALSE),(VLOOKUP($S5552,References!$B$3:$C$8,2,FALSE))),"")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0"/>
        <v>0</v>
      </c>
      <c r="T5553" s="98">
        <f t="shared" si="239"/>
        <v>0</v>
      </c>
      <c r="U5553" s="99" t="str">
        <f>IFERROR(IF(#REF!="S",VLOOKUP('Raw Data'!A5553,References!#REF!,2,FALSE),(VLOOKUP($S5553,References!$B$3:$C$8,2,FALSE))),"")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0"/>
        <v>0</v>
      </c>
      <c r="T5554" s="98">
        <f t="shared" si="239"/>
        <v>0</v>
      </c>
      <c r="U5554" s="99" t="str">
        <f>IFERROR(IF(#REF!="S",VLOOKUP('Raw Data'!A5554,References!#REF!,2,FALSE),(VLOOKUP($S5554,References!$B$3:$C$8,2,FALSE))),"")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0"/>
        <v>0</v>
      </c>
      <c r="T5555" s="98">
        <f t="shared" si="239"/>
        <v>0</v>
      </c>
      <c r="U5555" s="99" t="str">
        <f>IFERROR(IF(#REF!="S",VLOOKUP('Raw Data'!A5555,References!#REF!,2,FALSE),(VLOOKUP($S5555,References!$B$3:$C$8,2,FALSE))),"")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0"/>
        <v>0</v>
      </c>
      <c r="T5556" s="98">
        <f t="shared" si="239"/>
        <v>0</v>
      </c>
      <c r="U5556" s="99" t="str">
        <f>IFERROR(IF(#REF!="S",VLOOKUP('Raw Data'!A5556,References!#REF!,2,FALSE),(VLOOKUP($S5556,References!$B$3:$C$8,2,FALSE))),"")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0"/>
        <v>0</v>
      </c>
      <c r="T5557" s="98">
        <f t="shared" si="239"/>
        <v>0</v>
      </c>
      <c r="U5557" s="99" t="str">
        <f>IFERROR(IF(#REF!="S",VLOOKUP('Raw Data'!A5557,References!#REF!,2,FALSE),(VLOOKUP($S5557,References!$B$3:$C$8,2,FALSE))),"")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0"/>
        <v>0</v>
      </c>
      <c r="T5558" s="98">
        <f t="shared" si="239"/>
        <v>0</v>
      </c>
      <c r="U5558" s="99" t="str">
        <f>IFERROR(IF(#REF!="S",VLOOKUP('Raw Data'!A5558,References!#REF!,2,FALSE),(VLOOKUP($S5558,References!$B$3:$C$8,2,FALSE))),"")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0"/>
        <v>0</v>
      </c>
      <c r="T5559" s="98">
        <f t="shared" si="239"/>
        <v>0</v>
      </c>
      <c r="U5559" s="99" t="str">
        <f>IFERROR(IF(#REF!="S",VLOOKUP('Raw Data'!A5559,References!#REF!,2,FALSE),(VLOOKUP($S5559,References!$B$3:$C$8,2,FALSE))),"")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0"/>
        <v>0</v>
      </c>
      <c r="T5560" s="98">
        <f t="shared" si="239"/>
        <v>0</v>
      </c>
      <c r="U5560" s="99" t="str">
        <f>IFERROR(IF(#REF!="S",VLOOKUP('Raw Data'!A5560,References!#REF!,2,FALSE),(VLOOKUP($S5560,References!$B$3:$C$8,2,FALSE))),"")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0"/>
        <v>0</v>
      </c>
      <c r="T5561" s="98">
        <f t="shared" si="239"/>
        <v>0</v>
      </c>
      <c r="U5561" s="99" t="str">
        <f>IFERROR(IF(#REF!="S",VLOOKUP('Raw Data'!A5561,References!#REF!,2,FALSE),(VLOOKUP($S5561,References!$B$3:$C$8,2,FALSE))),"")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0"/>
        <v>0</v>
      </c>
      <c r="T5562" s="98">
        <f t="shared" si="239"/>
        <v>0</v>
      </c>
      <c r="U5562" s="99" t="str">
        <f>IFERROR(IF(#REF!="S",VLOOKUP('Raw Data'!A5562,References!#REF!,2,FALSE),(VLOOKUP($S5562,References!$B$3:$C$8,2,FALSE))),"")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0"/>
        <v>0</v>
      </c>
      <c r="T5563" s="98">
        <f t="shared" si="239"/>
        <v>0</v>
      </c>
      <c r="U5563" s="99" t="str">
        <f>IFERROR(IF(#REF!="S",VLOOKUP('Raw Data'!A5563,References!#REF!,2,FALSE),(VLOOKUP($S5563,References!$B$3:$C$8,2,FALSE))),"")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0"/>
        <v>0</v>
      </c>
      <c r="T5564" s="98">
        <f t="shared" si="239"/>
        <v>0</v>
      </c>
      <c r="U5564" s="99" t="str">
        <f>IFERROR(IF(#REF!="S",VLOOKUP('Raw Data'!A5564,References!#REF!,2,FALSE),(VLOOKUP($S5564,References!$B$3:$C$8,2,FALSE))),"")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0"/>
        <v>0</v>
      </c>
      <c r="T5565" s="98">
        <f t="shared" si="239"/>
        <v>0</v>
      </c>
      <c r="U5565" s="99" t="str">
        <f>IFERROR(IF(#REF!="S",VLOOKUP('Raw Data'!A5565,References!#REF!,2,FALSE),(VLOOKUP($S5565,References!$B$3:$C$8,2,FALSE))),"")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0"/>
        <v>0</v>
      </c>
      <c r="T5566" s="98">
        <f t="shared" si="239"/>
        <v>0</v>
      </c>
      <c r="U5566" s="99" t="str">
        <f>IFERROR(IF(#REF!="S",VLOOKUP('Raw Data'!A5566,References!#REF!,2,FALSE),(VLOOKUP($S5566,References!$B$3:$C$8,2,FALSE))),"")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0"/>
        <v>0</v>
      </c>
      <c r="T5567" s="98">
        <f t="shared" si="239"/>
        <v>0</v>
      </c>
      <c r="U5567" s="99" t="str">
        <f>IFERROR(IF(#REF!="S",VLOOKUP('Raw Data'!A5567,References!#REF!,2,FALSE),(VLOOKUP($S5567,References!$B$3:$C$8,2,FALSE))),"")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0"/>
        <v>0</v>
      </c>
      <c r="T5568" s="98">
        <f t="shared" si="239"/>
        <v>0</v>
      </c>
      <c r="U5568" s="99" t="str">
        <f>IFERROR(IF(#REF!="S",VLOOKUP('Raw Data'!A5568,References!#REF!,2,FALSE),(VLOOKUP($S5568,References!$B$3:$C$8,2,FALSE))),"")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0"/>
        <v>0</v>
      </c>
      <c r="T5569" s="98">
        <f t="shared" si="239"/>
        <v>0</v>
      </c>
      <c r="U5569" s="99" t="str">
        <f>IFERROR(IF(#REF!="S",VLOOKUP('Raw Data'!A5569,References!#REF!,2,FALSE),(VLOOKUP($S5569,References!$B$3:$C$8,2,FALSE))),"")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0"/>
        <v>0</v>
      </c>
      <c r="T5570" s="98">
        <f t="shared" si="239"/>
        <v>0</v>
      </c>
      <c r="U5570" s="99" t="str">
        <f>IFERROR(IF(#REF!="S",VLOOKUP('Raw Data'!A5570,References!#REF!,2,FALSE),(VLOOKUP($S5570,References!$B$3:$C$8,2,FALSE))),"")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0"/>
        <v>0</v>
      </c>
      <c r="T5571" s="98">
        <f t="shared" si="239"/>
        <v>0</v>
      </c>
      <c r="U5571" s="99" t="str">
        <f>IFERROR(IF(#REF!="S",VLOOKUP('Raw Data'!A5571,References!#REF!,2,FALSE),(VLOOKUP($S5571,References!$B$3:$C$8,2,FALSE))),"")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0"/>
        <v>0</v>
      </c>
      <c r="T5572" s="98">
        <f t="shared" si="239"/>
        <v>0</v>
      </c>
      <c r="U5572" s="99" t="str">
        <f>IFERROR(IF(#REF!="S",VLOOKUP('Raw Data'!A5572,References!#REF!,2,FALSE),(VLOOKUP($S5572,References!$B$3:$C$8,2,FALSE))),"")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0"/>
        <v>0</v>
      </c>
      <c r="T5573" s="98">
        <f t="shared" si="239"/>
        <v>0</v>
      </c>
      <c r="U5573" s="99" t="str">
        <f>IFERROR(IF(#REF!="S",VLOOKUP('Raw Data'!A5573,References!#REF!,2,FALSE),(VLOOKUP($S5573,References!$B$3:$C$8,2,FALSE))),"")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0"/>
        <v>0</v>
      </c>
      <c r="T5574" s="98">
        <f t="shared" si="239"/>
        <v>0</v>
      </c>
      <c r="U5574" s="99" t="str">
        <f>IFERROR(IF(#REF!="S",VLOOKUP('Raw Data'!A5574,References!#REF!,2,FALSE),(VLOOKUP($S5574,References!$B$3:$C$8,2,FALSE))),"")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0"/>
        <v>0</v>
      </c>
      <c r="T5575" s="98">
        <f t="shared" si="239"/>
        <v>0</v>
      </c>
      <c r="U5575" s="99" t="str">
        <f>IFERROR(IF(#REF!="S",VLOOKUP('Raw Data'!A5575,References!#REF!,2,FALSE),(VLOOKUP($S5575,References!$B$3:$C$8,2,FALSE))),"")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0"/>
        <v>0</v>
      </c>
      <c r="T5576" s="98">
        <f t="shared" si="239"/>
        <v>0</v>
      </c>
      <c r="U5576" s="99" t="str">
        <f>IFERROR(IF(#REF!="S",VLOOKUP('Raw Data'!A5576,References!#REF!,2,FALSE),(VLOOKUP($S5576,References!$B$3:$C$8,2,FALSE))),"")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0"/>
        <v>0</v>
      </c>
      <c r="T5577" s="98">
        <f t="shared" si="239"/>
        <v>0</v>
      </c>
      <c r="U5577" s="99" t="str">
        <f>IFERROR(IF(#REF!="S",VLOOKUP('Raw Data'!A5577,References!#REF!,2,FALSE),(VLOOKUP($S5577,References!$B$3:$C$8,2,FALSE))),"")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0"/>
        <v>0</v>
      </c>
      <c r="T5578" s="98">
        <f t="shared" si="239"/>
        <v>0</v>
      </c>
      <c r="U5578" s="99" t="str">
        <f>IFERROR(IF(#REF!="S",VLOOKUP('Raw Data'!A5578,References!#REF!,2,FALSE),(VLOOKUP($S5578,References!$B$3:$C$8,2,FALSE))),"")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0"/>
        <v>0</v>
      </c>
      <c r="T5579" s="98">
        <f t="shared" si="239"/>
        <v>0</v>
      </c>
      <c r="U5579" s="99" t="str">
        <f>IFERROR(IF(#REF!="S",VLOOKUP('Raw Data'!A5579,References!#REF!,2,FALSE),(VLOOKUP($S5579,References!$B$3:$C$8,2,FALSE))),"")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0"/>
        <v>0</v>
      </c>
      <c r="T5580" s="98">
        <f t="shared" si="239"/>
        <v>0</v>
      </c>
      <c r="U5580" s="99" t="str">
        <f>IFERROR(IF(#REF!="S",VLOOKUP('Raw Data'!A5580,References!#REF!,2,FALSE),(VLOOKUP($S5580,References!$B$3:$C$8,2,FALSE))),"")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0"/>
        <v>0</v>
      </c>
      <c r="T5581" s="98">
        <f t="shared" si="239"/>
        <v>0</v>
      </c>
      <c r="U5581" s="99" t="str">
        <f>IFERROR(IF(#REF!="S",VLOOKUP('Raw Data'!A5581,References!#REF!,2,FALSE),(VLOOKUP($S5581,References!$B$3:$C$8,2,FALSE))),"")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0"/>
        <v>0</v>
      </c>
      <c r="T5582" s="98">
        <f t="shared" si="239"/>
        <v>0</v>
      </c>
      <c r="U5582" s="99" t="str">
        <f>IFERROR(IF(#REF!="S",VLOOKUP('Raw Data'!A5582,References!#REF!,2,FALSE),(VLOOKUP($S5582,References!$B$3:$C$8,2,FALSE))),"")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0"/>
        <v>0</v>
      </c>
      <c r="T5583" s="98">
        <f t="shared" si="239"/>
        <v>0</v>
      </c>
      <c r="U5583" s="99" t="str">
        <f>IFERROR(IF(#REF!="S",VLOOKUP('Raw Data'!A5583,References!#REF!,2,FALSE),(VLOOKUP($S5583,References!$B$3:$C$8,2,FALSE))),"")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0"/>
        <v>0</v>
      </c>
      <c r="T5584" s="98">
        <f t="shared" ref="T5584:T5647" si="241">IF(S5584="50 - Cleaning Fee",1,HOUR($R5584)+MINUTE(R5584)/60)</f>
        <v>0</v>
      </c>
      <c r="U5584" s="99" t="str">
        <f>IFERROR(IF(#REF!="S",VLOOKUP('Raw Data'!A5584,References!#REF!,2,FALSE),(VLOOKUP($S5584,References!$B$3:$C$8,2,FALSE))),"")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0"/>
        <v>0</v>
      </c>
      <c r="T5585" s="98">
        <f t="shared" si="241"/>
        <v>0</v>
      </c>
      <c r="U5585" s="99" t="str">
        <f>IFERROR(IF(#REF!="S",VLOOKUP('Raw Data'!A5585,References!#REF!,2,FALSE),(VLOOKUP($S5585,References!$B$3:$C$8,2,FALSE))),"")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0"/>
        <v>0</v>
      </c>
      <c r="T5586" s="98">
        <f t="shared" si="241"/>
        <v>0</v>
      </c>
      <c r="U5586" s="99" t="str">
        <f>IFERROR(IF(#REF!="S",VLOOKUP('Raw Data'!A5586,References!#REF!,2,FALSE),(VLOOKUP($S5586,References!$B$3:$C$8,2,FALSE))),"")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0"/>
        <v>0</v>
      </c>
      <c r="T5587" s="98">
        <f t="shared" si="241"/>
        <v>0</v>
      </c>
      <c r="U5587" s="99" t="str">
        <f>IFERROR(IF(#REF!="S",VLOOKUP('Raw Data'!A5587,References!#REF!,2,FALSE),(VLOOKUP($S5587,References!$B$3:$C$8,2,FALSE))),"")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0"/>
        <v>0</v>
      </c>
      <c r="T5588" s="98">
        <f t="shared" si="241"/>
        <v>0</v>
      </c>
      <c r="U5588" s="99" t="str">
        <f>IFERROR(IF(#REF!="S",VLOOKUP('Raw Data'!A5588,References!#REF!,2,FALSE),(VLOOKUP($S5588,References!$B$3:$C$8,2,FALSE))),"")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0"/>
        <v>0</v>
      </c>
      <c r="T5589" s="98">
        <f t="shared" si="241"/>
        <v>0</v>
      </c>
      <c r="U5589" s="99" t="str">
        <f>IFERROR(IF(#REF!="S",VLOOKUP('Raw Data'!A5589,References!#REF!,2,FALSE),(VLOOKUP($S5589,References!$B$3:$C$8,2,FALSE))),"")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0"/>
        <v>0</v>
      </c>
      <c r="T5590" s="98">
        <f t="shared" si="241"/>
        <v>0</v>
      </c>
      <c r="U5590" s="99" t="str">
        <f>IFERROR(IF(#REF!="S",VLOOKUP('Raw Data'!A5590,References!#REF!,2,FALSE),(VLOOKUP($S5590,References!$B$3:$C$8,2,FALSE))),"")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0"/>
        <v>0</v>
      </c>
      <c r="T5591" s="98">
        <f t="shared" si="241"/>
        <v>0</v>
      </c>
      <c r="U5591" s="99" t="str">
        <f>IFERROR(IF(#REF!="S",VLOOKUP('Raw Data'!A5591,References!#REF!,2,FALSE),(VLOOKUP($S5591,References!$B$3:$C$8,2,FALSE))),"")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0"/>
        <v>0</v>
      </c>
      <c r="T5592" s="98">
        <f t="shared" si="241"/>
        <v>0</v>
      </c>
      <c r="U5592" s="99" t="str">
        <f>IFERROR(IF(#REF!="S",VLOOKUP('Raw Data'!A5592,References!#REF!,2,FALSE),(VLOOKUP($S5592,References!$B$3:$C$8,2,FALSE))),"")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0"/>
        <v>0</v>
      </c>
      <c r="T5593" s="98">
        <f t="shared" si="241"/>
        <v>0</v>
      </c>
      <c r="U5593" s="99" t="str">
        <f>IFERROR(IF(#REF!="S",VLOOKUP('Raw Data'!A5593,References!#REF!,2,FALSE),(VLOOKUP($S5593,References!$B$3:$C$8,2,FALSE))),"")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0"/>
        <v>0</v>
      </c>
      <c r="T5594" s="98">
        <f t="shared" si="241"/>
        <v>0</v>
      </c>
      <c r="U5594" s="99" t="str">
        <f>IFERROR(IF(#REF!="S",VLOOKUP('Raw Data'!A5594,References!#REF!,2,FALSE),(VLOOKUP($S5594,References!$B$3:$C$8,2,FALSE))),"")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0"/>
        <v>0</v>
      </c>
      <c r="T5595" s="98">
        <f t="shared" si="241"/>
        <v>0</v>
      </c>
      <c r="U5595" s="99" t="str">
        <f>IFERROR(IF(#REF!="S",VLOOKUP('Raw Data'!A5595,References!#REF!,2,FALSE),(VLOOKUP($S5595,References!$B$3:$C$8,2,FALSE))),"")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0"/>
        <v>0</v>
      </c>
      <c r="T5596" s="98">
        <f t="shared" si="241"/>
        <v>0</v>
      </c>
      <c r="U5596" s="99" t="str">
        <f>IFERROR(IF(#REF!="S",VLOOKUP('Raw Data'!A5596,References!#REF!,2,FALSE),(VLOOKUP($S5596,References!$B$3:$C$8,2,FALSE))),"")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0"/>
        <v>0</v>
      </c>
      <c r="T5597" s="98">
        <f t="shared" si="241"/>
        <v>0</v>
      </c>
      <c r="U5597" s="99" t="str">
        <f>IFERROR(IF(#REF!="S",VLOOKUP('Raw Data'!A5597,References!#REF!,2,FALSE),(VLOOKUP($S5597,References!$B$3:$C$8,2,FALSE))),"")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0"/>
        <v>0</v>
      </c>
      <c r="T5598" s="98">
        <f t="shared" si="241"/>
        <v>0</v>
      </c>
      <c r="U5598" s="99" t="str">
        <f>IFERROR(IF(#REF!="S",VLOOKUP('Raw Data'!A5598,References!#REF!,2,FALSE),(VLOOKUP($S5598,References!$B$3:$C$8,2,FALSE))),"")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0"/>
        <v>0</v>
      </c>
      <c r="T5599" s="98">
        <f t="shared" si="241"/>
        <v>0</v>
      </c>
      <c r="U5599" s="99" t="str">
        <f>IFERROR(IF(#REF!="S",VLOOKUP('Raw Data'!A5599,References!#REF!,2,FALSE),(VLOOKUP($S5599,References!$B$3:$C$8,2,FALSE))),"")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0"/>
        <v>0</v>
      </c>
      <c r="T5600" s="98">
        <f t="shared" si="241"/>
        <v>0</v>
      </c>
      <c r="U5600" s="99" t="str">
        <f>IFERROR(IF(#REF!="S",VLOOKUP('Raw Data'!A5600,References!#REF!,2,FALSE),(VLOOKUP($S5600,References!$B$3:$C$8,2,FALSE))),"")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0"/>
        <v>0</v>
      </c>
      <c r="T5601" s="98">
        <f t="shared" si="241"/>
        <v>0</v>
      </c>
      <c r="U5601" s="99" t="str">
        <f>IFERROR(IF(#REF!="S",VLOOKUP('Raw Data'!A5601,References!#REF!,2,FALSE),(VLOOKUP($S5601,References!$B$3:$C$8,2,FALSE))),"")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0"/>
        <v>0</v>
      </c>
      <c r="T5602" s="98">
        <f t="shared" si="241"/>
        <v>0</v>
      </c>
      <c r="U5602" s="99" t="str">
        <f>IFERROR(IF(#REF!="S",VLOOKUP('Raw Data'!A5602,References!#REF!,2,FALSE),(VLOOKUP($S5602,References!$B$3:$C$8,2,FALSE))),"")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0"/>
        <v>0</v>
      </c>
      <c r="T5603" s="98">
        <f t="shared" si="241"/>
        <v>0</v>
      </c>
      <c r="U5603" s="99" t="str">
        <f>IFERROR(IF(#REF!="S",VLOOKUP('Raw Data'!A5603,References!#REF!,2,FALSE),(VLOOKUP($S5603,References!$B$3:$C$8,2,FALSE))),"")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0"/>
        <v>0</v>
      </c>
      <c r="T5604" s="98">
        <f t="shared" si="241"/>
        <v>0</v>
      </c>
      <c r="U5604" s="99" t="str">
        <f>IFERROR(IF(#REF!="S",VLOOKUP('Raw Data'!A5604,References!#REF!,2,FALSE),(VLOOKUP($S5604,References!$B$3:$C$8,2,FALSE))),"")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0"/>
        <v>0</v>
      </c>
      <c r="T5605" s="98">
        <f t="shared" si="241"/>
        <v>0</v>
      </c>
      <c r="U5605" s="99" t="str">
        <f>IFERROR(IF(#REF!="S",VLOOKUP('Raw Data'!A5605,References!#REF!,2,FALSE),(VLOOKUP($S5605,References!$B$3:$C$8,2,FALSE))),"")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0"/>
        <v>0</v>
      </c>
      <c r="T5606" s="98">
        <f t="shared" si="241"/>
        <v>0</v>
      </c>
      <c r="U5606" s="99" t="str">
        <f>IFERROR(IF(#REF!="S",VLOOKUP('Raw Data'!A5606,References!#REF!,2,FALSE),(VLOOKUP($S5606,References!$B$3:$C$8,2,FALSE))),"")</f>
        <v/>
      </c>
      <c r="W5606" s="66" t="str">
        <f>IFERROR(VLOOKUP($O5606,'Customer List'!$A$1:$J$488,10,FALSE),"")</f>
        <v/>
      </c>
    </row>
    <row r="5607" spans="18:23">
      <c r="R5607" s="97">
        <f t="shared" si="240"/>
        <v>0</v>
      </c>
      <c r="T5607" s="98">
        <f t="shared" si="241"/>
        <v>0</v>
      </c>
      <c r="U5607" s="99" t="str">
        <f>IFERROR(IF(#REF!="S",VLOOKUP('Raw Data'!A5607,References!#REF!,2,FALSE),(VLOOKUP($S5607,References!$B$3:$C$8,2,FALSE))),"")</f>
        <v/>
      </c>
      <c r="W5607" s="66" t="str">
        <f>IFERROR(VLOOKUP($O5607,'Customer List'!$A$1:$J$488,10,FALSE),"")</f>
        <v/>
      </c>
    </row>
    <row r="5608" spans="18:23">
      <c r="R5608" s="97">
        <f t="shared" ref="R5608:R5671" si="242">L5608-K5608</f>
        <v>0</v>
      </c>
      <c r="T5608" s="98">
        <f t="shared" si="241"/>
        <v>0</v>
      </c>
      <c r="U5608" s="99" t="str">
        <f>IFERROR(IF(#REF!="S",VLOOKUP('Raw Data'!A5608,References!#REF!,2,FALSE),(VLOOKUP($S5608,References!$B$3:$C$8,2,FALSE))),"")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2"/>
        <v>0</v>
      </c>
      <c r="T5609" s="98">
        <f t="shared" si="241"/>
        <v>0</v>
      </c>
      <c r="U5609" s="99" t="str">
        <f>IFERROR(IF(#REF!="S",VLOOKUP('Raw Data'!A5609,References!#REF!,2,FALSE),(VLOOKUP($S5609,References!$B$3:$C$8,2,FALSE))),"")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2"/>
        <v>0</v>
      </c>
      <c r="T5610" s="98">
        <f t="shared" si="241"/>
        <v>0</v>
      </c>
      <c r="U5610" s="99" t="str">
        <f>IFERROR(IF(#REF!="S",VLOOKUP('Raw Data'!A5610,References!#REF!,2,FALSE),(VLOOKUP($S5610,References!$B$3:$C$8,2,FALSE))),"")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2"/>
        <v>0</v>
      </c>
      <c r="T5611" s="98">
        <f t="shared" si="241"/>
        <v>0</v>
      </c>
      <c r="U5611" s="99" t="str">
        <f>IFERROR(IF(#REF!="S",VLOOKUP('Raw Data'!A5611,References!#REF!,2,FALSE),(VLOOKUP($S5611,References!$B$3:$C$8,2,FALSE))),"")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2"/>
        <v>0</v>
      </c>
      <c r="T5612" s="98">
        <f t="shared" si="241"/>
        <v>0</v>
      </c>
      <c r="U5612" s="99" t="str">
        <f>IFERROR(IF(#REF!="S",VLOOKUP('Raw Data'!A5612,References!#REF!,2,FALSE),(VLOOKUP($S5612,References!$B$3:$C$8,2,FALSE))),"")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2"/>
        <v>0</v>
      </c>
      <c r="T5613" s="98">
        <f t="shared" si="241"/>
        <v>0</v>
      </c>
      <c r="U5613" s="99" t="str">
        <f>IFERROR(IF(#REF!="S",VLOOKUP('Raw Data'!A5613,References!#REF!,2,FALSE),(VLOOKUP($S5613,References!$B$3:$C$8,2,FALSE))),"")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2"/>
        <v>0</v>
      </c>
      <c r="T5614" s="98">
        <f t="shared" si="241"/>
        <v>0</v>
      </c>
      <c r="U5614" s="99" t="str">
        <f>IFERROR(IF(#REF!="S",VLOOKUP('Raw Data'!A5614,References!#REF!,2,FALSE),(VLOOKUP($S5614,References!$B$3:$C$8,2,FALSE))),"")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2"/>
        <v>0</v>
      </c>
      <c r="T5615" s="98">
        <f t="shared" si="241"/>
        <v>0</v>
      </c>
      <c r="U5615" s="99" t="str">
        <f>IFERROR(IF(#REF!="S",VLOOKUP('Raw Data'!A5615,References!#REF!,2,FALSE),(VLOOKUP($S5615,References!$B$3:$C$8,2,FALSE))),"")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2"/>
        <v>0</v>
      </c>
      <c r="T5616" s="98">
        <f t="shared" si="241"/>
        <v>0</v>
      </c>
      <c r="U5616" s="99" t="str">
        <f>IFERROR(IF(#REF!="S",VLOOKUP('Raw Data'!A5616,References!#REF!,2,FALSE),(VLOOKUP($S5616,References!$B$3:$C$8,2,FALSE))),"")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2"/>
        <v>0</v>
      </c>
      <c r="T5617" s="98">
        <f t="shared" si="241"/>
        <v>0</v>
      </c>
      <c r="U5617" s="99" t="str">
        <f>IFERROR(IF(#REF!="S",VLOOKUP('Raw Data'!A5617,References!#REF!,2,FALSE),(VLOOKUP($S5617,References!$B$3:$C$8,2,FALSE))),"")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2"/>
        <v>0</v>
      </c>
      <c r="T5618" s="98">
        <f t="shared" si="241"/>
        <v>0</v>
      </c>
      <c r="U5618" s="99" t="str">
        <f>IFERROR(IF(#REF!="S",VLOOKUP('Raw Data'!A5618,References!#REF!,2,FALSE),(VLOOKUP($S5618,References!$B$3:$C$8,2,FALSE))),"")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2"/>
        <v>0</v>
      </c>
      <c r="T5619" s="98">
        <f t="shared" si="241"/>
        <v>0</v>
      </c>
      <c r="U5619" s="99" t="str">
        <f>IFERROR(IF(#REF!="S",VLOOKUP('Raw Data'!A5619,References!#REF!,2,FALSE),(VLOOKUP($S5619,References!$B$3:$C$8,2,FALSE))),"")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2"/>
        <v>0</v>
      </c>
      <c r="T5620" s="98">
        <f t="shared" si="241"/>
        <v>0</v>
      </c>
      <c r="U5620" s="99" t="str">
        <f>IFERROR(IF(#REF!="S",VLOOKUP('Raw Data'!A5620,References!#REF!,2,FALSE),(VLOOKUP($S5620,References!$B$3:$C$8,2,FALSE))),"")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2"/>
        <v>0</v>
      </c>
      <c r="T5621" s="98">
        <f t="shared" si="241"/>
        <v>0</v>
      </c>
      <c r="U5621" s="99" t="str">
        <f>IFERROR(IF(#REF!="S",VLOOKUP('Raw Data'!A5621,References!#REF!,2,FALSE),(VLOOKUP($S5621,References!$B$3:$C$8,2,FALSE))),"")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2"/>
        <v>0</v>
      </c>
      <c r="T5622" s="98">
        <f t="shared" si="241"/>
        <v>0</v>
      </c>
      <c r="U5622" s="99" t="str">
        <f>IFERROR(IF(#REF!="S",VLOOKUP('Raw Data'!A5622,References!#REF!,2,FALSE),(VLOOKUP($S5622,References!$B$3:$C$8,2,FALSE))),"")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2"/>
        <v>0</v>
      </c>
      <c r="T5623" s="98">
        <f t="shared" si="241"/>
        <v>0</v>
      </c>
      <c r="U5623" s="99" t="str">
        <f>IFERROR(IF(#REF!="S",VLOOKUP('Raw Data'!A5623,References!#REF!,2,FALSE),(VLOOKUP($S5623,References!$B$3:$C$8,2,FALSE))),"")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2"/>
        <v>0</v>
      </c>
      <c r="T5624" s="98">
        <f t="shared" si="241"/>
        <v>0</v>
      </c>
      <c r="U5624" s="99" t="str">
        <f>IFERROR(IF(#REF!="S",VLOOKUP('Raw Data'!A5624,References!#REF!,2,FALSE),(VLOOKUP($S5624,References!$B$3:$C$8,2,FALSE))),"")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2"/>
        <v>0</v>
      </c>
      <c r="T5625" s="98">
        <f t="shared" si="241"/>
        <v>0</v>
      </c>
      <c r="U5625" s="99" t="str">
        <f>IFERROR(IF(#REF!="S",VLOOKUP('Raw Data'!A5625,References!#REF!,2,FALSE),(VLOOKUP($S5625,References!$B$3:$C$8,2,FALSE))),"")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2"/>
        <v>0</v>
      </c>
      <c r="T5626" s="98">
        <f t="shared" si="241"/>
        <v>0</v>
      </c>
      <c r="U5626" s="99" t="str">
        <f>IFERROR(IF(#REF!="S",VLOOKUP('Raw Data'!A5626,References!#REF!,2,FALSE),(VLOOKUP($S5626,References!$B$3:$C$8,2,FALSE))),"")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2"/>
        <v>0</v>
      </c>
      <c r="T5627" s="98">
        <f t="shared" si="241"/>
        <v>0</v>
      </c>
      <c r="U5627" s="99" t="str">
        <f>IFERROR(IF(#REF!="S",VLOOKUP('Raw Data'!A5627,References!#REF!,2,FALSE),(VLOOKUP($S5627,References!$B$3:$C$8,2,FALSE))),"")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2"/>
        <v>0</v>
      </c>
      <c r="T5628" s="98">
        <f t="shared" si="241"/>
        <v>0</v>
      </c>
      <c r="U5628" s="99" t="str">
        <f>IFERROR(IF(#REF!="S",VLOOKUP('Raw Data'!A5628,References!#REF!,2,FALSE),(VLOOKUP($S5628,References!$B$3:$C$8,2,FALSE))),"")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2"/>
        <v>0</v>
      </c>
      <c r="T5629" s="98">
        <f t="shared" si="241"/>
        <v>0</v>
      </c>
      <c r="U5629" s="99" t="str">
        <f>IFERROR(IF(#REF!="S",VLOOKUP('Raw Data'!A5629,References!#REF!,2,FALSE),(VLOOKUP($S5629,References!$B$3:$C$8,2,FALSE))),"")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2"/>
        <v>0</v>
      </c>
      <c r="T5630" s="98">
        <f t="shared" si="241"/>
        <v>0</v>
      </c>
      <c r="U5630" s="99" t="str">
        <f>IFERROR(IF(#REF!="S",VLOOKUP('Raw Data'!A5630,References!#REF!,2,FALSE),(VLOOKUP($S5630,References!$B$3:$C$8,2,FALSE))),"")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2"/>
        <v>0</v>
      </c>
      <c r="T5631" s="98">
        <f t="shared" si="241"/>
        <v>0</v>
      </c>
      <c r="U5631" s="99" t="str">
        <f>IFERROR(IF(#REF!="S",VLOOKUP('Raw Data'!A5631,References!#REF!,2,FALSE),(VLOOKUP($S5631,References!$B$3:$C$8,2,FALSE))),"")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2"/>
        <v>0</v>
      </c>
      <c r="T5632" s="98">
        <f t="shared" si="241"/>
        <v>0</v>
      </c>
      <c r="U5632" s="99" t="str">
        <f>IFERROR(IF(#REF!="S",VLOOKUP('Raw Data'!A5632,References!#REF!,2,FALSE),(VLOOKUP($S5632,References!$B$3:$C$8,2,FALSE))),"")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2"/>
        <v>0</v>
      </c>
      <c r="T5633" s="98">
        <f t="shared" si="241"/>
        <v>0</v>
      </c>
      <c r="U5633" s="99" t="str">
        <f>IFERROR(IF(#REF!="S",VLOOKUP('Raw Data'!A5633,References!#REF!,2,FALSE),(VLOOKUP($S5633,References!$B$3:$C$8,2,FALSE))),"")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2"/>
        <v>0</v>
      </c>
      <c r="T5634" s="98">
        <f t="shared" si="241"/>
        <v>0</v>
      </c>
      <c r="U5634" s="99" t="str">
        <f>IFERROR(IF(#REF!="S",VLOOKUP('Raw Data'!A5634,References!#REF!,2,FALSE),(VLOOKUP($S5634,References!$B$3:$C$8,2,FALSE))),"")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2"/>
        <v>0</v>
      </c>
      <c r="T5635" s="98">
        <f t="shared" si="241"/>
        <v>0</v>
      </c>
      <c r="U5635" s="99" t="str">
        <f>IFERROR(IF(#REF!="S",VLOOKUP('Raw Data'!A5635,References!#REF!,2,FALSE),(VLOOKUP($S5635,References!$B$3:$C$8,2,FALSE))),"")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2"/>
        <v>0</v>
      </c>
      <c r="T5636" s="98">
        <f t="shared" si="241"/>
        <v>0</v>
      </c>
      <c r="U5636" s="99" t="str">
        <f>IFERROR(IF(#REF!="S",VLOOKUP('Raw Data'!A5636,References!#REF!,2,FALSE),(VLOOKUP($S5636,References!$B$3:$C$8,2,FALSE))),"")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2"/>
        <v>0</v>
      </c>
      <c r="T5637" s="98">
        <f t="shared" si="241"/>
        <v>0</v>
      </c>
      <c r="U5637" s="99" t="str">
        <f>IFERROR(IF(#REF!="S",VLOOKUP('Raw Data'!A5637,References!#REF!,2,FALSE),(VLOOKUP($S5637,References!$B$3:$C$8,2,FALSE))),"")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2"/>
        <v>0</v>
      </c>
      <c r="T5638" s="98">
        <f t="shared" si="241"/>
        <v>0</v>
      </c>
      <c r="U5638" s="99" t="str">
        <f>IFERROR(IF(#REF!="S",VLOOKUP('Raw Data'!A5638,References!#REF!,2,FALSE),(VLOOKUP($S5638,References!$B$3:$C$8,2,FALSE))),"")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2"/>
        <v>0</v>
      </c>
      <c r="T5639" s="98">
        <f t="shared" si="241"/>
        <v>0</v>
      </c>
      <c r="U5639" s="99" t="str">
        <f>IFERROR(IF(#REF!="S",VLOOKUP('Raw Data'!A5639,References!#REF!,2,FALSE),(VLOOKUP($S5639,References!$B$3:$C$8,2,FALSE))),"")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2"/>
        <v>0</v>
      </c>
      <c r="T5640" s="98">
        <f t="shared" si="241"/>
        <v>0</v>
      </c>
      <c r="U5640" s="99" t="str">
        <f>IFERROR(IF(#REF!="S",VLOOKUP('Raw Data'!A5640,References!#REF!,2,FALSE),(VLOOKUP($S5640,References!$B$3:$C$8,2,FALSE))),"")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2"/>
        <v>0</v>
      </c>
      <c r="T5641" s="98">
        <f t="shared" si="241"/>
        <v>0</v>
      </c>
      <c r="U5641" s="99" t="str">
        <f>IFERROR(IF(#REF!="S",VLOOKUP('Raw Data'!A5641,References!#REF!,2,FALSE),(VLOOKUP($S5641,References!$B$3:$C$8,2,FALSE))),"")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2"/>
        <v>0</v>
      </c>
      <c r="T5642" s="98">
        <f t="shared" si="241"/>
        <v>0</v>
      </c>
      <c r="U5642" s="99" t="str">
        <f>IFERROR(IF(#REF!="S",VLOOKUP('Raw Data'!A5642,References!#REF!,2,FALSE),(VLOOKUP($S5642,References!$B$3:$C$8,2,FALSE))),"")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2"/>
        <v>0</v>
      </c>
      <c r="T5643" s="98">
        <f t="shared" si="241"/>
        <v>0</v>
      </c>
      <c r="U5643" s="99" t="str">
        <f>IFERROR(IF(#REF!="S",VLOOKUP('Raw Data'!A5643,References!#REF!,2,FALSE),(VLOOKUP($S5643,References!$B$3:$C$8,2,FALSE))),"")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2"/>
        <v>0</v>
      </c>
      <c r="T5644" s="98">
        <f t="shared" si="241"/>
        <v>0</v>
      </c>
      <c r="U5644" s="99" t="str">
        <f>IFERROR(IF(#REF!="S",VLOOKUP('Raw Data'!A5644,References!#REF!,2,FALSE),(VLOOKUP($S5644,References!$B$3:$C$8,2,FALSE))),"")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2"/>
        <v>0</v>
      </c>
      <c r="T5645" s="98">
        <f t="shared" si="241"/>
        <v>0</v>
      </c>
      <c r="U5645" s="99" t="str">
        <f>IFERROR(IF(#REF!="S",VLOOKUP('Raw Data'!A5645,References!#REF!,2,FALSE),(VLOOKUP($S5645,References!$B$3:$C$8,2,FALSE))),"")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2"/>
        <v>0</v>
      </c>
      <c r="T5646" s="98">
        <f t="shared" si="241"/>
        <v>0</v>
      </c>
      <c r="U5646" s="99" t="str">
        <f>IFERROR(IF(#REF!="S",VLOOKUP('Raw Data'!A5646,References!#REF!,2,FALSE),(VLOOKUP($S5646,References!$B$3:$C$8,2,FALSE))),"")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2"/>
        <v>0</v>
      </c>
      <c r="T5647" s="98">
        <f t="shared" si="241"/>
        <v>0</v>
      </c>
      <c r="U5647" s="99" t="str">
        <f>IFERROR(IF(#REF!="S",VLOOKUP('Raw Data'!A5647,References!#REF!,2,FALSE),(VLOOKUP($S5647,References!$B$3:$C$8,2,FALSE))),"")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2"/>
        <v>0</v>
      </c>
      <c r="T5648" s="98">
        <f t="shared" ref="T5648:T5711" si="243">IF(S5648="50 - Cleaning Fee",1,HOUR($R5648)+MINUTE(R5648)/60)</f>
        <v>0</v>
      </c>
      <c r="U5648" s="99" t="str">
        <f>IFERROR(IF(#REF!="S",VLOOKUP('Raw Data'!A5648,References!#REF!,2,FALSE),(VLOOKUP($S5648,References!$B$3:$C$8,2,FALSE))),"")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2"/>
        <v>0</v>
      </c>
      <c r="T5649" s="98">
        <f t="shared" si="243"/>
        <v>0</v>
      </c>
      <c r="U5649" s="99" t="str">
        <f>IFERROR(IF(#REF!="S",VLOOKUP('Raw Data'!A5649,References!#REF!,2,FALSE),(VLOOKUP($S5649,References!$B$3:$C$8,2,FALSE))),"")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2"/>
        <v>0</v>
      </c>
      <c r="T5650" s="98">
        <f t="shared" si="243"/>
        <v>0</v>
      </c>
      <c r="U5650" s="99" t="str">
        <f>IFERROR(IF(#REF!="S",VLOOKUP('Raw Data'!A5650,References!#REF!,2,FALSE),(VLOOKUP($S5650,References!$B$3:$C$8,2,FALSE))),"")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2"/>
        <v>0</v>
      </c>
      <c r="T5651" s="98">
        <f t="shared" si="243"/>
        <v>0</v>
      </c>
      <c r="U5651" s="99" t="str">
        <f>IFERROR(IF(#REF!="S",VLOOKUP('Raw Data'!A5651,References!#REF!,2,FALSE),(VLOOKUP($S5651,References!$B$3:$C$8,2,FALSE))),"")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2"/>
        <v>0</v>
      </c>
      <c r="T5652" s="98">
        <f t="shared" si="243"/>
        <v>0</v>
      </c>
      <c r="U5652" s="99" t="str">
        <f>IFERROR(IF(#REF!="S",VLOOKUP('Raw Data'!A5652,References!#REF!,2,FALSE),(VLOOKUP($S5652,References!$B$3:$C$8,2,FALSE))),"")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2"/>
        <v>0</v>
      </c>
      <c r="T5653" s="98">
        <f t="shared" si="243"/>
        <v>0</v>
      </c>
      <c r="U5653" s="99" t="str">
        <f>IFERROR(IF(#REF!="S",VLOOKUP('Raw Data'!A5653,References!#REF!,2,FALSE),(VLOOKUP($S5653,References!$B$3:$C$8,2,FALSE))),"")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2"/>
        <v>0</v>
      </c>
      <c r="T5654" s="98">
        <f t="shared" si="243"/>
        <v>0</v>
      </c>
      <c r="U5654" s="99" t="str">
        <f>IFERROR(IF(#REF!="S",VLOOKUP('Raw Data'!A5654,References!#REF!,2,FALSE),(VLOOKUP($S5654,References!$B$3:$C$8,2,FALSE))),"")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2"/>
        <v>0</v>
      </c>
      <c r="T5655" s="98">
        <f t="shared" si="243"/>
        <v>0</v>
      </c>
      <c r="U5655" s="99" t="str">
        <f>IFERROR(IF(#REF!="S",VLOOKUP('Raw Data'!A5655,References!#REF!,2,FALSE),(VLOOKUP($S5655,References!$B$3:$C$8,2,FALSE))),"")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2"/>
        <v>0</v>
      </c>
      <c r="T5656" s="98">
        <f t="shared" si="243"/>
        <v>0</v>
      </c>
      <c r="U5656" s="99" t="str">
        <f>IFERROR(IF(#REF!="S",VLOOKUP('Raw Data'!A5656,References!#REF!,2,FALSE),(VLOOKUP($S5656,References!$B$3:$C$8,2,FALSE))),"")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2"/>
        <v>0</v>
      </c>
      <c r="T5657" s="98">
        <f t="shared" si="243"/>
        <v>0</v>
      </c>
      <c r="U5657" s="99" t="str">
        <f>IFERROR(IF(#REF!="S",VLOOKUP('Raw Data'!A5657,References!#REF!,2,FALSE),(VLOOKUP($S5657,References!$B$3:$C$8,2,FALSE))),"")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2"/>
        <v>0</v>
      </c>
      <c r="T5658" s="98">
        <f t="shared" si="243"/>
        <v>0</v>
      </c>
      <c r="U5658" s="99" t="str">
        <f>IFERROR(IF(#REF!="S",VLOOKUP('Raw Data'!A5658,References!#REF!,2,FALSE),(VLOOKUP($S5658,References!$B$3:$C$8,2,FALSE))),"")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2"/>
        <v>0</v>
      </c>
      <c r="T5659" s="98">
        <f t="shared" si="243"/>
        <v>0</v>
      </c>
      <c r="U5659" s="99" t="str">
        <f>IFERROR(IF(#REF!="S",VLOOKUP('Raw Data'!A5659,References!#REF!,2,FALSE),(VLOOKUP($S5659,References!$B$3:$C$8,2,FALSE))),"")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2"/>
        <v>0</v>
      </c>
      <c r="T5660" s="98">
        <f t="shared" si="243"/>
        <v>0</v>
      </c>
      <c r="U5660" s="99" t="str">
        <f>IFERROR(IF(#REF!="S",VLOOKUP('Raw Data'!A5660,References!#REF!,2,FALSE),(VLOOKUP($S5660,References!$B$3:$C$8,2,FALSE))),"")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2"/>
        <v>0</v>
      </c>
      <c r="T5661" s="98">
        <f t="shared" si="243"/>
        <v>0</v>
      </c>
      <c r="U5661" s="99" t="str">
        <f>IFERROR(IF(#REF!="S",VLOOKUP('Raw Data'!A5661,References!#REF!,2,FALSE),(VLOOKUP($S5661,References!$B$3:$C$8,2,FALSE))),"")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2"/>
        <v>0</v>
      </c>
      <c r="T5662" s="98">
        <f t="shared" si="243"/>
        <v>0</v>
      </c>
      <c r="U5662" s="99" t="str">
        <f>IFERROR(IF(#REF!="S",VLOOKUP('Raw Data'!A5662,References!#REF!,2,FALSE),(VLOOKUP($S5662,References!$B$3:$C$8,2,FALSE))),"")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2"/>
        <v>0</v>
      </c>
      <c r="T5663" s="98">
        <f t="shared" si="243"/>
        <v>0</v>
      </c>
      <c r="U5663" s="99" t="str">
        <f>IFERROR(IF(#REF!="S",VLOOKUP('Raw Data'!A5663,References!#REF!,2,FALSE),(VLOOKUP($S5663,References!$B$3:$C$8,2,FALSE))),"")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2"/>
        <v>0</v>
      </c>
      <c r="T5664" s="98">
        <f t="shared" si="243"/>
        <v>0</v>
      </c>
      <c r="U5664" s="99" t="str">
        <f>IFERROR(IF(#REF!="S",VLOOKUP('Raw Data'!A5664,References!#REF!,2,FALSE),(VLOOKUP($S5664,References!$B$3:$C$8,2,FALSE))),"")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2"/>
        <v>0</v>
      </c>
      <c r="T5665" s="98">
        <f t="shared" si="243"/>
        <v>0</v>
      </c>
      <c r="U5665" s="99" t="str">
        <f>IFERROR(IF(#REF!="S",VLOOKUP('Raw Data'!A5665,References!#REF!,2,FALSE),(VLOOKUP($S5665,References!$B$3:$C$8,2,FALSE))),"")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2"/>
        <v>0</v>
      </c>
      <c r="T5666" s="98">
        <f t="shared" si="243"/>
        <v>0</v>
      </c>
      <c r="U5666" s="99" t="str">
        <f>IFERROR(IF(#REF!="S",VLOOKUP('Raw Data'!A5666,References!#REF!,2,FALSE),(VLOOKUP($S5666,References!$B$3:$C$8,2,FALSE))),"")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2"/>
        <v>0</v>
      </c>
      <c r="T5667" s="98">
        <f t="shared" si="243"/>
        <v>0</v>
      </c>
      <c r="U5667" s="99" t="str">
        <f>IFERROR(IF(#REF!="S",VLOOKUP('Raw Data'!A5667,References!#REF!,2,FALSE),(VLOOKUP($S5667,References!$B$3:$C$8,2,FALSE))),"")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2"/>
        <v>0</v>
      </c>
      <c r="T5668" s="98">
        <f t="shared" si="243"/>
        <v>0</v>
      </c>
      <c r="U5668" s="99" t="str">
        <f>IFERROR(IF(#REF!="S",VLOOKUP('Raw Data'!A5668,References!#REF!,2,FALSE),(VLOOKUP($S5668,References!$B$3:$C$8,2,FALSE))),"")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2"/>
        <v>0</v>
      </c>
      <c r="T5669" s="98">
        <f t="shared" si="243"/>
        <v>0</v>
      </c>
      <c r="U5669" s="99" t="str">
        <f>IFERROR(IF(#REF!="S",VLOOKUP('Raw Data'!A5669,References!#REF!,2,FALSE),(VLOOKUP($S5669,References!$B$3:$C$8,2,FALSE))),"")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2"/>
        <v>0</v>
      </c>
      <c r="T5670" s="98">
        <f t="shared" si="243"/>
        <v>0</v>
      </c>
      <c r="U5670" s="99" t="str">
        <f>IFERROR(IF(#REF!="S",VLOOKUP('Raw Data'!A5670,References!#REF!,2,FALSE),(VLOOKUP($S5670,References!$B$3:$C$8,2,FALSE))),"")</f>
        <v/>
      </c>
      <c r="W5670" s="66" t="str">
        <f>IFERROR(VLOOKUP($O5670,'Customer List'!$A$1:$J$488,10,FALSE),"")</f>
        <v/>
      </c>
    </row>
    <row r="5671" spans="18:23">
      <c r="R5671" s="97">
        <f t="shared" si="242"/>
        <v>0</v>
      </c>
      <c r="T5671" s="98">
        <f t="shared" si="243"/>
        <v>0</v>
      </c>
      <c r="U5671" s="99" t="str">
        <f>IFERROR(IF(#REF!="S",VLOOKUP('Raw Data'!A5671,References!#REF!,2,FALSE),(VLOOKUP($S5671,References!$B$3:$C$8,2,FALSE))),"")</f>
        <v/>
      </c>
      <c r="W5671" s="66" t="str">
        <f>IFERROR(VLOOKUP($O5671,'Customer List'!$A$1:$J$488,10,FALSE),"")</f>
        <v/>
      </c>
    </row>
    <row r="5672" spans="18:23">
      <c r="R5672" s="97">
        <f t="shared" ref="R5672:R5735" si="244">L5672-K5672</f>
        <v>0</v>
      </c>
      <c r="T5672" s="98">
        <f t="shared" si="243"/>
        <v>0</v>
      </c>
      <c r="U5672" s="99" t="str">
        <f>IFERROR(IF(#REF!="S",VLOOKUP('Raw Data'!A5672,References!#REF!,2,FALSE),(VLOOKUP($S5672,References!$B$3:$C$8,2,FALSE))),"")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4"/>
        <v>0</v>
      </c>
      <c r="T5673" s="98">
        <f t="shared" si="243"/>
        <v>0</v>
      </c>
      <c r="U5673" s="99" t="str">
        <f>IFERROR(IF(#REF!="S",VLOOKUP('Raw Data'!A5673,References!#REF!,2,FALSE),(VLOOKUP($S5673,References!$B$3:$C$8,2,FALSE))),"")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4"/>
        <v>0</v>
      </c>
      <c r="T5674" s="98">
        <f t="shared" si="243"/>
        <v>0</v>
      </c>
      <c r="U5674" s="99" t="str">
        <f>IFERROR(IF(#REF!="S",VLOOKUP('Raw Data'!A5674,References!#REF!,2,FALSE),(VLOOKUP($S5674,References!$B$3:$C$8,2,FALSE))),"")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4"/>
        <v>0</v>
      </c>
      <c r="T5675" s="98">
        <f t="shared" si="243"/>
        <v>0</v>
      </c>
      <c r="U5675" s="99" t="str">
        <f>IFERROR(IF(#REF!="S",VLOOKUP('Raw Data'!A5675,References!#REF!,2,FALSE),(VLOOKUP($S5675,References!$B$3:$C$8,2,FALSE))),"")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4"/>
        <v>0</v>
      </c>
      <c r="T5676" s="98">
        <f t="shared" si="243"/>
        <v>0</v>
      </c>
      <c r="U5676" s="99" t="str">
        <f>IFERROR(IF(#REF!="S",VLOOKUP('Raw Data'!A5676,References!#REF!,2,FALSE),(VLOOKUP($S5676,References!$B$3:$C$8,2,FALSE))),"")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4"/>
        <v>0</v>
      </c>
      <c r="T5677" s="98">
        <f t="shared" si="243"/>
        <v>0</v>
      </c>
      <c r="U5677" s="99" t="str">
        <f>IFERROR(IF(#REF!="S",VLOOKUP('Raw Data'!A5677,References!#REF!,2,FALSE),(VLOOKUP($S5677,References!$B$3:$C$8,2,FALSE))),"")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4"/>
        <v>0</v>
      </c>
      <c r="T5678" s="98">
        <f t="shared" si="243"/>
        <v>0</v>
      </c>
      <c r="U5678" s="99" t="str">
        <f>IFERROR(IF(#REF!="S",VLOOKUP('Raw Data'!A5678,References!#REF!,2,FALSE),(VLOOKUP($S5678,References!$B$3:$C$8,2,FALSE))),"")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4"/>
        <v>0</v>
      </c>
      <c r="T5679" s="98">
        <f t="shared" si="243"/>
        <v>0</v>
      </c>
      <c r="U5679" s="99" t="str">
        <f>IFERROR(IF(#REF!="S",VLOOKUP('Raw Data'!A5679,References!#REF!,2,FALSE),(VLOOKUP($S5679,References!$B$3:$C$8,2,FALSE))),"")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4"/>
        <v>0</v>
      </c>
      <c r="T5680" s="98">
        <f t="shared" si="243"/>
        <v>0</v>
      </c>
      <c r="U5680" s="99" t="str">
        <f>IFERROR(IF(#REF!="S",VLOOKUP('Raw Data'!A5680,References!#REF!,2,FALSE),(VLOOKUP($S5680,References!$B$3:$C$8,2,FALSE))),"")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4"/>
        <v>0</v>
      </c>
      <c r="T5681" s="98">
        <f t="shared" si="243"/>
        <v>0</v>
      </c>
      <c r="U5681" s="99" t="str">
        <f>IFERROR(IF(#REF!="S",VLOOKUP('Raw Data'!A5681,References!#REF!,2,FALSE),(VLOOKUP($S5681,References!$B$3:$C$8,2,FALSE))),"")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4"/>
        <v>0</v>
      </c>
      <c r="T5682" s="98">
        <f t="shared" si="243"/>
        <v>0</v>
      </c>
      <c r="U5682" s="99" t="str">
        <f>IFERROR(IF(#REF!="S",VLOOKUP('Raw Data'!A5682,References!#REF!,2,FALSE),(VLOOKUP($S5682,References!$B$3:$C$8,2,FALSE))),"")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4"/>
        <v>0</v>
      </c>
      <c r="T5683" s="98">
        <f t="shared" si="243"/>
        <v>0</v>
      </c>
      <c r="U5683" s="99" t="str">
        <f>IFERROR(IF(#REF!="S",VLOOKUP('Raw Data'!A5683,References!#REF!,2,FALSE),(VLOOKUP($S5683,References!$B$3:$C$8,2,FALSE))),"")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4"/>
        <v>0</v>
      </c>
      <c r="T5684" s="98">
        <f t="shared" si="243"/>
        <v>0</v>
      </c>
      <c r="U5684" s="99" t="str">
        <f>IFERROR(IF(#REF!="S",VLOOKUP('Raw Data'!A5684,References!#REF!,2,FALSE),(VLOOKUP($S5684,References!$B$3:$C$8,2,FALSE))),"")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4"/>
        <v>0</v>
      </c>
      <c r="T5685" s="98">
        <f t="shared" si="243"/>
        <v>0</v>
      </c>
      <c r="U5685" s="99" t="str">
        <f>IFERROR(IF(#REF!="S",VLOOKUP('Raw Data'!A5685,References!#REF!,2,FALSE),(VLOOKUP($S5685,References!$B$3:$C$8,2,FALSE))),"")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4"/>
        <v>0</v>
      </c>
      <c r="T5686" s="98">
        <f t="shared" si="243"/>
        <v>0</v>
      </c>
      <c r="U5686" s="99" t="str">
        <f>IFERROR(IF(#REF!="S",VLOOKUP('Raw Data'!A5686,References!#REF!,2,FALSE),(VLOOKUP($S5686,References!$B$3:$C$8,2,FALSE))),"")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4"/>
        <v>0</v>
      </c>
      <c r="T5687" s="98">
        <f t="shared" si="243"/>
        <v>0</v>
      </c>
      <c r="U5687" s="99" t="str">
        <f>IFERROR(IF(#REF!="S",VLOOKUP('Raw Data'!A5687,References!#REF!,2,FALSE),(VLOOKUP($S5687,References!$B$3:$C$8,2,FALSE))),"")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4"/>
        <v>0</v>
      </c>
      <c r="T5688" s="98">
        <f t="shared" si="243"/>
        <v>0</v>
      </c>
      <c r="U5688" s="99" t="str">
        <f>IFERROR(IF(#REF!="S",VLOOKUP('Raw Data'!A5688,References!#REF!,2,FALSE),(VLOOKUP($S5688,References!$B$3:$C$8,2,FALSE))),"")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4"/>
        <v>0</v>
      </c>
      <c r="T5689" s="98">
        <f t="shared" si="243"/>
        <v>0</v>
      </c>
      <c r="U5689" s="99" t="str">
        <f>IFERROR(IF(#REF!="S",VLOOKUP('Raw Data'!A5689,References!#REF!,2,FALSE),(VLOOKUP($S5689,References!$B$3:$C$8,2,FALSE))),"")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4"/>
        <v>0</v>
      </c>
      <c r="T5690" s="98">
        <f t="shared" si="243"/>
        <v>0</v>
      </c>
      <c r="U5690" s="99" t="str">
        <f>IFERROR(IF(#REF!="S",VLOOKUP('Raw Data'!A5690,References!#REF!,2,FALSE),(VLOOKUP($S5690,References!$B$3:$C$8,2,FALSE))),"")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4"/>
        <v>0</v>
      </c>
      <c r="T5691" s="98">
        <f t="shared" si="243"/>
        <v>0</v>
      </c>
      <c r="U5691" s="99" t="str">
        <f>IFERROR(IF(#REF!="S",VLOOKUP('Raw Data'!A5691,References!#REF!,2,FALSE),(VLOOKUP($S5691,References!$B$3:$C$8,2,FALSE))),"")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4"/>
        <v>0</v>
      </c>
      <c r="T5692" s="98">
        <f t="shared" si="243"/>
        <v>0</v>
      </c>
      <c r="U5692" s="99" t="str">
        <f>IFERROR(IF(#REF!="S",VLOOKUP('Raw Data'!A5692,References!#REF!,2,FALSE),(VLOOKUP($S5692,References!$B$3:$C$8,2,FALSE))),"")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4"/>
        <v>0</v>
      </c>
      <c r="T5693" s="98">
        <f t="shared" si="243"/>
        <v>0</v>
      </c>
      <c r="U5693" s="99" t="str">
        <f>IFERROR(IF(#REF!="S",VLOOKUP('Raw Data'!A5693,References!#REF!,2,FALSE),(VLOOKUP($S5693,References!$B$3:$C$8,2,FALSE))),"")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4"/>
        <v>0</v>
      </c>
      <c r="T5694" s="98">
        <f t="shared" si="243"/>
        <v>0</v>
      </c>
      <c r="U5694" s="99" t="str">
        <f>IFERROR(IF(#REF!="S",VLOOKUP('Raw Data'!A5694,References!#REF!,2,FALSE),(VLOOKUP($S5694,References!$B$3:$C$8,2,FALSE))),"")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4"/>
        <v>0</v>
      </c>
      <c r="T5695" s="98">
        <f t="shared" si="243"/>
        <v>0</v>
      </c>
      <c r="U5695" s="99" t="str">
        <f>IFERROR(IF(#REF!="S",VLOOKUP('Raw Data'!A5695,References!#REF!,2,FALSE),(VLOOKUP($S5695,References!$B$3:$C$8,2,FALSE))),"")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4"/>
        <v>0</v>
      </c>
      <c r="T5696" s="98">
        <f t="shared" si="243"/>
        <v>0</v>
      </c>
      <c r="U5696" s="99" t="str">
        <f>IFERROR(IF(#REF!="S",VLOOKUP('Raw Data'!A5696,References!#REF!,2,FALSE),(VLOOKUP($S5696,References!$B$3:$C$8,2,FALSE))),"")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4"/>
        <v>0</v>
      </c>
      <c r="T5697" s="98">
        <f t="shared" si="243"/>
        <v>0</v>
      </c>
      <c r="U5697" s="99" t="str">
        <f>IFERROR(IF(#REF!="S",VLOOKUP('Raw Data'!A5697,References!#REF!,2,FALSE),(VLOOKUP($S5697,References!$B$3:$C$8,2,FALSE))),"")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4"/>
        <v>0</v>
      </c>
      <c r="T5698" s="98">
        <f t="shared" si="243"/>
        <v>0</v>
      </c>
      <c r="U5698" s="99" t="str">
        <f>IFERROR(IF(#REF!="S",VLOOKUP('Raw Data'!A5698,References!#REF!,2,FALSE),(VLOOKUP($S5698,References!$B$3:$C$8,2,FALSE))),"")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4"/>
        <v>0</v>
      </c>
      <c r="T5699" s="98">
        <f t="shared" si="243"/>
        <v>0</v>
      </c>
      <c r="U5699" s="99" t="str">
        <f>IFERROR(IF(#REF!="S",VLOOKUP('Raw Data'!A5699,References!#REF!,2,FALSE),(VLOOKUP($S5699,References!$B$3:$C$8,2,FALSE))),"")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4"/>
        <v>0</v>
      </c>
      <c r="T5700" s="98">
        <f t="shared" si="243"/>
        <v>0</v>
      </c>
      <c r="U5700" s="99" t="str">
        <f>IFERROR(IF(#REF!="S",VLOOKUP('Raw Data'!A5700,References!#REF!,2,FALSE),(VLOOKUP($S5700,References!$B$3:$C$8,2,FALSE))),"")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4"/>
        <v>0</v>
      </c>
      <c r="T5701" s="98">
        <f t="shared" si="243"/>
        <v>0</v>
      </c>
      <c r="U5701" s="99" t="str">
        <f>IFERROR(IF(#REF!="S",VLOOKUP('Raw Data'!A5701,References!#REF!,2,FALSE),(VLOOKUP($S5701,References!$B$3:$C$8,2,FALSE))),"")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4"/>
        <v>0</v>
      </c>
      <c r="T5702" s="98">
        <f t="shared" si="243"/>
        <v>0</v>
      </c>
      <c r="U5702" s="99" t="str">
        <f>IFERROR(IF(#REF!="S",VLOOKUP('Raw Data'!A5702,References!#REF!,2,FALSE),(VLOOKUP($S5702,References!$B$3:$C$8,2,FALSE))),"")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4"/>
        <v>0</v>
      </c>
      <c r="T5703" s="98">
        <f t="shared" si="243"/>
        <v>0</v>
      </c>
      <c r="U5703" s="99" t="str">
        <f>IFERROR(IF(#REF!="S",VLOOKUP('Raw Data'!A5703,References!#REF!,2,FALSE),(VLOOKUP($S5703,References!$B$3:$C$8,2,FALSE))),"")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4"/>
        <v>0</v>
      </c>
      <c r="T5704" s="98">
        <f t="shared" si="243"/>
        <v>0</v>
      </c>
      <c r="U5704" s="99" t="str">
        <f>IFERROR(IF(#REF!="S",VLOOKUP('Raw Data'!A5704,References!#REF!,2,FALSE),(VLOOKUP($S5704,References!$B$3:$C$8,2,FALSE))),"")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4"/>
        <v>0</v>
      </c>
      <c r="T5705" s="98">
        <f t="shared" si="243"/>
        <v>0</v>
      </c>
      <c r="U5705" s="99" t="str">
        <f>IFERROR(IF(#REF!="S",VLOOKUP('Raw Data'!A5705,References!#REF!,2,FALSE),(VLOOKUP($S5705,References!$B$3:$C$8,2,FALSE))),"")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4"/>
        <v>0</v>
      </c>
      <c r="T5706" s="98">
        <f t="shared" si="243"/>
        <v>0</v>
      </c>
      <c r="U5706" s="99" t="str">
        <f>IFERROR(IF(#REF!="S",VLOOKUP('Raw Data'!A5706,References!#REF!,2,FALSE),(VLOOKUP($S5706,References!$B$3:$C$8,2,FALSE))),"")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4"/>
        <v>0</v>
      </c>
      <c r="T5707" s="98">
        <f t="shared" si="243"/>
        <v>0</v>
      </c>
      <c r="U5707" s="99" t="str">
        <f>IFERROR(IF(#REF!="S",VLOOKUP('Raw Data'!A5707,References!#REF!,2,FALSE),(VLOOKUP($S5707,References!$B$3:$C$8,2,FALSE))),"")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4"/>
        <v>0</v>
      </c>
      <c r="T5708" s="98">
        <f t="shared" si="243"/>
        <v>0</v>
      </c>
      <c r="U5708" s="99" t="str">
        <f>IFERROR(IF(#REF!="S",VLOOKUP('Raw Data'!A5708,References!#REF!,2,FALSE),(VLOOKUP($S5708,References!$B$3:$C$8,2,FALSE))),"")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4"/>
        <v>0</v>
      </c>
      <c r="T5709" s="98">
        <f t="shared" si="243"/>
        <v>0</v>
      </c>
      <c r="U5709" s="99" t="str">
        <f>IFERROR(IF(#REF!="S",VLOOKUP('Raw Data'!A5709,References!#REF!,2,FALSE),(VLOOKUP($S5709,References!$B$3:$C$8,2,FALSE))),"")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4"/>
        <v>0</v>
      </c>
      <c r="T5710" s="98">
        <f t="shared" si="243"/>
        <v>0</v>
      </c>
      <c r="U5710" s="99" t="str">
        <f>IFERROR(IF(#REF!="S",VLOOKUP('Raw Data'!A5710,References!#REF!,2,FALSE),(VLOOKUP($S5710,References!$B$3:$C$8,2,FALSE))),"")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4"/>
        <v>0</v>
      </c>
      <c r="T5711" s="98">
        <f t="shared" si="243"/>
        <v>0</v>
      </c>
      <c r="U5711" s="99" t="str">
        <f>IFERROR(IF(#REF!="S",VLOOKUP('Raw Data'!A5711,References!#REF!,2,FALSE),(VLOOKUP($S5711,References!$B$3:$C$8,2,FALSE))),"")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4"/>
        <v>0</v>
      </c>
      <c r="T5712" s="98">
        <f t="shared" ref="T5712:T5775" si="245">IF(S5712="50 - Cleaning Fee",1,HOUR($R5712)+MINUTE(R5712)/60)</f>
        <v>0</v>
      </c>
      <c r="U5712" s="99" t="str">
        <f>IFERROR(IF(#REF!="S",VLOOKUP('Raw Data'!A5712,References!#REF!,2,FALSE),(VLOOKUP($S5712,References!$B$3:$C$8,2,FALSE))),"")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4"/>
        <v>0</v>
      </c>
      <c r="T5713" s="98">
        <f t="shared" si="245"/>
        <v>0</v>
      </c>
      <c r="U5713" s="99" t="str">
        <f>IFERROR(IF(#REF!="S",VLOOKUP('Raw Data'!A5713,References!#REF!,2,FALSE),(VLOOKUP($S5713,References!$B$3:$C$8,2,FALSE))),"")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4"/>
        <v>0</v>
      </c>
      <c r="T5714" s="98">
        <f t="shared" si="245"/>
        <v>0</v>
      </c>
      <c r="U5714" s="99" t="str">
        <f>IFERROR(IF(#REF!="S",VLOOKUP('Raw Data'!A5714,References!#REF!,2,FALSE),(VLOOKUP($S5714,References!$B$3:$C$8,2,FALSE))),"")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4"/>
        <v>0</v>
      </c>
      <c r="T5715" s="98">
        <f t="shared" si="245"/>
        <v>0</v>
      </c>
      <c r="U5715" s="99" t="str">
        <f>IFERROR(IF(#REF!="S",VLOOKUP('Raw Data'!A5715,References!#REF!,2,FALSE),(VLOOKUP($S5715,References!$B$3:$C$8,2,FALSE))),"")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4"/>
        <v>0</v>
      </c>
      <c r="T5716" s="98">
        <f t="shared" si="245"/>
        <v>0</v>
      </c>
      <c r="U5716" s="99" t="str">
        <f>IFERROR(IF(#REF!="S",VLOOKUP('Raw Data'!A5716,References!#REF!,2,FALSE),(VLOOKUP($S5716,References!$B$3:$C$8,2,FALSE))),"")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4"/>
        <v>0</v>
      </c>
      <c r="T5717" s="98">
        <f t="shared" si="245"/>
        <v>0</v>
      </c>
      <c r="U5717" s="99" t="str">
        <f>IFERROR(IF(#REF!="S",VLOOKUP('Raw Data'!A5717,References!#REF!,2,FALSE),(VLOOKUP($S5717,References!$B$3:$C$8,2,FALSE))),"")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4"/>
        <v>0</v>
      </c>
      <c r="T5718" s="98">
        <f t="shared" si="245"/>
        <v>0</v>
      </c>
      <c r="U5718" s="99" t="str">
        <f>IFERROR(IF(#REF!="S",VLOOKUP('Raw Data'!A5718,References!#REF!,2,FALSE),(VLOOKUP($S5718,References!$B$3:$C$8,2,FALSE))),"")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4"/>
        <v>0</v>
      </c>
      <c r="T5719" s="98">
        <f t="shared" si="245"/>
        <v>0</v>
      </c>
      <c r="U5719" s="99" t="str">
        <f>IFERROR(IF(#REF!="S",VLOOKUP('Raw Data'!A5719,References!#REF!,2,FALSE),(VLOOKUP($S5719,References!$B$3:$C$8,2,FALSE))),"")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4"/>
        <v>0</v>
      </c>
      <c r="T5720" s="98">
        <f t="shared" si="245"/>
        <v>0</v>
      </c>
      <c r="U5720" s="99" t="str">
        <f>IFERROR(IF(#REF!="S",VLOOKUP('Raw Data'!A5720,References!#REF!,2,FALSE),(VLOOKUP($S5720,References!$B$3:$C$8,2,FALSE))),"")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4"/>
        <v>0</v>
      </c>
      <c r="T5721" s="98">
        <f t="shared" si="245"/>
        <v>0</v>
      </c>
      <c r="U5721" s="99" t="str">
        <f>IFERROR(IF(#REF!="S",VLOOKUP('Raw Data'!A5721,References!#REF!,2,FALSE),(VLOOKUP($S5721,References!$B$3:$C$8,2,FALSE))),"")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4"/>
        <v>0</v>
      </c>
      <c r="T5722" s="98">
        <f t="shared" si="245"/>
        <v>0</v>
      </c>
      <c r="U5722" s="99" t="str">
        <f>IFERROR(IF(#REF!="S",VLOOKUP('Raw Data'!A5722,References!#REF!,2,FALSE),(VLOOKUP($S5722,References!$B$3:$C$8,2,FALSE))),"")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4"/>
        <v>0</v>
      </c>
      <c r="T5723" s="98">
        <f t="shared" si="245"/>
        <v>0</v>
      </c>
      <c r="U5723" s="99" t="str">
        <f>IFERROR(IF(#REF!="S",VLOOKUP('Raw Data'!A5723,References!#REF!,2,FALSE),(VLOOKUP($S5723,References!$B$3:$C$8,2,FALSE))),"")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4"/>
        <v>0</v>
      </c>
      <c r="T5724" s="98">
        <f t="shared" si="245"/>
        <v>0</v>
      </c>
      <c r="U5724" s="99" t="str">
        <f>IFERROR(IF(#REF!="S",VLOOKUP('Raw Data'!A5724,References!#REF!,2,FALSE),(VLOOKUP($S5724,References!$B$3:$C$8,2,FALSE))),"")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4"/>
        <v>0</v>
      </c>
      <c r="T5725" s="98">
        <f t="shared" si="245"/>
        <v>0</v>
      </c>
      <c r="U5725" s="99" t="str">
        <f>IFERROR(IF(#REF!="S",VLOOKUP('Raw Data'!A5725,References!#REF!,2,FALSE),(VLOOKUP($S5725,References!$B$3:$C$8,2,FALSE))),"")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4"/>
        <v>0</v>
      </c>
      <c r="T5726" s="98">
        <f t="shared" si="245"/>
        <v>0</v>
      </c>
      <c r="U5726" s="99" t="str">
        <f>IFERROR(IF(#REF!="S",VLOOKUP('Raw Data'!A5726,References!#REF!,2,FALSE),(VLOOKUP($S5726,References!$B$3:$C$8,2,FALSE))),"")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4"/>
        <v>0</v>
      </c>
      <c r="T5727" s="98">
        <f t="shared" si="245"/>
        <v>0</v>
      </c>
      <c r="U5727" s="99" t="str">
        <f>IFERROR(IF(#REF!="S",VLOOKUP('Raw Data'!A5727,References!#REF!,2,FALSE),(VLOOKUP($S5727,References!$B$3:$C$8,2,FALSE))),"")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4"/>
        <v>0</v>
      </c>
      <c r="T5728" s="98">
        <f t="shared" si="245"/>
        <v>0</v>
      </c>
      <c r="U5728" s="99" t="str">
        <f>IFERROR(IF(#REF!="S",VLOOKUP('Raw Data'!A5728,References!#REF!,2,FALSE),(VLOOKUP($S5728,References!$B$3:$C$8,2,FALSE))),"")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4"/>
        <v>0</v>
      </c>
      <c r="T5729" s="98">
        <f t="shared" si="245"/>
        <v>0</v>
      </c>
      <c r="U5729" s="99" t="str">
        <f>IFERROR(IF(#REF!="S",VLOOKUP('Raw Data'!A5729,References!#REF!,2,FALSE),(VLOOKUP($S5729,References!$B$3:$C$8,2,FALSE))),"")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4"/>
        <v>0</v>
      </c>
      <c r="T5730" s="98">
        <f t="shared" si="245"/>
        <v>0</v>
      </c>
      <c r="U5730" s="99" t="str">
        <f>IFERROR(IF(#REF!="S",VLOOKUP('Raw Data'!A5730,References!#REF!,2,FALSE),(VLOOKUP($S5730,References!$B$3:$C$8,2,FALSE))),"")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4"/>
        <v>0</v>
      </c>
      <c r="T5731" s="98">
        <f t="shared" si="245"/>
        <v>0</v>
      </c>
      <c r="U5731" s="99" t="str">
        <f>IFERROR(IF(#REF!="S",VLOOKUP('Raw Data'!A5731,References!#REF!,2,FALSE),(VLOOKUP($S5731,References!$B$3:$C$8,2,FALSE))),"")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4"/>
        <v>0</v>
      </c>
      <c r="T5732" s="98">
        <f t="shared" si="245"/>
        <v>0</v>
      </c>
      <c r="U5732" s="99" t="str">
        <f>IFERROR(IF(#REF!="S",VLOOKUP('Raw Data'!A5732,References!#REF!,2,FALSE),(VLOOKUP($S5732,References!$B$3:$C$8,2,FALSE))),"")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4"/>
        <v>0</v>
      </c>
      <c r="T5733" s="98">
        <f t="shared" si="245"/>
        <v>0</v>
      </c>
      <c r="U5733" s="99" t="str">
        <f>IFERROR(IF(#REF!="S",VLOOKUP('Raw Data'!A5733,References!#REF!,2,FALSE),(VLOOKUP($S5733,References!$B$3:$C$8,2,FALSE))),"")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4"/>
        <v>0</v>
      </c>
      <c r="T5734" s="98">
        <f t="shared" si="245"/>
        <v>0</v>
      </c>
      <c r="U5734" s="99" t="str">
        <f>IFERROR(IF(#REF!="S",VLOOKUP('Raw Data'!A5734,References!#REF!,2,FALSE),(VLOOKUP($S5734,References!$B$3:$C$8,2,FALSE))),"")</f>
        <v/>
      </c>
      <c r="W5734" s="66" t="str">
        <f>IFERROR(VLOOKUP($O5734,'Customer List'!$A$1:$J$488,10,FALSE),"")</f>
        <v/>
      </c>
    </row>
    <row r="5735" spans="18:23">
      <c r="R5735" s="97">
        <f t="shared" si="244"/>
        <v>0</v>
      </c>
      <c r="T5735" s="98">
        <f t="shared" si="245"/>
        <v>0</v>
      </c>
      <c r="U5735" s="99" t="str">
        <f>IFERROR(IF(#REF!="S",VLOOKUP('Raw Data'!A5735,References!#REF!,2,FALSE),(VLOOKUP($S5735,References!$B$3:$C$8,2,FALSE))),"")</f>
        <v/>
      </c>
      <c r="W5735" s="66" t="str">
        <f>IFERROR(VLOOKUP($O5735,'Customer List'!$A$1:$J$488,10,FALSE),"")</f>
        <v/>
      </c>
    </row>
    <row r="5736" spans="18:23">
      <c r="R5736" s="97">
        <f t="shared" ref="R5736:R5799" si="246">L5736-K5736</f>
        <v>0</v>
      </c>
      <c r="T5736" s="98">
        <f t="shared" si="245"/>
        <v>0</v>
      </c>
      <c r="U5736" s="99" t="str">
        <f>IFERROR(IF(#REF!="S",VLOOKUP('Raw Data'!A5736,References!#REF!,2,FALSE),(VLOOKUP($S5736,References!$B$3:$C$8,2,FALSE))),"")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6"/>
        <v>0</v>
      </c>
      <c r="T5737" s="98">
        <f t="shared" si="245"/>
        <v>0</v>
      </c>
      <c r="U5737" s="99" t="str">
        <f>IFERROR(IF(#REF!="S",VLOOKUP('Raw Data'!A5737,References!#REF!,2,FALSE),(VLOOKUP($S5737,References!$B$3:$C$8,2,FALSE))),"")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6"/>
        <v>0</v>
      </c>
      <c r="T5738" s="98">
        <f t="shared" si="245"/>
        <v>0</v>
      </c>
      <c r="U5738" s="99" t="str">
        <f>IFERROR(IF(#REF!="S",VLOOKUP('Raw Data'!A5738,References!#REF!,2,FALSE),(VLOOKUP($S5738,References!$B$3:$C$8,2,FALSE))),"")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6"/>
        <v>0</v>
      </c>
      <c r="T5739" s="98">
        <f t="shared" si="245"/>
        <v>0</v>
      </c>
      <c r="U5739" s="99" t="str">
        <f>IFERROR(IF(#REF!="S",VLOOKUP('Raw Data'!A5739,References!#REF!,2,FALSE),(VLOOKUP($S5739,References!$B$3:$C$8,2,FALSE))),"")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6"/>
        <v>0</v>
      </c>
      <c r="T5740" s="98">
        <f t="shared" si="245"/>
        <v>0</v>
      </c>
      <c r="U5740" s="99" t="str">
        <f>IFERROR(IF(#REF!="S",VLOOKUP('Raw Data'!A5740,References!#REF!,2,FALSE),(VLOOKUP($S5740,References!$B$3:$C$8,2,FALSE))),"")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6"/>
        <v>0</v>
      </c>
      <c r="T5741" s="98">
        <f t="shared" si="245"/>
        <v>0</v>
      </c>
      <c r="U5741" s="99" t="str">
        <f>IFERROR(IF(#REF!="S",VLOOKUP('Raw Data'!A5741,References!#REF!,2,FALSE),(VLOOKUP($S5741,References!$B$3:$C$8,2,FALSE))),"")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6"/>
        <v>0</v>
      </c>
      <c r="T5742" s="98">
        <f t="shared" si="245"/>
        <v>0</v>
      </c>
      <c r="U5742" s="99" t="str">
        <f>IFERROR(IF(#REF!="S",VLOOKUP('Raw Data'!A5742,References!#REF!,2,FALSE),(VLOOKUP($S5742,References!$B$3:$C$8,2,FALSE))),"")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6"/>
        <v>0</v>
      </c>
      <c r="T5743" s="98">
        <f t="shared" si="245"/>
        <v>0</v>
      </c>
      <c r="U5743" s="99" t="str">
        <f>IFERROR(IF(#REF!="S",VLOOKUP('Raw Data'!A5743,References!#REF!,2,FALSE),(VLOOKUP($S5743,References!$B$3:$C$8,2,FALSE))),"")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6"/>
        <v>0</v>
      </c>
      <c r="T5744" s="98">
        <f t="shared" si="245"/>
        <v>0</v>
      </c>
      <c r="U5744" s="99" t="str">
        <f>IFERROR(IF(#REF!="S",VLOOKUP('Raw Data'!A5744,References!#REF!,2,FALSE),(VLOOKUP($S5744,References!$B$3:$C$8,2,FALSE))),"")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6"/>
        <v>0</v>
      </c>
      <c r="T5745" s="98">
        <f t="shared" si="245"/>
        <v>0</v>
      </c>
      <c r="U5745" s="99" t="str">
        <f>IFERROR(IF(#REF!="S",VLOOKUP('Raw Data'!A5745,References!#REF!,2,FALSE),(VLOOKUP($S5745,References!$B$3:$C$8,2,FALSE))),"")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6"/>
        <v>0</v>
      </c>
      <c r="T5746" s="98">
        <f t="shared" si="245"/>
        <v>0</v>
      </c>
      <c r="U5746" s="99" t="str">
        <f>IFERROR(IF(#REF!="S",VLOOKUP('Raw Data'!A5746,References!#REF!,2,FALSE),(VLOOKUP($S5746,References!$B$3:$C$8,2,FALSE))),"")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6"/>
        <v>0</v>
      </c>
      <c r="T5747" s="98">
        <f t="shared" si="245"/>
        <v>0</v>
      </c>
      <c r="U5747" s="99" t="str">
        <f>IFERROR(IF(#REF!="S",VLOOKUP('Raw Data'!A5747,References!#REF!,2,FALSE),(VLOOKUP($S5747,References!$B$3:$C$8,2,FALSE))),"")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6"/>
        <v>0</v>
      </c>
      <c r="T5748" s="98">
        <f t="shared" si="245"/>
        <v>0</v>
      </c>
      <c r="U5748" s="99" t="str">
        <f>IFERROR(IF(#REF!="S",VLOOKUP('Raw Data'!A5748,References!#REF!,2,FALSE),(VLOOKUP($S5748,References!$B$3:$C$8,2,FALSE))),"")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6"/>
        <v>0</v>
      </c>
      <c r="T5749" s="98">
        <f t="shared" si="245"/>
        <v>0</v>
      </c>
      <c r="U5749" s="99" t="str">
        <f>IFERROR(IF(#REF!="S",VLOOKUP('Raw Data'!A5749,References!#REF!,2,FALSE),(VLOOKUP($S5749,References!$B$3:$C$8,2,FALSE))),"")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6"/>
        <v>0</v>
      </c>
      <c r="T5750" s="98">
        <f t="shared" si="245"/>
        <v>0</v>
      </c>
      <c r="U5750" s="99" t="str">
        <f>IFERROR(IF(#REF!="S",VLOOKUP('Raw Data'!A5750,References!#REF!,2,FALSE),(VLOOKUP($S5750,References!$B$3:$C$8,2,FALSE))),"")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6"/>
        <v>0</v>
      </c>
      <c r="T5751" s="98">
        <f t="shared" si="245"/>
        <v>0</v>
      </c>
      <c r="U5751" s="99" t="str">
        <f>IFERROR(IF(#REF!="S",VLOOKUP('Raw Data'!A5751,References!#REF!,2,FALSE),(VLOOKUP($S5751,References!$B$3:$C$8,2,FALSE))),"")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6"/>
        <v>0</v>
      </c>
      <c r="T5752" s="98">
        <f t="shared" si="245"/>
        <v>0</v>
      </c>
      <c r="U5752" s="99" t="str">
        <f>IFERROR(IF(#REF!="S",VLOOKUP('Raw Data'!A5752,References!#REF!,2,FALSE),(VLOOKUP($S5752,References!$B$3:$C$8,2,FALSE))),"")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6"/>
        <v>0</v>
      </c>
      <c r="T5753" s="98">
        <f t="shared" si="245"/>
        <v>0</v>
      </c>
      <c r="U5753" s="99" t="str">
        <f>IFERROR(IF(#REF!="S",VLOOKUP('Raw Data'!A5753,References!#REF!,2,FALSE),(VLOOKUP($S5753,References!$B$3:$C$8,2,FALSE))),"")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6"/>
        <v>0</v>
      </c>
      <c r="T5754" s="98">
        <f t="shared" si="245"/>
        <v>0</v>
      </c>
      <c r="U5754" s="99" t="str">
        <f>IFERROR(IF(#REF!="S",VLOOKUP('Raw Data'!A5754,References!#REF!,2,FALSE),(VLOOKUP($S5754,References!$B$3:$C$8,2,FALSE))),"")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6"/>
        <v>0</v>
      </c>
      <c r="T5755" s="98">
        <f t="shared" si="245"/>
        <v>0</v>
      </c>
      <c r="U5755" s="99" t="str">
        <f>IFERROR(IF(#REF!="S",VLOOKUP('Raw Data'!A5755,References!#REF!,2,FALSE),(VLOOKUP($S5755,References!$B$3:$C$8,2,FALSE))),"")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6"/>
        <v>0</v>
      </c>
      <c r="T5756" s="98">
        <f t="shared" si="245"/>
        <v>0</v>
      </c>
      <c r="U5756" s="99" t="str">
        <f>IFERROR(IF(#REF!="S",VLOOKUP('Raw Data'!A5756,References!#REF!,2,FALSE),(VLOOKUP($S5756,References!$B$3:$C$8,2,FALSE))),"")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6"/>
        <v>0</v>
      </c>
      <c r="T5757" s="98">
        <f t="shared" si="245"/>
        <v>0</v>
      </c>
      <c r="U5757" s="99" t="str">
        <f>IFERROR(IF(#REF!="S",VLOOKUP('Raw Data'!A5757,References!#REF!,2,FALSE),(VLOOKUP($S5757,References!$B$3:$C$8,2,FALSE))),"")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6"/>
        <v>0</v>
      </c>
      <c r="T5758" s="98">
        <f t="shared" si="245"/>
        <v>0</v>
      </c>
      <c r="U5758" s="99" t="str">
        <f>IFERROR(IF(#REF!="S",VLOOKUP('Raw Data'!A5758,References!#REF!,2,FALSE),(VLOOKUP($S5758,References!$B$3:$C$8,2,FALSE))),"")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6"/>
        <v>0</v>
      </c>
      <c r="T5759" s="98">
        <f t="shared" si="245"/>
        <v>0</v>
      </c>
      <c r="U5759" s="99" t="str">
        <f>IFERROR(IF(#REF!="S",VLOOKUP('Raw Data'!A5759,References!#REF!,2,FALSE),(VLOOKUP($S5759,References!$B$3:$C$8,2,FALSE))),"")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6"/>
        <v>0</v>
      </c>
      <c r="T5760" s="98">
        <f t="shared" si="245"/>
        <v>0</v>
      </c>
      <c r="U5760" s="99" t="str">
        <f>IFERROR(IF(#REF!="S",VLOOKUP('Raw Data'!A5760,References!#REF!,2,FALSE),(VLOOKUP($S5760,References!$B$3:$C$8,2,FALSE))),"")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6"/>
        <v>0</v>
      </c>
      <c r="T5761" s="98">
        <f t="shared" si="245"/>
        <v>0</v>
      </c>
      <c r="U5761" s="99" t="str">
        <f>IFERROR(IF(#REF!="S",VLOOKUP('Raw Data'!A5761,References!#REF!,2,FALSE),(VLOOKUP($S5761,References!$B$3:$C$8,2,FALSE))),"")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6"/>
        <v>0</v>
      </c>
      <c r="T5762" s="98">
        <f t="shared" si="245"/>
        <v>0</v>
      </c>
      <c r="U5762" s="99" t="str">
        <f>IFERROR(IF(#REF!="S",VLOOKUP('Raw Data'!A5762,References!#REF!,2,FALSE),(VLOOKUP($S5762,References!$B$3:$C$8,2,FALSE))),"")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6"/>
        <v>0</v>
      </c>
      <c r="T5763" s="98">
        <f t="shared" si="245"/>
        <v>0</v>
      </c>
      <c r="U5763" s="99" t="str">
        <f>IFERROR(IF(#REF!="S",VLOOKUP('Raw Data'!A5763,References!#REF!,2,FALSE),(VLOOKUP($S5763,References!$B$3:$C$8,2,FALSE))),"")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6"/>
        <v>0</v>
      </c>
      <c r="T5764" s="98">
        <f t="shared" si="245"/>
        <v>0</v>
      </c>
      <c r="U5764" s="99" t="str">
        <f>IFERROR(IF(#REF!="S",VLOOKUP('Raw Data'!A5764,References!#REF!,2,FALSE),(VLOOKUP($S5764,References!$B$3:$C$8,2,FALSE))),"")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6"/>
        <v>0</v>
      </c>
      <c r="T5765" s="98">
        <f t="shared" si="245"/>
        <v>0</v>
      </c>
      <c r="U5765" s="99" t="str">
        <f>IFERROR(IF(#REF!="S",VLOOKUP('Raw Data'!A5765,References!#REF!,2,FALSE),(VLOOKUP($S5765,References!$B$3:$C$8,2,FALSE))),"")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6"/>
        <v>0</v>
      </c>
      <c r="T5766" s="98">
        <f t="shared" si="245"/>
        <v>0</v>
      </c>
      <c r="U5766" s="99" t="str">
        <f>IFERROR(IF(#REF!="S",VLOOKUP('Raw Data'!A5766,References!#REF!,2,FALSE),(VLOOKUP($S5766,References!$B$3:$C$8,2,FALSE))),"")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6"/>
        <v>0</v>
      </c>
      <c r="T5767" s="98">
        <f t="shared" si="245"/>
        <v>0</v>
      </c>
      <c r="U5767" s="99" t="str">
        <f>IFERROR(IF(#REF!="S",VLOOKUP('Raw Data'!A5767,References!#REF!,2,FALSE),(VLOOKUP($S5767,References!$B$3:$C$8,2,FALSE))),"")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6"/>
        <v>0</v>
      </c>
      <c r="T5768" s="98">
        <f t="shared" si="245"/>
        <v>0</v>
      </c>
      <c r="U5768" s="99" t="str">
        <f>IFERROR(IF(#REF!="S",VLOOKUP('Raw Data'!A5768,References!#REF!,2,FALSE),(VLOOKUP($S5768,References!$B$3:$C$8,2,FALSE))),"")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6"/>
        <v>0</v>
      </c>
      <c r="T5769" s="98">
        <f t="shared" si="245"/>
        <v>0</v>
      </c>
      <c r="U5769" s="99" t="str">
        <f>IFERROR(IF(#REF!="S",VLOOKUP('Raw Data'!A5769,References!#REF!,2,FALSE),(VLOOKUP($S5769,References!$B$3:$C$8,2,FALSE))),"")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6"/>
        <v>0</v>
      </c>
      <c r="T5770" s="98">
        <f t="shared" si="245"/>
        <v>0</v>
      </c>
      <c r="U5770" s="99" t="str">
        <f>IFERROR(IF(#REF!="S",VLOOKUP('Raw Data'!A5770,References!#REF!,2,FALSE),(VLOOKUP($S5770,References!$B$3:$C$8,2,FALSE))),"")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6"/>
        <v>0</v>
      </c>
      <c r="T5771" s="98">
        <f t="shared" si="245"/>
        <v>0</v>
      </c>
      <c r="U5771" s="99" t="str">
        <f>IFERROR(IF(#REF!="S",VLOOKUP('Raw Data'!A5771,References!#REF!,2,FALSE),(VLOOKUP($S5771,References!$B$3:$C$8,2,FALSE))),"")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6"/>
        <v>0</v>
      </c>
      <c r="T5772" s="98">
        <f t="shared" si="245"/>
        <v>0</v>
      </c>
      <c r="U5772" s="99" t="str">
        <f>IFERROR(IF(#REF!="S",VLOOKUP('Raw Data'!A5772,References!#REF!,2,FALSE),(VLOOKUP($S5772,References!$B$3:$C$8,2,FALSE))),"")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6"/>
        <v>0</v>
      </c>
      <c r="T5773" s="98">
        <f t="shared" si="245"/>
        <v>0</v>
      </c>
      <c r="U5773" s="99" t="str">
        <f>IFERROR(IF(#REF!="S",VLOOKUP('Raw Data'!A5773,References!#REF!,2,FALSE),(VLOOKUP($S5773,References!$B$3:$C$8,2,FALSE))),"")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6"/>
        <v>0</v>
      </c>
      <c r="T5774" s="98">
        <f t="shared" si="245"/>
        <v>0</v>
      </c>
      <c r="U5774" s="99" t="str">
        <f>IFERROR(IF(#REF!="S",VLOOKUP('Raw Data'!A5774,References!#REF!,2,FALSE),(VLOOKUP($S5774,References!$B$3:$C$8,2,FALSE))),"")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6"/>
        <v>0</v>
      </c>
      <c r="T5775" s="98">
        <f t="shared" si="245"/>
        <v>0</v>
      </c>
      <c r="U5775" s="99" t="str">
        <f>IFERROR(IF(#REF!="S",VLOOKUP('Raw Data'!A5775,References!#REF!,2,FALSE),(VLOOKUP($S5775,References!$B$3:$C$8,2,FALSE))),"")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6"/>
        <v>0</v>
      </c>
      <c r="T5776" s="98">
        <f t="shared" ref="T5776:T5839" si="247">IF(S5776="50 - Cleaning Fee",1,HOUR($R5776)+MINUTE(R5776)/60)</f>
        <v>0</v>
      </c>
      <c r="U5776" s="99" t="str">
        <f>IFERROR(IF(#REF!="S",VLOOKUP('Raw Data'!A5776,References!#REF!,2,FALSE),(VLOOKUP($S5776,References!$B$3:$C$8,2,FALSE))),"")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6"/>
        <v>0</v>
      </c>
      <c r="T5777" s="98">
        <f t="shared" si="247"/>
        <v>0</v>
      </c>
      <c r="U5777" s="99" t="str">
        <f>IFERROR(IF(#REF!="S",VLOOKUP('Raw Data'!A5777,References!#REF!,2,FALSE),(VLOOKUP($S5777,References!$B$3:$C$8,2,FALSE))),"")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6"/>
        <v>0</v>
      </c>
      <c r="T5778" s="98">
        <f t="shared" si="247"/>
        <v>0</v>
      </c>
      <c r="U5778" s="99" t="str">
        <f>IFERROR(IF(#REF!="S",VLOOKUP('Raw Data'!A5778,References!#REF!,2,FALSE),(VLOOKUP($S5778,References!$B$3:$C$8,2,FALSE))),"")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6"/>
        <v>0</v>
      </c>
      <c r="T5779" s="98">
        <f t="shared" si="247"/>
        <v>0</v>
      </c>
      <c r="U5779" s="99" t="str">
        <f>IFERROR(IF(#REF!="S",VLOOKUP('Raw Data'!A5779,References!#REF!,2,FALSE),(VLOOKUP($S5779,References!$B$3:$C$8,2,FALSE))),"")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6"/>
        <v>0</v>
      </c>
      <c r="T5780" s="98">
        <f t="shared" si="247"/>
        <v>0</v>
      </c>
      <c r="U5780" s="99" t="str">
        <f>IFERROR(IF(#REF!="S",VLOOKUP('Raw Data'!A5780,References!#REF!,2,FALSE),(VLOOKUP($S5780,References!$B$3:$C$8,2,FALSE))),"")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6"/>
        <v>0</v>
      </c>
      <c r="T5781" s="98">
        <f t="shared" si="247"/>
        <v>0</v>
      </c>
      <c r="U5781" s="99" t="str">
        <f>IFERROR(IF(#REF!="S",VLOOKUP('Raw Data'!A5781,References!#REF!,2,FALSE),(VLOOKUP($S5781,References!$B$3:$C$8,2,FALSE))),"")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6"/>
        <v>0</v>
      </c>
      <c r="T5782" s="98">
        <f t="shared" si="247"/>
        <v>0</v>
      </c>
      <c r="U5782" s="99" t="str">
        <f>IFERROR(IF(#REF!="S",VLOOKUP('Raw Data'!A5782,References!#REF!,2,FALSE),(VLOOKUP($S5782,References!$B$3:$C$8,2,FALSE))),"")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6"/>
        <v>0</v>
      </c>
      <c r="T5783" s="98">
        <f t="shared" si="247"/>
        <v>0</v>
      </c>
      <c r="U5783" s="99" t="str">
        <f>IFERROR(IF(#REF!="S",VLOOKUP('Raw Data'!A5783,References!#REF!,2,FALSE),(VLOOKUP($S5783,References!$B$3:$C$8,2,FALSE))),"")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6"/>
        <v>0</v>
      </c>
      <c r="T5784" s="98">
        <f t="shared" si="247"/>
        <v>0</v>
      </c>
      <c r="U5784" s="99" t="str">
        <f>IFERROR(IF(#REF!="S",VLOOKUP('Raw Data'!A5784,References!#REF!,2,FALSE),(VLOOKUP($S5784,References!$B$3:$C$8,2,FALSE))),"")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6"/>
        <v>0</v>
      </c>
      <c r="T5785" s="98">
        <f t="shared" si="247"/>
        <v>0</v>
      </c>
      <c r="U5785" s="99" t="str">
        <f>IFERROR(IF(#REF!="S",VLOOKUP('Raw Data'!A5785,References!#REF!,2,FALSE),(VLOOKUP($S5785,References!$B$3:$C$8,2,FALSE))),"")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6"/>
        <v>0</v>
      </c>
      <c r="T5786" s="98">
        <f t="shared" si="247"/>
        <v>0</v>
      </c>
      <c r="U5786" s="99" t="str">
        <f>IFERROR(IF(#REF!="S",VLOOKUP('Raw Data'!A5786,References!#REF!,2,FALSE),(VLOOKUP($S5786,References!$B$3:$C$8,2,FALSE))),"")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6"/>
        <v>0</v>
      </c>
      <c r="T5787" s="98">
        <f t="shared" si="247"/>
        <v>0</v>
      </c>
      <c r="U5787" s="99" t="str">
        <f>IFERROR(IF(#REF!="S",VLOOKUP('Raw Data'!A5787,References!#REF!,2,FALSE),(VLOOKUP($S5787,References!$B$3:$C$8,2,FALSE))),"")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6"/>
        <v>0</v>
      </c>
      <c r="T5788" s="98">
        <f t="shared" si="247"/>
        <v>0</v>
      </c>
      <c r="U5788" s="99" t="str">
        <f>IFERROR(IF(#REF!="S",VLOOKUP('Raw Data'!A5788,References!#REF!,2,FALSE),(VLOOKUP($S5788,References!$B$3:$C$8,2,FALSE))),"")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6"/>
        <v>0</v>
      </c>
      <c r="T5789" s="98">
        <f t="shared" si="247"/>
        <v>0</v>
      </c>
      <c r="U5789" s="99" t="str">
        <f>IFERROR(IF(#REF!="S",VLOOKUP('Raw Data'!A5789,References!#REF!,2,FALSE),(VLOOKUP($S5789,References!$B$3:$C$8,2,FALSE))),"")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6"/>
        <v>0</v>
      </c>
      <c r="T5790" s="98">
        <f t="shared" si="247"/>
        <v>0</v>
      </c>
      <c r="U5790" s="99" t="str">
        <f>IFERROR(IF(#REF!="S",VLOOKUP('Raw Data'!A5790,References!#REF!,2,FALSE),(VLOOKUP($S5790,References!$B$3:$C$8,2,FALSE))),"")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6"/>
        <v>0</v>
      </c>
      <c r="T5791" s="98">
        <f t="shared" si="247"/>
        <v>0</v>
      </c>
      <c r="U5791" s="99" t="str">
        <f>IFERROR(IF(#REF!="S",VLOOKUP('Raw Data'!A5791,References!#REF!,2,FALSE),(VLOOKUP($S5791,References!$B$3:$C$8,2,FALSE))),"")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6"/>
        <v>0</v>
      </c>
      <c r="T5792" s="98">
        <f t="shared" si="247"/>
        <v>0</v>
      </c>
      <c r="U5792" s="99" t="str">
        <f>IFERROR(IF(#REF!="S",VLOOKUP('Raw Data'!A5792,References!#REF!,2,FALSE),(VLOOKUP($S5792,References!$B$3:$C$8,2,FALSE))),"")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6"/>
        <v>0</v>
      </c>
      <c r="T5793" s="98">
        <f t="shared" si="247"/>
        <v>0</v>
      </c>
      <c r="U5793" s="99" t="str">
        <f>IFERROR(IF(#REF!="S",VLOOKUP('Raw Data'!A5793,References!#REF!,2,FALSE),(VLOOKUP($S5793,References!$B$3:$C$8,2,FALSE))),"")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6"/>
        <v>0</v>
      </c>
      <c r="T5794" s="98">
        <f t="shared" si="247"/>
        <v>0</v>
      </c>
      <c r="U5794" s="99" t="str">
        <f>IFERROR(IF(#REF!="S",VLOOKUP('Raw Data'!A5794,References!#REF!,2,FALSE),(VLOOKUP($S5794,References!$B$3:$C$8,2,FALSE))),"")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6"/>
        <v>0</v>
      </c>
      <c r="T5795" s="98">
        <f t="shared" si="247"/>
        <v>0</v>
      </c>
      <c r="U5795" s="99" t="str">
        <f>IFERROR(IF(#REF!="S",VLOOKUP('Raw Data'!A5795,References!#REF!,2,FALSE),(VLOOKUP($S5795,References!$B$3:$C$8,2,FALSE))),"")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6"/>
        <v>0</v>
      </c>
      <c r="T5796" s="98">
        <f t="shared" si="247"/>
        <v>0</v>
      </c>
      <c r="U5796" s="99" t="str">
        <f>IFERROR(IF(#REF!="S",VLOOKUP('Raw Data'!A5796,References!#REF!,2,FALSE),(VLOOKUP($S5796,References!$B$3:$C$8,2,FALSE))),"")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6"/>
        <v>0</v>
      </c>
      <c r="T5797" s="98">
        <f t="shared" si="247"/>
        <v>0</v>
      </c>
      <c r="U5797" s="99" t="str">
        <f>IFERROR(IF(#REF!="S",VLOOKUP('Raw Data'!A5797,References!#REF!,2,FALSE),(VLOOKUP($S5797,References!$B$3:$C$8,2,FALSE))),"")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6"/>
        <v>0</v>
      </c>
      <c r="T5798" s="98">
        <f t="shared" si="247"/>
        <v>0</v>
      </c>
      <c r="U5798" s="99" t="str">
        <f>IFERROR(IF(#REF!="S",VLOOKUP('Raw Data'!A5798,References!#REF!,2,FALSE),(VLOOKUP($S5798,References!$B$3:$C$8,2,FALSE))),"")</f>
        <v/>
      </c>
      <c r="W5798" s="66" t="str">
        <f>IFERROR(VLOOKUP($O5798,'Customer List'!$A$1:$J$488,10,FALSE),"")</f>
        <v/>
      </c>
    </row>
    <row r="5799" spans="18:23">
      <c r="R5799" s="97">
        <f t="shared" si="246"/>
        <v>0</v>
      </c>
      <c r="T5799" s="98">
        <f t="shared" si="247"/>
        <v>0</v>
      </c>
      <c r="U5799" s="99" t="str">
        <f>IFERROR(IF(#REF!="S",VLOOKUP('Raw Data'!A5799,References!#REF!,2,FALSE),(VLOOKUP($S5799,References!$B$3:$C$8,2,FALSE))),"")</f>
        <v/>
      </c>
      <c r="W5799" s="66" t="str">
        <f>IFERROR(VLOOKUP($O5799,'Customer List'!$A$1:$J$488,10,FALSE),"")</f>
        <v/>
      </c>
    </row>
    <row r="5800" spans="18:23">
      <c r="R5800" s="97">
        <f t="shared" ref="R5800:R5863" si="248">L5800-K5800</f>
        <v>0</v>
      </c>
      <c r="T5800" s="98">
        <f t="shared" si="247"/>
        <v>0</v>
      </c>
      <c r="U5800" s="99" t="str">
        <f>IFERROR(IF(#REF!="S",VLOOKUP('Raw Data'!A5800,References!#REF!,2,FALSE),(VLOOKUP($S5800,References!$B$3:$C$8,2,FALSE))),"")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48"/>
        <v>0</v>
      </c>
      <c r="T5801" s="98">
        <f t="shared" si="247"/>
        <v>0</v>
      </c>
      <c r="U5801" s="99" t="str">
        <f>IFERROR(IF(#REF!="S",VLOOKUP('Raw Data'!A5801,References!#REF!,2,FALSE),(VLOOKUP($S5801,References!$B$3:$C$8,2,FALSE))),"")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48"/>
        <v>0</v>
      </c>
      <c r="T5802" s="98">
        <f t="shared" si="247"/>
        <v>0</v>
      </c>
      <c r="U5802" s="99" t="str">
        <f>IFERROR(IF(#REF!="S",VLOOKUP('Raw Data'!A5802,References!#REF!,2,FALSE),(VLOOKUP($S5802,References!$B$3:$C$8,2,FALSE))),"")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48"/>
        <v>0</v>
      </c>
      <c r="T5803" s="98">
        <f t="shared" si="247"/>
        <v>0</v>
      </c>
      <c r="U5803" s="99" t="str">
        <f>IFERROR(IF(#REF!="S",VLOOKUP('Raw Data'!A5803,References!#REF!,2,FALSE),(VLOOKUP($S5803,References!$B$3:$C$8,2,FALSE))),"")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48"/>
        <v>0</v>
      </c>
      <c r="T5804" s="98">
        <f t="shared" si="247"/>
        <v>0</v>
      </c>
      <c r="U5804" s="99" t="str">
        <f>IFERROR(IF(#REF!="S",VLOOKUP('Raw Data'!A5804,References!#REF!,2,FALSE),(VLOOKUP($S5804,References!$B$3:$C$8,2,FALSE))),"")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48"/>
        <v>0</v>
      </c>
      <c r="T5805" s="98">
        <f t="shared" si="247"/>
        <v>0</v>
      </c>
      <c r="U5805" s="99" t="str">
        <f>IFERROR(IF(#REF!="S",VLOOKUP('Raw Data'!A5805,References!#REF!,2,FALSE),(VLOOKUP($S5805,References!$B$3:$C$8,2,FALSE))),"")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48"/>
        <v>0</v>
      </c>
      <c r="T5806" s="98">
        <f t="shared" si="247"/>
        <v>0</v>
      </c>
      <c r="U5806" s="99" t="str">
        <f>IFERROR(IF(#REF!="S",VLOOKUP('Raw Data'!A5806,References!#REF!,2,FALSE),(VLOOKUP($S5806,References!$B$3:$C$8,2,FALSE))),"")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48"/>
        <v>0</v>
      </c>
      <c r="T5807" s="98">
        <f t="shared" si="247"/>
        <v>0</v>
      </c>
      <c r="U5807" s="99" t="str">
        <f>IFERROR(IF(#REF!="S",VLOOKUP('Raw Data'!A5807,References!#REF!,2,FALSE),(VLOOKUP($S5807,References!$B$3:$C$8,2,FALSE))),"")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48"/>
        <v>0</v>
      </c>
      <c r="T5808" s="98">
        <f t="shared" si="247"/>
        <v>0</v>
      </c>
      <c r="U5808" s="99" t="str">
        <f>IFERROR(IF(#REF!="S",VLOOKUP('Raw Data'!A5808,References!#REF!,2,FALSE),(VLOOKUP($S5808,References!$B$3:$C$8,2,FALSE))),"")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48"/>
        <v>0</v>
      </c>
      <c r="T5809" s="98">
        <f t="shared" si="247"/>
        <v>0</v>
      </c>
      <c r="U5809" s="99" t="str">
        <f>IFERROR(IF(#REF!="S",VLOOKUP('Raw Data'!A5809,References!#REF!,2,FALSE),(VLOOKUP($S5809,References!$B$3:$C$8,2,FALSE))),"")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48"/>
        <v>0</v>
      </c>
      <c r="T5810" s="98">
        <f t="shared" si="247"/>
        <v>0</v>
      </c>
      <c r="U5810" s="99" t="str">
        <f>IFERROR(IF(#REF!="S",VLOOKUP('Raw Data'!A5810,References!#REF!,2,FALSE),(VLOOKUP($S5810,References!$B$3:$C$8,2,FALSE))),"")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48"/>
        <v>0</v>
      </c>
      <c r="T5811" s="98">
        <f t="shared" si="247"/>
        <v>0</v>
      </c>
      <c r="U5811" s="99" t="str">
        <f>IFERROR(IF(#REF!="S",VLOOKUP('Raw Data'!A5811,References!#REF!,2,FALSE),(VLOOKUP($S5811,References!$B$3:$C$8,2,FALSE))),"")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48"/>
        <v>0</v>
      </c>
      <c r="T5812" s="98">
        <f t="shared" si="247"/>
        <v>0</v>
      </c>
      <c r="U5812" s="99" t="str">
        <f>IFERROR(IF(#REF!="S",VLOOKUP('Raw Data'!A5812,References!#REF!,2,FALSE),(VLOOKUP($S5812,References!$B$3:$C$8,2,FALSE))),"")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48"/>
        <v>0</v>
      </c>
      <c r="T5813" s="98">
        <f t="shared" si="247"/>
        <v>0</v>
      </c>
      <c r="U5813" s="99" t="str">
        <f>IFERROR(IF(#REF!="S",VLOOKUP('Raw Data'!A5813,References!#REF!,2,FALSE),(VLOOKUP($S5813,References!$B$3:$C$8,2,FALSE))),"")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48"/>
        <v>0</v>
      </c>
      <c r="T5814" s="98">
        <f t="shared" si="247"/>
        <v>0</v>
      </c>
      <c r="U5814" s="99" t="str">
        <f>IFERROR(IF(#REF!="S",VLOOKUP('Raw Data'!A5814,References!#REF!,2,FALSE),(VLOOKUP($S5814,References!$B$3:$C$8,2,FALSE))),"")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48"/>
        <v>0</v>
      </c>
      <c r="T5815" s="98">
        <f t="shared" si="247"/>
        <v>0</v>
      </c>
      <c r="U5815" s="99" t="str">
        <f>IFERROR(IF(#REF!="S",VLOOKUP('Raw Data'!A5815,References!#REF!,2,FALSE),(VLOOKUP($S5815,References!$B$3:$C$8,2,FALSE))),"")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48"/>
        <v>0</v>
      </c>
      <c r="T5816" s="98">
        <f t="shared" si="247"/>
        <v>0</v>
      </c>
      <c r="U5816" s="99" t="str">
        <f>IFERROR(IF(#REF!="S",VLOOKUP('Raw Data'!A5816,References!#REF!,2,FALSE),(VLOOKUP($S5816,References!$B$3:$C$8,2,FALSE))),"")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48"/>
        <v>0</v>
      </c>
      <c r="T5817" s="98">
        <f t="shared" si="247"/>
        <v>0</v>
      </c>
      <c r="U5817" s="99" t="str">
        <f>IFERROR(IF(#REF!="S",VLOOKUP('Raw Data'!A5817,References!#REF!,2,FALSE),(VLOOKUP($S5817,References!$B$3:$C$8,2,FALSE))),"")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48"/>
        <v>0</v>
      </c>
      <c r="T5818" s="98">
        <f t="shared" si="247"/>
        <v>0</v>
      </c>
      <c r="U5818" s="99" t="str">
        <f>IFERROR(IF(#REF!="S",VLOOKUP('Raw Data'!A5818,References!#REF!,2,FALSE),(VLOOKUP($S5818,References!$B$3:$C$8,2,FALSE))),"")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48"/>
        <v>0</v>
      </c>
      <c r="T5819" s="98">
        <f t="shared" si="247"/>
        <v>0</v>
      </c>
      <c r="U5819" s="99" t="str">
        <f>IFERROR(IF(#REF!="S",VLOOKUP('Raw Data'!A5819,References!#REF!,2,FALSE),(VLOOKUP($S5819,References!$B$3:$C$8,2,FALSE))),"")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48"/>
        <v>0</v>
      </c>
      <c r="T5820" s="98">
        <f t="shared" si="247"/>
        <v>0</v>
      </c>
      <c r="U5820" s="99" t="str">
        <f>IFERROR(IF(#REF!="S",VLOOKUP('Raw Data'!A5820,References!#REF!,2,FALSE),(VLOOKUP($S5820,References!$B$3:$C$8,2,FALSE))),"")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48"/>
        <v>0</v>
      </c>
      <c r="T5821" s="98">
        <f t="shared" si="247"/>
        <v>0</v>
      </c>
      <c r="U5821" s="99" t="str">
        <f>IFERROR(IF(#REF!="S",VLOOKUP('Raw Data'!A5821,References!#REF!,2,FALSE),(VLOOKUP($S5821,References!$B$3:$C$8,2,FALSE))),"")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48"/>
        <v>0</v>
      </c>
      <c r="T5822" s="98">
        <f t="shared" si="247"/>
        <v>0</v>
      </c>
      <c r="U5822" s="99" t="str">
        <f>IFERROR(IF(#REF!="S",VLOOKUP('Raw Data'!A5822,References!#REF!,2,FALSE),(VLOOKUP($S5822,References!$B$3:$C$8,2,FALSE))),"")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48"/>
        <v>0</v>
      </c>
      <c r="T5823" s="98">
        <f t="shared" si="247"/>
        <v>0</v>
      </c>
      <c r="U5823" s="99" t="str">
        <f>IFERROR(IF(#REF!="S",VLOOKUP('Raw Data'!A5823,References!#REF!,2,FALSE),(VLOOKUP($S5823,References!$B$3:$C$8,2,FALSE))),"")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48"/>
        <v>0</v>
      </c>
      <c r="T5824" s="98">
        <f t="shared" si="247"/>
        <v>0</v>
      </c>
      <c r="U5824" s="99" t="str">
        <f>IFERROR(IF(#REF!="S",VLOOKUP('Raw Data'!A5824,References!#REF!,2,FALSE),(VLOOKUP($S5824,References!$B$3:$C$8,2,FALSE))),"")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48"/>
        <v>0</v>
      </c>
      <c r="T5825" s="98">
        <f t="shared" si="247"/>
        <v>0</v>
      </c>
      <c r="U5825" s="99" t="str">
        <f>IFERROR(IF(#REF!="S",VLOOKUP('Raw Data'!A5825,References!#REF!,2,FALSE),(VLOOKUP($S5825,References!$B$3:$C$8,2,FALSE))),"")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48"/>
        <v>0</v>
      </c>
      <c r="T5826" s="98">
        <f t="shared" si="247"/>
        <v>0</v>
      </c>
      <c r="U5826" s="99" t="str">
        <f>IFERROR(IF(#REF!="S",VLOOKUP('Raw Data'!A5826,References!#REF!,2,FALSE),(VLOOKUP($S5826,References!$B$3:$C$8,2,FALSE))),"")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48"/>
        <v>0</v>
      </c>
      <c r="T5827" s="98">
        <f t="shared" si="247"/>
        <v>0</v>
      </c>
      <c r="U5827" s="99" t="str">
        <f>IFERROR(IF(#REF!="S",VLOOKUP('Raw Data'!A5827,References!#REF!,2,FALSE),(VLOOKUP($S5827,References!$B$3:$C$8,2,FALSE))),"")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48"/>
        <v>0</v>
      </c>
      <c r="T5828" s="98">
        <f t="shared" si="247"/>
        <v>0</v>
      </c>
      <c r="U5828" s="99" t="str">
        <f>IFERROR(IF(#REF!="S",VLOOKUP('Raw Data'!A5828,References!#REF!,2,FALSE),(VLOOKUP($S5828,References!$B$3:$C$8,2,FALSE))),"")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48"/>
        <v>0</v>
      </c>
      <c r="T5829" s="98">
        <f t="shared" si="247"/>
        <v>0</v>
      </c>
      <c r="U5829" s="99" t="str">
        <f>IFERROR(IF(#REF!="S",VLOOKUP('Raw Data'!A5829,References!#REF!,2,FALSE),(VLOOKUP($S5829,References!$B$3:$C$8,2,FALSE))),"")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48"/>
        <v>0</v>
      </c>
      <c r="T5830" s="98">
        <f t="shared" si="247"/>
        <v>0</v>
      </c>
      <c r="U5830" s="99" t="str">
        <f>IFERROR(IF(#REF!="S",VLOOKUP('Raw Data'!A5830,References!#REF!,2,FALSE),(VLOOKUP($S5830,References!$B$3:$C$8,2,FALSE))),"")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48"/>
        <v>0</v>
      </c>
      <c r="T5831" s="98">
        <f t="shared" si="247"/>
        <v>0</v>
      </c>
      <c r="U5831" s="99" t="str">
        <f>IFERROR(IF(#REF!="S",VLOOKUP('Raw Data'!A5831,References!#REF!,2,FALSE),(VLOOKUP($S5831,References!$B$3:$C$8,2,FALSE))),"")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48"/>
        <v>0</v>
      </c>
      <c r="T5832" s="98">
        <f t="shared" si="247"/>
        <v>0</v>
      </c>
      <c r="U5832" s="99" t="str">
        <f>IFERROR(IF(#REF!="S",VLOOKUP('Raw Data'!A5832,References!#REF!,2,FALSE),(VLOOKUP($S5832,References!$B$3:$C$8,2,FALSE))),"")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48"/>
        <v>0</v>
      </c>
      <c r="T5833" s="98">
        <f t="shared" si="247"/>
        <v>0</v>
      </c>
      <c r="U5833" s="99" t="str">
        <f>IFERROR(IF(#REF!="S",VLOOKUP('Raw Data'!A5833,References!#REF!,2,FALSE),(VLOOKUP($S5833,References!$B$3:$C$8,2,FALSE))),"")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48"/>
        <v>0</v>
      </c>
      <c r="T5834" s="98">
        <f t="shared" si="247"/>
        <v>0</v>
      </c>
      <c r="U5834" s="99" t="str">
        <f>IFERROR(IF(#REF!="S",VLOOKUP('Raw Data'!A5834,References!#REF!,2,FALSE),(VLOOKUP($S5834,References!$B$3:$C$8,2,FALSE))),"")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48"/>
        <v>0</v>
      </c>
      <c r="T5835" s="98">
        <f t="shared" si="247"/>
        <v>0</v>
      </c>
      <c r="U5835" s="99" t="str">
        <f>IFERROR(IF(#REF!="S",VLOOKUP('Raw Data'!A5835,References!#REF!,2,FALSE),(VLOOKUP($S5835,References!$B$3:$C$8,2,FALSE))),"")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48"/>
        <v>0</v>
      </c>
      <c r="T5836" s="98">
        <f t="shared" si="247"/>
        <v>0</v>
      </c>
      <c r="U5836" s="99" t="str">
        <f>IFERROR(IF(#REF!="S",VLOOKUP('Raw Data'!A5836,References!#REF!,2,FALSE),(VLOOKUP($S5836,References!$B$3:$C$8,2,FALSE))),"")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48"/>
        <v>0</v>
      </c>
      <c r="T5837" s="98">
        <f t="shared" si="247"/>
        <v>0</v>
      </c>
      <c r="U5837" s="99" t="str">
        <f>IFERROR(IF(#REF!="S",VLOOKUP('Raw Data'!A5837,References!#REF!,2,FALSE),(VLOOKUP($S5837,References!$B$3:$C$8,2,FALSE))),"")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48"/>
        <v>0</v>
      </c>
      <c r="T5838" s="98">
        <f t="shared" si="247"/>
        <v>0</v>
      </c>
      <c r="U5838" s="99" t="str">
        <f>IFERROR(IF(#REF!="S",VLOOKUP('Raw Data'!A5838,References!#REF!,2,FALSE),(VLOOKUP($S5838,References!$B$3:$C$8,2,FALSE))),"")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48"/>
        <v>0</v>
      </c>
      <c r="T5839" s="98">
        <f t="shared" si="247"/>
        <v>0</v>
      </c>
      <c r="U5839" s="99" t="str">
        <f>IFERROR(IF(#REF!="S",VLOOKUP('Raw Data'!A5839,References!#REF!,2,FALSE),(VLOOKUP($S5839,References!$B$3:$C$8,2,FALSE))),"")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48"/>
        <v>0</v>
      </c>
      <c r="T5840" s="98">
        <f t="shared" ref="T5840:T5903" si="249">IF(S5840="50 - Cleaning Fee",1,HOUR($R5840)+MINUTE(R5840)/60)</f>
        <v>0</v>
      </c>
      <c r="U5840" s="99" t="str">
        <f>IFERROR(IF(#REF!="S",VLOOKUP('Raw Data'!A5840,References!#REF!,2,FALSE),(VLOOKUP($S5840,References!$B$3:$C$8,2,FALSE))),"")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48"/>
        <v>0</v>
      </c>
      <c r="T5841" s="98">
        <f t="shared" si="249"/>
        <v>0</v>
      </c>
      <c r="U5841" s="99" t="str">
        <f>IFERROR(IF(#REF!="S",VLOOKUP('Raw Data'!A5841,References!#REF!,2,FALSE),(VLOOKUP($S5841,References!$B$3:$C$8,2,FALSE))),"")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48"/>
        <v>0</v>
      </c>
      <c r="T5842" s="98">
        <f t="shared" si="249"/>
        <v>0</v>
      </c>
      <c r="U5842" s="99" t="str">
        <f>IFERROR(IF(#REF!="S",VLOOKUP('Raw Data'!A5842,References!#REF!,2,FALSE),(VLOOKUP($S5842,References!$B$3:$C$8,2,FALSE))),"")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48"/>
        <v>0</v>
      </c>
      <c r="T5843" s="98">
        <f t="shared" si="249"/>
        <v>0</v>
      </c>
      <c r="U5843" s="99" t="str">
        <f>IFERROR(IF(#REF!="S",VLOOKUP('Raw Data'!A5843,References!#REF!,2,FALSE),(VLOOKUP($S5843,References!$B$3:$C$8,2,FALSE))),"")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48"/>
        <v>0</v>
      </c>
      <c r="T5844" s="98">
        <f t="shared" si="249"/>
        <v>0</v>
      </c>
      <c r="U5844" s="99" t="str">
        <f>IFERROR(IF(#REF!="S",VLOOKUP('Raw Data'!A5844,References!#REF!,2,FALSE),(VLOOKUP($S5844,References!$B$3:$C$8,2,FALSE))),"")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48"/>
        <v>0</v>
      </c>
      <c r="T5845" s="98">
        <f t="shared" si="249"/>
        <v>0</v>
      </c>
      <c r="U5845" s="99" t="str">
        <f>IFERROR(IF(#REF!="S",VLOOKUP('Raw Data'!A5845,References!#REF!,2,FALSE),(VLOOKUP($S5845,References!$B$3:$C$8,2,FALSE))),"")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48"/>
        <v>0</v>
      </c>
      <c r="T5846" s="98">
        <f t="shared" si="249"/>
        <v>0</v>
      </c>
      <c r="U5846" s="99" t="str">
        <f>IFERROR(IF(#REF!="S",VLOOKUP('Raw Data'!A5846,References!#REF!,2,FALSE),(VLOOKUP($S5846,References!$B$3:$C$8,2,FALSE))),"")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48"/>
        <v>0</v>
      </c>
      <c r="T5847" s="98">
        <f t="shared" si="249"/>
        <v>0</v>
      </c>
      <c r="U5847" s="99" t="str">
        <f>IFERROR(IF(#REF!="S",VLOOKUP('Raw Data'!A5847,References!#REF!,2,FALSE),(VLOOKUP($S5847,References!$B$3:$C$8,2,FALSE))),"")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48"/>
        <v>0</v>
      </c>
      <c r="T5848" s="98">
        <f t="shared" si="249"/>
        <v>0</v>
      </c>
      <c r="U5848" s="99" t="str">
        <f>IFERROR(IF(#REF!="S",VLOOKUP('Raw Data'!A5848,References!#REF!,2,FALSE),(VLOOKUP($S5848,References!$B$3:$C$8,2,FALSE))),"")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48"/>
        <v>0</v>
      </c>
      <c r="T5849" s="98">
        <f t="shared" si="249"/>
        <v>0</v>
      </c>
      <c r="U5849" s="99" t="str">
        <f>IFERROR(IF(#REF!="S",VLOOKUP('Raw Data'!A5849,References!#REF!,2,FALSE),(VLOOKUP($S5849,References!$B$3:$C$8,2,FALSE))),"")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48"/>
        <v>0</v>
      </c>
      <c r="T5850" s="98">
        <f t="shared" si="249"/>
        <v>0</v>
      </c>
      <c r="U5850" s="99" t="str">
        <f>IFERROR(IF(#REF!="S",VLOOKUP('Raw Data'!A5850,References!#REF!,2,FALSE),(VLOOKUP($S5850,References!$B$3:$C$8,2,FALSE))),"")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48"/>
        <v>0</v>
      </c>
      <c r="T5851" s="98">
        <f t="shared" si="249"/>
        <v>0</v>
      </c>
      <c r="U5851" s="99" t="str">
        <f>IFERROR(IF(#REF!="S",VLOOKUP('Raw Data'!A5851,References!#REF!,2,FALSE),(VLOOKUP($S5851,References!$B$3:$C$8,2,FALSE))),"")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48"/>
        <v>0</v>
      </c>
      <c r="T5852" s="98">
        <f t="shared" si="249"/>
        <v>0</v>
      </c>
      <c r="U5852" s="99" t="str">
        <f>IFERROR(IF(#REF!="S",VLOOKUP('Raw Data'!A5852,References!#REF!,2,FALSE),(VLOOKUP($S5852,References!$B$3:$C$8,2,FALSE))),"")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48"/>
        <v>0</v>
      </c>
      <c r="T5853" s="98">
        <f t="shared" si="249"/>
        <v>0</v>
      </c>
      <c r="U5853" s="99" t="str">
        <f>IFERROR(IF(#REF!="S",VLOOKUP('Raw Data'!A5853,References!#REF!,2,FALSE),(VLOOKUP($S5853,References!$B$3:$C$8,2,FALSE))),"")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48"/>
        <v>0</v>
      </c>
      <c r="T5854" s="98">
        <f t="shared" si="249"/>
        <v>0</v>
      </c>
      <c r="U5854" s="99" t="str">
        <f>IFERROR(IF(#REF!="S",VLOOKUP('Raw Data'!A5854,References!#REF!,2,FALSE),(VLOOKUP($S5854,References!$B$3:$C$8,2,FALSE))),"")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48"/>
        <v>0</v>
      </c>
      <c r="T5855" s="98">
        <f t="shared" si="249"/>
        <v>0</v>
      </c>
      <c r="U5855" s="99" t="str">
        <f>IFERROR(IF(#REF!="S",VLOOKUP('Raw Data'!A5855,References!#REF!,2,FALSE),(VLOOKUP($S5855,References!$B$3:$C$8,2,FALSE))),"")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48"/>
        <v>0</v>
      </c>
      <c r="T5856" s="98">
        <f t="shared" si="249"/>
        <v>0</v>
      </c>
      <c r="U5856" s="99" t="str">
        <f>IFERROR(IF(#REF!="S",VLOOKUP('Raw Data'!A5856,References!#REF!,2,FALSE),(VLOOKUP($S5856,References!$B$3:$C$8,2,FALSE))),"")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48"/>
        <v>0</v>
      </c>
      <c r="T5857" s="98">
        <f t="shared" si="249"/>
        <v>0</v>
      </c>
      <c r="U5857" s="99" t="str">
        <f>IFERROR(IF(#REF!="S",VLOOKUP('Raw Data'!A5857,References!#REF!,2,FALSE),(VLOOKUP($S5857,References!$B$3:$C$8,2,FALSE))),"")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48"/>
        <v>0</v>
      </c>
      <c r="T5858" s="98">
        <f t="shared" si="249"/>
        <v>0</v>
      </c>
      <c r="U5858" s="99" t="str">
        <f>IFERROR(IF(#REF!="S",VLOOKUP('Raw Data'!A5858,References!#REF!,2,FALSE),(VLOOKUP($S5858,References!$B$3:$C$8,2,FALSE))),"")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48"/>
        <v>0</v>
      </c>
      <c r="T5859" s="98">
        <f t="shared" si="249"/>
        <v>0</v>
      </c>
      <c r="U5859" s="99" t="str">
        <f>IFERROR(IF(#REF!="S",VLOOKUP('Raw Data'!A5859,References!#REF!,2,FALSE),(VLOOKUP($S5859,References!$B$3:$C$8,2,FALSE))),"")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48"/>
        <v>0</v>
      </c>
      <c r="T5860" s="98">
        <f t="shared" si="249"/>
        <v>0</v>
      </c>
      <c r="U5860" s="99" t="str">
        <f>IFERROR(IF(#REF!="S",VLOOKUP('Raw Data'!A5860,References!#REF!,2,FALSE),(VLOOKUP($S5860,References!$B$3:$C$8,2,FALSE))),"")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48"/>
        <v>0</v>
      </c>
      <c r="T5861" s="98">
        <f t="shared" si="249"/>
        <v>0</v>
      </c>
      <c r="U5861" s="99" t="str">
        <f>IFERROR(IF(#REF!="S",VLOOKUP('Raw Data'!A5861,References!#REF!,2,FALSE),(VLOOKUP($S5861,References!$B$3:$C$8,2,FALSE))),"")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48"/>
        <v>0</v>
      </c>
      <c r="T5862" s="98">
        <f t="shared" si="249"/>
        <v>0</v>
      </c>
      <c r="U5862" s="99" t="str">
        <f>IFERROR(IF(#REF!="S",VLOOKUP('Raw Data'!A5862,References!#REF!,2,FALSE),(VLOOKUP($S5862,References!$B$3:$C$8,2,FALSE))),"")</f>
        <v/>
      </c>
      <c r="W5862" s="66" t="str">
        <f>IFERROR(VLOOKUP($O5862,'Customer List'!$A$1:$J$488,10,FALSE),"")</f>
        <v/>
      </c>
    </row>
    <row r="5863" spans="18:23">
      <c r="R5863" s="97">
        <f t="shared" si="248"/>
        <v>0</v>
      </c>
      <c r="T5863" s="98">
        <f t="shared" si="249"/>
        <v>0</v>
      </c>
      <c r="U5863" s="99" t="str">
        <f>IFERROR(IF(#REF!="S",VLOOKUP('Raw Data'!A5863,References!#REF!,2,FALSE),(VLOOKUP($S5863,References!$B$3:$C$8,2,FALSE))),"")</f>
        <v/>
      </c>
      <c r="W5863" s="66" t="str">
        <f>IFERROR(VLOOKUP($O5863,'Customer List'!$A$1:$J$488,10,FALSE),"")</f>
        <v/>
      </c>
    </row>
    <row r="5864" spans="18:23">
      <c r="R5864" s="97">
        <f t="shared" ref="R5864:R5927" si="250">L5864-K5864</f>
        <v>0</v>
      </c>
      <c r="T5864" s="98">
        <f t="shared" si="249"/>
        <v>0</v>
      </c>
      <c r="U5864" s="99" t="str">
        <f>IFERROR(IF(#REF!="S",VLOOKUP('Raw Data'!A5864,References!#REF!,2,FALSE),(VLOOKUP($S5864,References!$B$3:$C$8,2,FALSE))),"")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0"/>
        <v>0</v>
      </c>
      <c r="T5865" s="98">
        <f t="shared" si="249"/>
        <v>0</v>
      </c>
      <c r="U5865" s="99" t="str">
        <f>IFERROR(IF(#REF!="S",VLOOKUP('Raw Data'!A5865,References!#REF!,2,FALSE),(VLOOKUP($S5865,References!$B$3:$C$8,2,FALSE))),"")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0"/>
        <v>0</v>
      </c>
      <c r="T5866" s="98">
        <f t="shared" si="249"/>
        <v>0</v>
      </c>
      <c r="U5866" s="99" t="str">
        <f>IFERROR(IF(#REF!="S",VLOOKUP('Raw Data'!A5866,References!#REF!,2,FALSE),(VLOOKUP($S5866,References!$B$3:$C$8,2,FALSE))),"")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0"/>
        <v>0</v>
      </c>
      <c r="T5867" s="98">
        <f t="shared" si="249"/>
        <v>0</v>
      </c>
      <c r="U5867" s="99" t="str">
        <f>IFERROR(IF(#REF!="S",VLOOKUP('Raw Data'!A5867,References!#REF!,2,FALSE),(VLOOKUP($S5867,References!$B$3:$C$8,2,FALSE))),"")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0"/>
        <v>0</v>
      </c>
      <c r="T5868" s="98">
        <f t="shared" si="249"/>
        <v>0</v>
      </c>
      <c r="U5868" s="99" t="str">
        <f>IFERROR(IF(#REF!="S",VLOOKUP('Raw Data'!A5868,References!#REF!,2,FALSE),(VLOOKUP($S5868,References!$B$3:$C$8,2,FALSE))),"")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0"/>
        <v>0</v>
      </c>
      <c r="T5869" s="98">
        <f t="shared" si="249"/>
        <v>0</v>
      </c>
      <c r="U5869" s="99" t="str">
        <f>IFERROR(IF(#REF!="S",VLOOKUP('Raw Data'!A5869,References!#REF!,2,FALSE),(VLOOKUP($S5869,References!$B$3:$C$8,2,FALSE))),"")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0"/>
        <v>0</v>
      </c>
      <c r="T5870" s="98">
        <f t="shared" si="249"/>
        <v>0</v>
      </c>
      <c r="U5870" s="99" t="str">
        <f>IFERROR(IF(#REF!="S",VLOOKUP('Raw Data'!A5870,References!#REF!,2,FALSE),(VLOOKUP($S5870,References!$B$3:$C$8,2,FALSE))),"")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0"/>
        <v>0</v>
      </c>
      <c r="T5871" s="98">
        <f t="shared" si="249"/>
        <v>0</v>
      </c>
      <c r="U5871" s="99" t="str">
        <f>IFERROR(IF(#REF!="S",VLOOKUP('Raw Data'!A5871,References!#REF!,2,FALSE),(VLOOKUP($S5871,References!$B$3:$C$8,2,FALSE))),"")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0"/>
        <v>0</v>
      </c>
      <c r="T5872" s="98">
        <f t="shared" si="249"/>
        <v>0</v>
      </c>
      <c r="U5872" s="99" t="str">
        <f>IFERROR(IF(#REF!="S",VLOOKUP('Raw Data'!A5872,References!#REF!,2,FALSE),(VLOOKUP($S5872,References!$B$3:$C$8,2,FALSE))),"")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0"/>
        <v>0</v>
      </c>
      <c r="T5873" s="98">
        <f t="shared" si="249"/>
        <v>0</v>
      </c>
      <c r="U5873" s="99" t="str">
        <f>IFERROR(IF(#REF!="S",VLOOKUP('Raw Data'!A5873,References!#REF!,2,FALSE),(VLOOKUP($S5873,References!$B$3:$C$8,2,FALSE))),"")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0"/>
        <v>0</v>
      </c>
      <c r="T5874" s="98">
        <f t="shared" si="249"/>
        <v>0</v>
      </c>
      <c r="U5874" s="99" t="str">
        <f>IFERROR(IF(#REF!="S",VLOOKUP('Raw Data'!A5874,References!#REF!,2,FALSE),(VLOOKUP($S5874,References!$B$3:$C$8,2,FALSE))),"")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0"/>
        <v>0</v>
      </c>
      <c r="T5875" s="98">
        <f t="shared" si="249"/>
        <v>0</v>
      </c>
      <c r="U5875" s="99" t="str">
        <f>IFERROR(IF(#REF!="S",VLOOKUP('Raw Data'!A5875,References!#REF!,2,FALSE),(VLOOKUP($S5875,References!$B$3:$C$8,2,FALSE))),"")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0"/>
        <v>0</v>
      </c>
      <c r="T5876" s="98">
        <f t="shared" si="249"/>
        <v>0</v>
      </c>
      <c r="U5876" s="99" t="str">
        <f>IFERROR(IF(#REF!="S",VLOOKUP('Raw Data'!A5876,References!#REF!,2,FALSE),(VLOOKUP($S5876,References!$B$3:$C$8,2,FALSE))),"")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0"/>
        <v>0</v>
      </c>
      <c r="T5877" s="98">
        <f t="shared" si="249"/>
        <v>0</v>
      </c>
      <c r="U5877" s="99" t="str">
        <f>IFERROR(IF(#REF!="S",VLOOKUP('Raw Data'!A5877,References!#REF!,2,FALSE),(VLOOKUP($S5877,References!$B$3:$C$8,2,FALSE))),"")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0"/>
        <v>0</v>
      </c>
      <c r="T5878" s="98">
        <f t="shared" si="249"/>
        <v>0</v>
      </c>
      <c r="U5878" s="99" t="str">
        <f>IFERROR(IF(#REF!="S",VLOOKUP('Raw Data'!A5878,References!#REF!,2,FALSE),(VLOOKUP($S5878,References!$B$3:$C$8,2,FALSE))),"")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0"/>
        <v>0</v>
      </c>
      <c r="T5879" s="98">
        <f t="shared" si="249"/>
        <v>0</v>
      </c>
      <c r="U5879" s="99" t="str">
        <f>IFERROR(IF(#REF!="S",VLOOKUP('Raw Data'!A5879,References!#REF!,2,FALSE),(VLOOKUP($S5879,References!$B$3:$C$8,2,FALSE))),"")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0"/>
        <v>0</v>
      </c>
      <c r="T5880" s="98">
        <f t="shared" si="249"/>
        <v>0</v>
      </c>
      <c r="U5880" s="99" t="str">
        <f>IFERROR(IF(#REF!="S",VLOOKUP('Raw Data'!A5880,References!#REF!,2,FALSE),(VLOOKUP($S5880,References!$B$3:$C$8,2,FALSE))),"")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0"/>
        <v>0</v>
      </c>
      <c r="T5881" s="98">
        <f t="shared" si="249"/>
        <v>0</v>
      </c>
      <c r="U5881" s="99" t="str">
        <f>IFERROR(IF(#REF!="S",VLOOKUP('Raw Data'!A5881,References!#REF!,2,FALSE),(VLOOKUP($S5881,References!$B$3:$C$8,2,FALSE))),"")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0"/>
        <v>0</v>
      </c>
      <c r="T5882" s="98">
        <f t="shared" si="249"/>
        <v>0</v>
      </c>
      <c r="U5882" s="99" t="str">
        <f>IFERROR(IF(#REF!="S",VLOOKUP('Raw Data'!A5882,References!#REF!,2,FALSE),(VLOOKUP($S5882,References!$B$3:$C$8,2,FALSE))),"")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0"/>
        <v>0</v>
      </c>
      <c r="T5883" s="98">
        <f t="shared" si="249"/>
        <v>0</v>
      </c>
      <c r="U5883" s="99" t="str">
        <f>IFERROR(IF(#REF!="S",VLOOKUP('Raw Data'!A5883,References!#REF!,2,FALSE),(VLOOKUP($S5883,References!$B$3:$C$8,2,FALSE))),"")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0"/>
        <v>0</v>
      </c>
      <c r="T5884" s="98">
        <f t="shared" si="249"/>
        <v>0</v>
      </c>
      <c r="U5884" s="99" t="str">
        <f>IFERROR(IF(#REF!="S",VLOOKUP('Raw Data'!A5884,References!#REF!,2,FALSE),(VLOOKUP($S5884,References!$B$3:$C$8,2,FALSE))),"")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0"/>
        <v>0</v>
      </c>
      <c r="T5885" s="98">
        <f t="shared" si="249"/>
        <v>0</v>
      </c>
      <c r="U5885" s="99" t="str">
        <f>IFERROR(IF(#REF!="S",VLOOKUP('Raw Data'!A5885,References!#REF!,2,FALSE),(VLOOKUP($S5885,References!$B$3:$C$8,2,FALSE))),"")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0"/>
        <v>0</v>
      </c>
      <c r="T5886" s="98">
        <f t="shared" si="249"/>
        <v>0</v>
      </c>
      <c r="U5886" s="99" t="str">
        <f>IFERROR(IF(#REF!="S",VLOOKUP('Raw Data'!A5886,References!#REF!,2,FALSE),(VLOOKUP($S5886,References!$B$3:$C$8,2,FALSE))),"")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0"/>
        <v>0</v>
      </c>
      <c r="T5887" s="98">
        <f t="shared" si="249"/>
        <v>0</v>
      </c>
      <c r="U5887" s="99" t="str">
        <f>IFERROR(IF(#REF!="S",VLOOKUP('Raw Data'!A5887,References!#REF!,2,FALSE),(VLOOKUP($S5887,References!$B$3:$C$8,2,FALSE))),"")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0"/>
        <v>0</v>
      </c>
      <c r="T5888" s="98">
        <f t="shared" si="249"/>
        <v>0</v>
      </c>
      <c r="U5888" s="99" t="str">
        <f>IFERROR(IF(#REF!="S",VLOOKUP('Raw Data'!A5888,References!#REF!,2,FALSE),(VLOOKUP($S5888,References!$B$3:$C$8,2,FALSE))),"")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0"/>
        <v>0</v>
      </c>
      <c r="T5889" s="98">
        <f t="shared" si="249"/>
        <v>0</v>
      </c>
      <c r="U5889" s="99" t="str">
        <f>IFERROR(IF(#REF!="S",VLOOKUP('Raw Data'!A5889,References!#REF!,2,FALSE),(VLOOKUP($S5889,References!$B$3:$C$8,2,FALSE))),"")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0"/>
        <v>0</v>
      </c>
      <c r="T5890" s="98">
        <f t="shared" si="249"/>
        <v>0</v>
      </c>
      <c r="U5890" s="99" t="str">
        <f>IFERROR(IF(#REF!="S",VLOOKUP('Raw Data'!A5890,References!#REF!,2,FALSE),(VLOOKUP($S5890,References!$B$3:$C$8,2,FALSE))),"")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0"/>
        <v>0</v>
      </c>
      <c r="T5891" s="98">
        <f t="shared" si="249"/>
        <v>0</v>
      </c>
      <c r="U5891" s="99" t="str">
        <f>IFERROR(IF(#REF!="S",VLOOKUP('Raw Data'!A5891,References!#REF!,2,FALSE),(VLOOKUP($S5891,References!$B$3:$C$8,2,FALSE))),"")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0"/>
        <v>0</v>
      </c>
      <c r="T5892" s="98">
        <f t="shared" si="249"/>
        <v>0</v>
      </c>
      <c r="U5892" s="99" t="str">
        <f>IFERROR(IF(#REF!="S",VLOOKUP('Raw Data'!A5892,References!#REF!,2,FALSE),(VLOOKUP($S5892,References!$B$3:$C$8,2,FALSE))),"")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0"/>
        <v>0</v>
      </c>
      <c r="T5893" s="98">
        <f t="shared" si="249"/>
        <v>0</v>
      </c>
      <c r="U5893" s="99" t="str">
        <f>IFERROR(IF(#REF!="S",VLOOKUP('Raw Data'!A5893,References!#REF!,2,FALSE),(VLOOKUP($S5893,References!$B$3:$C$8,2,FALSE))),"")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0"/>
        <v>0</v>
      </c>
      <c r="T5894" s="98">
        <f t="shared" si="249"/>
        <v>0</v>
      </c>
      <c r="U5894" s="99" t="str">
        <f>IFERROR(IF(#REF!="S",VLOOKUP('Raw Data'!A5894,References!#REF!,2,FALSE),(VLOOKUP($S5894,References!$B$3:$C$8,2,FALSE))),"")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0"/>
        <v>0</v>
      </c>
      <c r="T5895" s="98">
        <f t="shared" si="249"/>
        <v>0</v>
      </c>
      <c r="U5895" s="99" t="str">
        <f>IFERROR(IF(#REF!="S",VLOOKUP('Raw Data'!A5895,References!#REF!,2,FALSE),(VLOOKUP($S5895,References!$B$3:$C$8,2,FALSE))),"")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0"/>
        <v>0</v>
      </c>
      <c r="T5896" s="98">
        <f t="shared" si="249"/>
        <v>0</v>
      </c>
      <c r="U5896" s="99" t="str">
        <f>IFERROR(IF(#REF!="S",VLOOKUP('Raw Data'!A5896,References!#REF!,2,FALSE),(VLOOKUP($S5896,References!$B$3:$C$8,2,FALSE))),"")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0"/>
        <v>0</v>
      </c>
      <c r="T5897" s="98">
        <f t="shared" si="249"/>
        <v>0</v>
      </c>
      <c r="U5897" s="99" t="str">
        <f>IFERROR(IF(#REF!="S",VLOOKUP('Raw Data'!A5897,References!#REF!,2,FALSE),(VLOOKUP($S5897,References!$B$3:$C$8,2,FALSE))),"")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0"/>
        <v>0</v>
      </c>
      <c r="T5898" s="98">
        <f t="shared" si="249"/>
        <v>0</v>
      </c>
      <c r="U5898" s="99" t="str">
        <f>IFERROR(IF(#REF!="S",VLOOKUP('Raw Data'!A5898,References!#REF!,2,FALSE),(VLOOKUP($S5898,References!$B$3:$C$8,2,FALSE))),"")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0"/>
        <v>0</v>
      </c>
      <c r="T5899" s="98">
        <f t="shared" si="249"/>
        <v>0</v>
      </c>
      <c r="U5899" s="99" t="str">
        <f>IFERROR(IF(#REF!="S",VLOOKUP('Raw Data'!A5899,References!#REF!,2,FALSE),(VLOOKUP($S5899,References!$B$3:$C$8,2,FALSE))),"")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0"/>
        <v>0</v>
      </c>
      <c r="T5900" s="98">
        <f t="shared" si="249"/>
        <v>0</v>
      </c>
      <c r="U5900" s="99" t="str">
        <f>IFERROR(IF(#REF!="S",VLOOKUP('Raw Data'!A5900,References!#REF!,2,FALSE),(VLOOKUP($S5900,References!$B$3:$C$8,2,FALSE))),"")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0"/>
        <v>0</v>
      </c>
      <c r="T5901" s="98">
        <f t="shared" si="249"/>
        <v>0</v>
      </c>
      <c r="U5901" s="99" t="str">
        <f>IFERROR(IF(#REF!="S",VLOOKUP('Raw Data'!A5901,References!#REF!,2,FALSE),(VLOOKUP($S5901,References!$B$3:$C$8,2,FALSE))),"")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0"/>
        <v>0</v>
      </c>
      <c r="T5902" s="98">
        <f t="shared" si="249"/>
        <v>0</v>
      </c>
      <c r="U5902" s="99" t="str">
        <f>IFERROR(IF(#REF!="S",VLOOKUP('Raw Data'!A5902,References!#REF!,2,FALSE),(VLOOKUP($S5902,References!$B$3:$C$8,2,FALSE))),"")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0"/>
        <v>0</v>
      </c>
      <c r="T5903" s="98">
        <f t="shared" si="249"/>
        <v>0</v>
      </c>
      <c r="U5903" s="99" t="str">
        <f>IFERROR(IF(#REF!="S",VLOOKUP('Raw Data'!A5903,References!#REF!,2,FALSE),(VLOOKUP($S5903,References!$B$3:$C$8,2,FALSE))),"")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0"/>
        <v>0</v>
      </c>
      <c r="T5904" s="98">
        <f t="shared" ref="T5904:T5967" si="251">IF(S5904="50 - Cleaning Fee",1,HOUR($R5904)+MINUTE(R5904)/60)</f>
        <v>0</v>
      </c>
      <c r="U5904" s="99" t="str">
        <f>IFERROR(IF(#REF!="S",VLOOKUP('Raw Data'!A5904,References!#REF!,2,FALSE),(VLOOKUP($S5904,References!$B$3:$C$8,2,FALSE))),"")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0"/>
        <v>0</v>
      </c>
      <c r="T5905" s="98">
        <f t="shared" si="251"/>
        <v>0</v>
      </c>
      <c r="U5905" s="99" t="str">
        <f>IFERROR(IF(#REF!="S",VLOOKUP('Raw Data'!A5905,References!#REF!,2,FALSE),(VLOOKUP($S5905,References!$B$3:$C$8,2,FALSE))),"")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0"/>
        <v>0</v>
      </c>
      <c r="T5906" s="98">
        <f t="shared" si="251"/>
        <v>0</v>
      </c>
      <c r="U5906" s="99" t="str">
        <f>IFERROR(IF(#REF!="S",VLOOKUP('Raw Data'!A5906,References!#REF!,2,FALSE),(VLOOKUP($S5906,References!$B$3:$C$8,2,FALSE))),"")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0"/>
        <v>0</v>
      </c>
      <c r="T5907" s="98">
        <f t="shared" si="251"/>
        <v>0</v>
      </c>
      <c r="U5907" s="99" t="str">
        <f>IFERROR(IF(#REF!="S",VLOOKUP('Raw Data'!A5907,References!#REF!,2,FALSE),(VLOOKUP($S5907,References!$B$3:$C$8,2,FALSE))),"")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0"/>
        <v>0</v>
      </c>
      <c r="T5908" s="98">
        <f t="shared" si="251"/>
        <v>0</v>
      </c>
      <c r="U5908" s="99" t="str">
        <f>IFERROR(IF(#REF!="S",VLOOKUP('Raw Data'!A5908,References!#REF!,2,FALSE),(VLOOKUP($S5908,References!$B$3:$C$8,2,FALSE))),"")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0"/>
        <v>0</v>
      </c>
      <c r="T5909" s="98">
        <f t="shared" si="251"/>
        <v>0</v>
      </c>
      <c r="U5909" s="99" t="str">
        <f>IFERROR(IF(#REF!="S",VLOOKUP('Raw Data'!A5909,References!#REF!,2,FALSE),(VLOOKUP($S5909,References!$B$3:$C$8,2,FALSE))),"")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0"/>
        <v>0</v>
      </c>
      <c r="T5910" s="98">
        <f t="shared" si="251"/>
        <v>0</v>
      </c>
      <c r="U5910" s="99" t="str">
        <f>IFERROR(IF(#REF!="S",VLOOKUP('Raw Data'!A5910,References!#REF!,2,FALSE),(VLOOKUP($S5910,References!$B$3:$C$8,2,FALSE))),"")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0"/>
        <v>0</v>
      </c>
      <c r="T5911" s="98">
        <f t="shared" si="251"/>
        <v>0</v>
      </c>
      <c r="U5911" s="99" t="str">
        <f>IFERROR(IF(#REF!="S",VLOOKUP('Raw Data'!A5911,References!#REF!,2,FALSE),(VLOOKUP($S5911,References!$B$3:$C$8,2,FALSE))),"")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0"/>
        <v>0</v>
      </c>
      <c r="T5912" s="98">
        <f t="shared" si="251"/>
        <v>0</v>
      </c>
      <c r="U5912" s="99" t="str">
        <f>IFERROR(IF(#REF!="S",VLOOKUP('Raw Data'!A5912,References!#REF!,2,FALSE),(VLOOKUP($S5912,References!$B$3:$C$8,2,FALSE))),"")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0"/>
        <v>0</v>
      </c>
      <c r="T5913" s="98">
        <f t="shared" si="251"/>
        <v>0</v>
      </c>
      <c r="U5913" s="99" t="str">
        <f>IFERROR(IF(#REF!="S",VLOOKUP('Raw Data'!A5913,References!#REF!,2,FALSE),(VLOOKUP($S5913,References!$B$3:$C$8,2,FALSE))),"")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0"/>
        <v>0</v>
      </c>
      <c r="T5914" s="98">
        <f t="shared" si="251"/>
        <v>0</v>
      </c>
      <c r="U5914" s="99" t="str">
        <f>IFERROR(IF(#REF!="S",VLOOKUP('Raw Data'!A5914,References!#REF!,2,FALSE),(VLOOKUP($S5914,References!$B$3:$C$8,2,FALSE))),"")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0"/>
        <v>0</v>
      </c>
      <c r="T5915" s="98">
        <f t="shared" si="251"/>
        <v>0</v>
      </c>
      <c r="U5915" s="99" t="str">
        <f>IFERROR(IF(#REF!="S",VLOOKUP('Raw Data'!A5915,References!#REF!,2,FALSE),(VLOOKUP($S5915,References!$B$3:$C$8,2,FALSE))),"")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0"/>
        <v>0</v>
      </c>
      <c r="T5916" s="98">
        <f t="shared" si="251"/>
        <v>0</v>
      </c>
      <c r="U5916" s="99" t="str">
        <f>IFERROR(IF(#REF!="S",VLOOKUP('Raw Data'!A5916,References!#REF!,2,FALSE),(VLOOKUP($S5916,References!$B$3:$C$8,2,FALSE))),"")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0"/>
        <v>0</v>
      </c>
      <c r="T5917" s="98">
        <f t="shared" si="251"/>
        <v>0</v>
      </c>
      <c r="U5917" s="99" t="str">
        <f>IFERROR(IF(#REF!="S",VLOOKUP('Raw Data'!A5917,References!#REF!,2,FALSE),(VLOOKUP($S5917,References!$B$3:$C$8,2,FALSE))),"")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0"/>
        <v>0</v>
      </c>
      <c r="T5918" s="98">
        <f t="shared" si="251"/>
        <v>0</v>
      </c>
      <c r="U5918" s="99" t="str">
        <f>IFERROR(IF(#REF!="S",VLOOKUP('Raw Data'!A5918,References!#REF!,2,FALSE),(VLOOKUP($S5918,References!$B$3:$C$8,2,FALSE))),"")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0"/>
        <v>0</v>
      </c>
      <c r="T5919" s="98">
        <f t="shared" si="251"/>
        <v>0</v>
      </c>
      <c r="U5919" s="99" t="str">
        <f>IFERROR(IF(#REF!="S",VLOOKUP('Raw Data'!A5919,References!#REF!,2,FALSE),(VLOOKUP($S5919,References!$B$3:$C$8,2,FALSE))),"")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0"/>
        <v>0</v>
      </c>
      <c r="T5920" s="98">
        <f t="shared" si="251"/>
        <v>0</v>
      </c>
      <c r="U5920" s="99" t="str">
        <f>IFERROR(IF(#REF!="S",VLOOKUP('Raw Data'!A5920,References!#REF!,2,FALSE),(VLOOKUP($S5920,References!$B$3:$C$8,2,FALSE))),"")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0"/>
        <v>0</v>
      </c>
      <c r="T5921" s="98">
        <f t="shared" si="251"/>
        <v>0</v>
      </c>
      <c r="U5921" s="99" t="str">
        <f>IFERROR(IF(#REF!="S",VLOOKUP('Raw Data'!A5921,References!#REF!,2,FALSE),(VLOOKUP($S5921,References!$B$3:$C$8,2,FALSE))),"")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0"/>
        <v>0</v>
      </c>
      <c r="T5922" s="98">
        <f t="shared" si="251"/>
        <v>0</v>
      </c>
      <c r="U5922" s="99" t="str">
        <f>IFERROR(IF(#REF!="S",VLOOKUP('Raw Data'!A5922,References!#REF!,2,FALSE),(VLOOKUP($S5922,References!$B$3:$C$8,2,FALSE))),"")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0"/>
        <v>0</v>
      </c>
      <c r="T5923" s="98">
        <f t="shared" si="251"/>
        <v>0</v>
      </c>
      <c r="U5923" s="99" t="str">
        <f>IFERROR(IF(#REF!="S",VLOOKUP('Raw Data'!A5923,References!#REF!,2,FALSE),(VLOOKUP($S5923,References!$B$3:$C$8,2,FALSE))),"")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0"/>
        <v>0</v>
      </c>
      <c r="T5924" s="98">
        <f t="shared" si="251"/>
        <v>0</v>
      </c>
      <c r="U5924" s="99" t="str">
        <f>IFERROR(IF(#REF!="S",VLOOKUP('Raw Data'!A5924,References!#REF!,2,FALSE),(VLOOKUP($S5924,References!$B$3:$C$8,2,FALSE))),"")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0"/>
        <v>0</v>
      </c>
      <c r="T5925" s="98">
        <f t="shared" si="251"/>
        <v>0</v>
      </c>
      <c r="U5925" s="99" t="str">
        <f>IFERROR(IF(#REF!="S",VLOOKUP('Raw Data'!A5925,References!#REF!,2,FALSE),(VLOOKUP($S5925,References!$B$3:$C$8,2,FALSE))),"")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0"/>
        <v>0</v>
      </c>
      <c r="T5926" s="98">
        <f t="shared" si="251"/>
        <v>0</v>
      </c>
      <c r="U5926" s="99" t="str">
        <f>IFERROR(IF(#REF!="S",VLOOKUP('Raw Data'!A5926,References!#REF!,2,FALSE),(VLOOKUP($S5926,References!$B$3:$C$8,2,FALSE))),"")</f>
        <v/>
      </c>
      <c r="W5926" s="66" t="str">
        <f>IFERROR(VLOOKUP($O5926,'Customer List'!$A$1:$J$488,10,FALSE),"")</f>
        <v/>
      </c>
    </row>
    <row r="5927" spans="18:23">
      <c r="R5927" s="97">
        <f t="shared" si="250"/>
        <v>0</v>
      </c>
      <c r="T5927" s="98">
        <f t="shared" si="251"/>
        <v>0</v>
      </c>
      <c r="U5927" s="99" t="str">
        <f>IFERROR(IF(#REF!="S",VLOOKUP('Raw Data'!A5927,References!#REF!,2,FALSE),(VLOOKUP($S5927,References!$B$3:$C$8,2,FALSE))),"")</f>
        <v/>
      </c>
      <c r="W5927" s="66" t="str">
        <f>IFERROR(VLOOKUP($O5927,'Customer List'!$A$1:$J$488,10,FALSE),"")</f>
        <v/>
      </c>
    </row>
    <row r="5928" spans="18:23">
      <c r="R5928" s="97">
        <f t="shared" ref="R5928:R5991" si="252">L5928-K5928</f>
        <v>0</v>
      </c>
      <c r="T5928" s="98">
        <f t="shared" si="251"/>
        <v>0</v>
      </c>
      <c r="U5928" s="99" t="str">
        <f>IFERROR(IF(#REF!="S",VLOOKUP('Raw Data'!A5928,References!#REF!,2,FALSE),(VLOOKUP($S5928,References!$B$3:$C$8,2,FALSE))),"")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2"/>
        <v>0</v>
      </c>
      <c r="T5929" s="98">
        <f t="shared" si="251"/>
        <v>0</v>
      </c>
      <c r="U5929" s="99" t="str">
        <f>IFERROR(IF(#REF!="S",VLOOKUP('Raw Data'!A5929,References!#REF!,2,FALSE),(VLOOKUP($S5929,References!$B$3:$C$8,2,FALSE))),"")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2"/>
        <v>0</v>
      </c>
      <c r="T5930" s="98">
        <f t="shared" si="251"/>
        <v>0</v>
      </c>
      <c r="U5930" s="99" t="str">
        <f>IFERROR(IF(#REF!="S",VLOOKUP('Raw Data'!A5930,References!#REF!,2,FALSE),(VLOOKUP($S5930,References!$B$3:$C$8,2,FALSE))),"")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2"/>
        <v>0</v>
      </c>
      <c r="T5931" s="98">
        <f t="shared" si="251"/>
        <v>0</v>
      </c>
      <c r="U5931" s="99" t="str">
        <f>IFERROR(IF(#REF!="S",VLOOKUP('Raw Data'!A5931,References!#REF!,2,FALSE),(VLOOKUP($S5931,References!$B$3:$C$8,2,FALSE))),"")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2"/>
        <v>0</v>
      </c>
      <c r="T5932" s="98">
        <f t="shared" si="251"/>
        <v>0</v>
      </c>
      <c r="U5932" s="99" t="str">
        <f>IFERROR(IF(#REF!="S",VLOOKUP('Raw Data'!A5932,References!#REF!,2,FALSE),(VLOOKUP($S5932,References!$B$3:$C$8,2,FALSE))),"")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2"/>
        <v>0</v>
      </c>
      <c r="T5933" s="98">
        <f t="shared" si="251"/>
        <v>0</v>
      </c>
      <c r="U5933" s="99" t="str">
        <f>IFERROR(IF(#REF!="S",VLOOKUP('Raw Data'!A5933,References!#REF!,2,FALSE),(VLOOKUP($S5933,References!$B$3:$C$8,2,FALSE))),"")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2"/>
        <v>0</v>
      </c>
      <c r="T5934" s="98">
        <f t="shared" si="251"/>
        <v>0</v>
      </c>
      <c r="U5934" s="99" t="str">
        <f>IFERROR(IF(#REF!="S",VLOOKUP('Raw Data'!A5934,References!#REF!,2,FALSE),(VLOOKUP($S5934,References!$B$3:$C$8,2,FALSE))),"")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2"/>
        <v>0</v>
      </c>
      <c r="T5935" s="98">
        <f t="shared" si="251"/>
        <v>0</v>
      </c>
      <c r="U5935" s="99" t="str">
        <f>IFERROR(IF(#REF!="S",VLOOKUP('Raw Data'!A5935,References!#REF!,2,FALSE),(VLOOKUP($S5935,References!$B$3:$C$8,2,FALSE))),"")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2"/>
        <v>0</v>
      </c>
      <c r="T5936" s="98">
        <f t="shared" si="251"/>
        <v>0</v>
      </c>
      <c r="U5936" s="99" t="str">
        <f>IFERROR(IF(#REF!="S",VLOOKUP('Raw Data'!A5936,References!#REF!,2,FALSE),(VLOOKUP($S5936,References!$B$3:$C$8,2,FALSE))),"")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2"/>
        <v>0</v>
      </c>
      <c r="T5937" s="98">
        <f t="shared" si="251"/>
        <v>0</v>
      </c>
      <c r="U5937" s="99" t="str">
        <f>IFERROR(IF(#REF!="S",VLOOKUP('Raw Data'!A5937,References!#REF!,2,FALSE),(VLOOKUP($S5937,References!$B$3:$C$8,2,FALSE))),"")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2"/>
        <v>0</v>
      </c>
      <c r="T5938" s="98">
        <f t="shared" si="251"/>
        <v>0</v>
      </c>
      <c r="U5938" s="99" t="str">
        <f>IFERROR(IF(#REF!="S",VLOOKUP('Raw Data'!A5938,References!#REF!,2,FALSE),(VLOOKUP($S5938,References!$B$3:$C$8,2,FALSE))),"")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2"/>
        <v>0</v>
      </c>
      <c r="T5939" s="98">
        <f t="shared" si="251"/>
        <v>0</v>
      </c>
      <c r="U5939" s="99" t="str">
        <f>IFERROR(IF(#REF!="S",VLOOKUP('Raw Data'!A5939,References!#REF!,2,FALSE),(VLOOKUP($S5939,References!$B$3:$C$8,2,FALSE))),"")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2"/>
        <v>0</v>
      </c>
      <c r="T5940" s="98">
        <f t="shared" si="251"/>
        <v>0</v>
      </c>
      <c r="U5940" s="99" t="str">
        <f>IFERROR(IF(#REF!="S",VLOOKUP('Raw Data'!A5940,References!#REF!,2,FALSE),(VLOOKUP($S5940,References!$B$3:$C$8,2,FALSE))),"")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2"/>
        <v>0</v>
      </c>
      <c r="T5941" s="98">
        <f t="shared" si="251"/>
        <v>0</v>
      </c>
      <c r="U5941" s="99" t="str">
        <f>IFERROR(IF(#REF!="S",VLOOKUP('Raw Data'!A5941,References!#REF!,2,FALSE),(VLOOKUP($S5941,References!$B$3:$C$8,2,FALSE))),"")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2"/>
        <v>0</v>
      </c>
      <c r="T5942" s="98">
        <f t="shared" si="251"/>
        <v>0</v>
      </c>
      <c r="U5942" s="99" t="str">
        <f>IFERROR(IF(#REF!="S",VLOOKUP('Raw Data'!A5942,References!#REF!,2,FALSE),(VLOOKUP($S5942,References!$B$3:$C$8,2,FALSE))),"")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2"/>
        <v>0</v>
      </c>
      <c r="T5943" s="98">
        <f t="shared" si="251"/>
        <v>0</v>
      </c>
      <c r="U5943" s="99" t="str">
        <f>IFERROR(IF(#REF!="S",VLOOKUP('Raw Data'!A5943,References!#REF!,2,FALSE),(VLOOKUP($S5943,References!$B$3:$C$8,2,FALSE))),"")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2"/>
        <v>0</v>
      </c>
      <c r="T5944" s="98">
        <f t="shared" si="251"/>
        <v>0</v>
      </c>
      <c r="U5944" s="99" t="str">
        <f>IFERROR(IF(#REF!="S",VLOOKUP('Raw Data'!A5944,References!#REF!,2,FALSE),(VLOOKUP($S5944,References!$B$3:$C$8,2,FALSE))),"")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2"/>
        <v>0</v>
      </c>
      <c r="T5945" s="98">
        <f t="shared" si="251"/>
        <v>0</v>
      </c>
      <c r="U5945" s="99" t="str">
        <f>IFERROR(IF(#REF!="S",VLOOKUP('Raw Data'!A5945,References!#REF!,2,FALSE),(VLOOKUP($S5945,References!$B$3:$C$8,2,FALSE))),"")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2"/>
        <v>0</v>
      </c>
      <c r="T5946" s="98">
        <f t="shared" si="251"/>
        <v>0</v>
      </c>
      <c r="U5946" s="99" t="str">
        <f>IFERROR(IF(#REF!="S",VLOOKUP('Raw Data'!A5946,References!#REF!,2,FALSE),(VLOOKUP($S5946,References!$B$3:$C$8,2,FALSE))),"")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2"/>
        <v>0</v>
      </c>
      <c r="T5947" s="98">
        <f t="shared" si="251"/>
        <v>0</v>
      </c>
      <c r="U5947" s="99" t="str">
        <f>IFERROR(IF(#REF!="S",VLOOKUP('Raw Data'!A5947,References!#REF!,2,FALSE),(VLOOKUP($S5947,References!$B$3:$C$8,2,FALSE))),"")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2"/>
        <v>0</v>
      </c>
      <c r="T5948" s="98">
        <f t="shared" si="251"/>
        <v>0</v>
      </c>
      <c r="U5948" s="99" t="str">
        <f>IFERROR(IF(#REF!="S",VLOOKUP('Raw Data'!A5948,References!#REF!,2,FALSE),(VLOOKUP($S5948,References!$B$3:$C$8,2,FALSE))),"")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2"/>
        <v>0</v>
      </c>
      <c r="T5949" s="98">
        <f t="shared" si="251"/>
        <v>0</v>
      </c>
      <c r="U5949" s="99" t="str">
        <f>IFERROR(IF(#REF!="S",VLOOKUP('Raw Data'!A5949,References!#REF!,2,FALSE),(VLOOKUP($S5949,References!$B$3:$C$8,2,FALSE))),"")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2"/>
        <v>0</v>
      </c>
      <c r="T5950" s="98">
        <f t="shared" si="251"/>
        <v>0</v>
      </c>
      <c r="U5950" s="99" t="str">
        <f>IFERROR(IF(#REF!="S",VLOOKUP('Raw Data'!A5950,References!#REF!,2,FALSE),(VLOOKUP($S5950,References!$B$3:$C$8,2,FALSE))),"")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2"/>
        <v>0</v>
      </c>
      <c r="T5951" s="98">
        <f t="shared" si="251"/>
        <v>0</v>
      </c>
      <c r="U5951" s="99" t="str">
        <f>IFERROR(IF(#REF!="S",VLOOKUP('Raw Data'!A5951,References!#REF!,2,FALSE),(VLOOKUP($S5951,References!$B$3:$C$8,2,FALSE))),"")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2"/>
        <v>0</v>
      </c>
      <c r="T5952" s="98">
        <f t="shared" si="251"/>
        <v>0</v>
      </c>
      <c r="U5952" s="99" t="str">
        <f>IFERROR(IF(#REF!="S",VLOOKUP('Raw Data'!A5952,References!#REF!,2,FALSE),(VLOOKUP($S5952,References!$B$3:$C$8,2,FALSE))),"")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2"/>
        <v>0</v>
      </c>
      <c r="T5953" s="98">
        <f t="shared" si="251"/>
        <v>0</v>
      </c>
      <c r="U5953" s="99" t="str">
        <f>IFERROR(IF(#REF!="S",VLOOKUP('Raw Data'!A5953,References!#REF!,2,FALSE),(VLOOKUP($S5953,References!$B$3:$C$8,2,FALSE))),"")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2"/>
        <v>0</v>
      </c>
      <c r="T5954" s="98">
        <f t="shared" si="251"/>
        <v>0</v>
      </c>
      <c r="U5954" s="99" t="str">
        <f>IFERROR(IF(#REF!="S",VLOOKUP('Raw Data'!A5954,References!#REF!,2,FALSE),(VLOOKUP($S5954,References!$B$3:$C$8,2,FALSE))),"")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2"/>
        <v>0</v>
      </c>
      <c r="T5955" s="98">
        <f t="shared" si="251"/>
        <v>0</v>
      </c>
      <c r="U5955" s="99" t="str">
        <f>IFERROR(IF(#REF!="S",VLOOKUP('Raw Data'!A5955,References!#REF!,2,FALSE),(VLOOKUP($S5955,References!$B$3:$C$8,2,FALSE))),"")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2"/>
        <v>0</v>
      </c>
      <c r="T5956" s="98">
        <f t="shared" si="251"/>
        <v>0</v>
      </c>
      <c r="U5956" s="99" t="str">
        <f>IFERROR(IF(#REF!="S",VLOOKUP('Raw Data'!A5956,References!#REF!,2,FALSE),(VLOOKUP($S5956,References!$B$3:$C$8,2,FALSE))),"")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2"/>
        <v>0</v>
      </c>
      <c r="T5957" s="98">
        <f t="shared" si="251"/>
        <v>0</v>
      </c>
      <c r="U5957" s="99" t="str">
        <f>IFERROR(IF(#REF!="S",VLOOKUP('Raw Data'!A5957,References!#REF!,2,FALSE),(VLOOKUP($S5957,References!$B$3:$C$8,2,FALSE))),"")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2"/>
        <v>0</v>
      </c>
      <c r="T5958" s="98">
        <f t="shared" si="251"/>
        <v>0</v>
      </c>
      <c r="U5958" s="99" t="str">
        <f>IFERROR(IF(#REF!="S",VLOOKUP('Raw Data'!A5958,References!#REF!,2,FALSE),(VLOOKUP($S5958,References!$B$3:$C$8,2,FALSE))),"")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2"/>
        <v>0</v>
      </c>
      <c r="T5959" s="98">
        <f t="shared" si="251"/>
        <v>0</v>
      </c>
      <c r="U5959" s="99" t="str">
        <f>IFERROR(IF(#REF!="S",VLOOKUP('Raw Data'!A5959,References!#REF!,2,FALSE),(VLOOKUP($S5959,References!$B$3:$C$8,2,FALSE))),"")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2"/>
        <v>0</v>
      </c>
      <c r="T5960" s="98">
        <f t="shared" si="251"/>
        <v>0</v>
      </c>
      <c r="U5960" s="99" t="str">
        <f>IFERROR(IF(#REF!="S",VLOOKUP('Raw Data'!A5960,References!#REF!,2,FALSE),(VLOOKUP($S5960,References!$B$3:$C$8,2,FALSE))),"")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2"/>
        <v>0</v>
      </c>
      <c r="T5961" s="98">
        <f t="shared" si="251"/>
        <v>0</v>
      </c>
      <c r="U5961" s="99" t="str">
        <f>IFERROR(IF(#REF!="S",VLOOKUP('Raw Data'!A5961,References!#REF!,2,FALSE),(VLOOKUP($S5961,References!$B$3:$C$8,2,FALSE))),"")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2"/>
        <v>0</v>
      </c>
      <c r="T5962" s="98">
        <f t="shared" si="251"/>
        <v>0</v>
      </c>
      <c r="U5962" s="99" t="str">
        <f>IFERROR(IF(#REF!="S",VLOOKUP('Raw Data'!A5962,References!#REF!,2,FALSE),(VLOOKUP($S5962,References!$B$3:$C$8,2,FALSE))),"")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2"/>
        <v>0</v>
      </c>
      <c r="T5963" s="98">
        <f t="shared" si="251"/>
        <v>0</v>
      </c>
      <c r="U5963" s="99" t="str">
        <f>IFERROR(IF(#REF!="S",VLOOKUP('Raw Data'!A5963,References!#REF!,2,FALSE),(VLOOKUP($S5963,References!$B$3:$C$8,2,FALSE))),"")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2"/>
        <v>0</v>
      </c>
      <c r="T5964" s="98">
        <f t="shared" si="251"/>
        <v>0</v>
      </c>
      <c r="U5964" s="99" t="str">
        <f>IFERROR(IF(#REF!="S",VLOOKUP('Raw Data'!A5964,References!#REF!,2,FALSE),(VLOOKUP($S5964,References!$B$3:$C$8,2,FALSE))),"")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2"/>
        <v>0</v>
      </c>
      <c r="T5965" s="98">
        <f t="shared" si="251"/>
        <v>0</v>
      </c>
      <c r="U5965" s="99" t="str">
        <f>IFERROR(IF(#REF!="S",VLOOKUP('Raw Data'!A5965,References!#REF!,2,FALSE),(VLOOKUP($S5965,References!$B$3:$C$8,2,FALSE))),"")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2"/>
        <v>0</v>
      </c>
      <c r="T5966" s="98">
        <f t="shared" si="251"/>
        <v>0</v>
      </c>
      <c r="U5966" s="99" t="str">
        <f>IFERROR(IF(#REF!="S",VLOOKUP('Raw Data'!A5966,References!#REF!,2,FALSE),(VLOOKUP($S5966,References!$B$3:$C$8,2,FALSE))),"")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2"/>
        <v>0</v>
      </c>
      <c r="T5967" s="98">
        <f t="shared" si="251"/>
        <v>0</v>
      </c>
      <c r="U5967" s="99" t="str">
        <f>IFERROR(IF(#REF!="S",VLOOKUP('Raw Data'!A5967,References!#REF!,2,FALSE),(VLOOKUP($S5967,References!$B$3:$C$8,2,FALSE))),"")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2"/>
        <v>0</v>
      </c>
      <c r="T5968" s="98">
        <f t="shared" ref="T5968:T6031" si="253">IF(S5968="50 - Cleaning Fee",1,HOUR($R5968)+MINUTE(R5968)/60)</f>
        <v>0</v>
      </c>
      <c r="U5968" s="99" t="str">
        <f>IFERROR(IF(#REF!="S",VLOOKUP('Raw Data'!A5968,References!#REF!,2,FALSE),(VLOOKUP($S5968,References!$B$3:$C$8,2,FALSE))),"")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2"/>
        <v>0</v>
      </c>
      <c r="T5969" s="98">
        <f t="shared" si="253"/>
        <v>0</v>
      </c>
      <c r="U5969" s="99" t="str">
        <f>IFERROR(IF(#REF!="S",VLOOKUP('Raw Data'!A5969,References!#REF!,2,FALSE),(VLOOKUP($S5969,References!$B$3:$C$8,2,FALSE))),"")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2"/>
        <v>0</v>
      </c>
      <c r="T5970" s="98">
        <f t="shared" si="253"/>
        <v>0</v>
      </c>
      <c r="U5970" s="99" t="str">
        <f>IFERROR(IF(#REF!="S",VLOOKUP('Raw Data'!A5970,References!#REF!,2,FALSE),(VLOOKUP($S5970,References!$B$3:$C$8,2,FALSE))),"")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2"/>
        <v>0</v>
      </c>
      <c r="T5971" s="98">
        <f t="shared" si="253"/>
        <v>0</v>
      </c>
      <c r="U5971" s="99" t="str">
        <f>IFERROR(IF(#REF!="S",VLOOKUP('Raw Data'!A5971,References!#REF!,2,FALSE),(VLOOKUP($S5971,References!$B$3:$C$8,2,FALSE))),"")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2"/>
        <v>0</v>
      </c>
      <c r="T5972" s="98">
        <f t="shared" si="253"/>
        <v>0</v>
      </c>
      <c r="U5972" s="99" t="str">
        <f>IFERROR(IF(#REF!="S",VLOOKUP('Raw Data'!A5972,References!#REF!,2,FALSE),(VLOOKUP($S5972,References!$B$3:$C$8,2,FALSE))),"")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2"/>
        <v>0</v>
      </c>
      <c r="T5973" s="98">
        <f t="shared" si="253"/>
        <v>0</v>
      </c>
      <c r="U5973" s="99" t="str">
        <f>IFERROR(IF(#REF!="S",VLOOKUP('Raw Data'!A5973,References!#REF!,2,FALSE),(VLOOKUP($S5973,References!$B$3:$C$8,2,FALSE))),"")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2"/>
        <v>0</v>
      </c>
      <c r="T5974" s="98">
        <f t="shared" si="253"/>
        <v>0</v>
      </c>
      <c r="U5974" s="99" t="str">
        <f>IFERROR(IF(#REF!="S",VLOOKUP('Raw Data'!A5974,References!#REF!,2,FALSE),(VLOOKUP($S5974,References!$B$3:$C$8,2,FALSE))),"")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2"/>
        <v>0</v>
      </c>
      <c r="T5975" s="98">
        <f t="shared" si="253"/>
        <v>0</v>
      </c>
      <c r="U5975" s="99" t="str">
        <f>IFERROR(IF(#REF!="S",VLOOKUP('Raw Data'!A5975,References!#REF!,2,FALSE),(VLOOKUP($S5975,References!$B$3:$C$8,2,FALSE))),"")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2"/>
        <v>0</v>
      </c>
      <c r="T5976" s="98">
        <f t="shared" si="253"/>
        <v>0</v>
      </c>
      <c r="U5976" s="99" t="str">
        <f>IFERROR(IF(#REF!="S",VLOOKUP('Raw Data'!A5976,References!#REF!,2,FALSE),(VLOOKUP($S5976,References!$B$3:$C$8,2,FALSE))),"")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2"/>
        <v>0</v>
      </c>
      <c r="T5977" s="98">
        <f t="shared" si="253"/>
        <v>0</v>
      </c>
      <c r="U5977" s="99" t="str">
        <f>IFERROR(IF(#REF!="S",VLOOKUP('Raw Data'!A5977,References!#REF!,2,FALSE),(VLOOKUP($S5977,References!$B$3:$C$8,2,FALSE))),"")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2"/>
        <v>0</v>
      </c>
      <c r="T5978" s="98">
        <f t="shared" si="253"/>
        <v>0</v>
      </c>
      <c r="U5978" s="99" t="str">
        <f>IFERROR(IF(#REF!="S",VLOOKUP('Raw Data'!A5978,References!#REF!,2,FALSE),(VLOOKUP($S5978,References!$B$3:$C$8,2,FALSE))),"")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2"/>
        <v>0</v>
      </c>
      <c r="T5979" s="98">
        <f t="shared" si="253"/>
        <v>0</v>
      </c>
      <c r="U5979" s="99" t="str">
        <f>IFERROR(IF(#REF!="S",VLOOKUP('Raw Data'!A5979,References!#REF!,2,FALSE),(VLOOKUP($S5979,References!$B$3:$C$8,2,FALSE))),"")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2"/>
        <v>0</v>
      </c>
      <c r="T5980" s="98">
        <f t="shared" si="253"/>
        <v>0</v>
      </c>
      <c r="U5980" s="99" t="str">
        <f>IFERROR(IF(#REF!="S",VLOOKUP('Raw Data'!A5980,References!#REF!,2,FALSE),(VLOOKUP($S5980,References!$B$3:$C$8,2,FALSE))),"")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2"/>
        <v>0</v>
      </c>
      <c r="T5981" s="98">
        <f t="shared" si="253"/>
        <v>0</v>
      </c>
      <c r="U5981" s="99" t="str">
        <f>IFERROR(IF(#REF!="S",VLOOKUP('Raw Data'!A5981,References!#REF!,2,FALSE),(VLOOKUP($S5981,References!$B$3:$C$8,2,FALSE))),"")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2"/>
        <v>0</v>
      </c>
      <c r="T5982" s="98">
        <f t="shared" si="253"/>
        <v>0</v>
      </c>
      <c r="U5982" s="99" t="str">
        <f>IFERROR(IF(#REF!="S",VLOOKUP('Raw Data'!A5982,References!#REF!,2,FALSE),(VLOOKUP($S5982,References!$B$3:$C$8,2,FALSE))),"")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2"/>
        <v>0</v>
      </c>
      <c r="T5983" s="98">
        <f t="shared" si="253"/>
        <v>0</v>
      </c>
      <c r="U5983" s="99" t="str">
        <f>IFERROR(IF(#REF!="S",VLOOKUP('Raw Data'!A5983,References!#REF!,2,FALSE),(VLOOKUP($S5983,References!$B$3:$C$8,2,FALSE))),"")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2"/>
        <v>0</v>
      </c>
      <c r="T5984" s="98">
        <f t="shared" si="253"/>
        <v>0</v>
      </c>
      <c r="U5984" s="99" t="str">
        <f>IFERROR(IF(#REF!="S",VLOOKUP('Raw Data'!A5984,References!#REF!,2,FALSE),(VLOOKUP($S5984,References!$B$3:$C$8,2,FALSE))),"")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2"/>
        <v>0</v>
      </c>
      <c r="T5985" s="98">
        <f t="shared" si="253"/>
        <v>0</v>
      </c>
      <c r="U5985" s="99" t="str">
        <f>IFERROR(IF(#REF!="S",VLOOKUP('Raw Data'!A5985,References!#REF!,2,FALSE),(VLOOKUP($S5985,References!$B$3:$C$8,2,FALSE))),"")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2"/>
        <v>0</v>
      </c>
      <c r="T5986" s="98">
        <f t="shared" si="253"/>
        <v>0</v>
      </c>
      <c r="U5986" s="99" t="str">
        <f>IFERROR(IF(#REF!="S",VLOOKUP('Raw Data'!A5986,References!#REF!,2,FALSE),(VLOOKUP($S5986,References!$B$3:$C$8,2,FALSE))),"")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2"/>
        <v>0</v>
      </c>
      <c r="T5987" s="98">
        <f t="shared" si="253"/>
        <v>0</v>
      </c>
      <c r="U5987" s="99" t="str">
        <f>IFERROR(IF(#REF!="S",VLOOKUP('Raw Data'!A5987,References!#REF!,2,FALSE),(VLOOKUP($S5987,References!$B$3:$C$8,2,FALSE))),"")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2"/>
        <v>0</v>
      </c>
      <c r="T5988" s="98">
        <f t="shared" si="253"/>
        <v>0</v>
      </c>
      <c r="U5988" s="99" t="str">
        <f>IFERROR(IF(#REF!="S",VLOOKUP('Raw Data'!A5988,References!#REF!,2,FALSE),(VLOOKUP($S5988,References!$B$3:$C$8,2,FALSE))),"")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2"/>
        <v>0</v>
      </c>
      <c r="T5989" s="98">
        <f t="shared" si="253"/>
        <v>0</v>
      </c>
      <c r="U5989" s="99" t="str">
        <f>IFERROR(IF(#REF!="S",VLOOKUP('Raw Data'!A5989,References!#REF!,2,FALSE),(VLOOKUP($S5989,References!$B$3:$C$8,2,FALSE))),"")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2"/>
        <v>0</v>
      </c>
      <c r="T5990" s="98">
        <f t="shared" si="253"/>
        <v>0</v>
      </c>
      <c r="U5990" s="99" t="str">
        <f>IFERROR(IF(#REF!="S",VLOOKUP('Raw Data'!A5990,References!#REF!,2,FALSE),(VLOOKUP($S5990,References!$B$3:$C$8,2,FALSE))),"")</f>
        <v/>
      </c>
      <c r="W5990" s="66" t="str">
        <f>IFERROR(VLOOKUP($O5990,'Customer List'!$A$1:$J$488,10,FALSE),"")</f>
        <v/>
      </c>
    </row>
    <row r="5991" spans="18:23">
      <c r="R5991" s="97">
        <f t="shared" si="252"/>
        <v>0</v>
      </c>
      <c r="T5991" s="98">
        <f t="shared" si="253"/>
        <v>0</v>
      </c>
      <c r="U5991" s="99" t="str">
        <f>IFERROR(IF(#REF!="S",VLOOKUP('Raw Data'!A5991,References!#REF!,2,FALSE),(VLOOKUP($S5991,References!$B$3:$C$8,2,FALSE))),"")</f>
        <v/>
      </c>
      <c r="W5991" s="66" t="str">
        <f>IFERROR(VLOOKUP($O5991,'Customer List'!$A$1:$J$488,10,FALSE),"")</f>
        <v/>
      </c>
    </row>
    <row r="5992" spans="18:23">
      <c r="R5992" s="97">
        <f t="shared" ref="R5992:R6055" si="254">L5992-K5992</f>
        <v>0</v>
      </c>
      <c r="T5992" s="98">
        <f t="shared" si="253"/>
        <v>0</v>
      </c>
      <c r="U5992" s="99" t="str">
        <f>IFERROR(IF(#REF!="S",VLOOKUP('Raw Data'!A5992,References!#REF!,2,FALSE),(VLOOKUP($S5992,References!$B$3:$C$8,2,FALSE))),"")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4"/>
        <v>0</v>
      </c>
      <c r="T5993" s="98">
        <f t="shared" si="253"/>
        <v>0</v>
      </c>
      <c r="U5993" s="99" t="str">
        <f>IFERROR(IF(#REF!="S",VLOOKUP('Raw Data'!A5993,References!#REF!,2,FALSE),(VLOOKUP($S5993,References!$B$3:$C$8,2,FALSE))),"")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4"/>
        <v>0</v>
      </c>
      <c r="T5994" s="98">
        <f t="shared" si="253"/>
        <v>0</v>
      </c>
      <c r="U5994" s="99" t="str">
        <f>IFERROR(IF(#REF!="S",VLOOKUP('Raw Data'!A5994,References!#REF!,2,FALSE),(VLOOKUP($S5994,References!$B$3:$C$8,2,FALSE))),"")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4"/>
        <v>0</v>
      </c>
      <c r="T5995" s="98">
        <f t="shared" si="253"/>
        <v>0</v>
      </c>
      <c r="U5995" s="99" t="str">
        <f>IFERROR(IF(#REF!="S",VLOOKUP('Raw Data'!A5995,References!#REF!,2,FALSE),(VLOOKUP($S5995,References!$B$3:$C$8,2,FALSE))),"")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4"/>
        <v>0</v>
      </c>
      <c r="T5996" s="98">
        <f t="shared" si="253"/>
        <v>0</v>
      </c>
      <c r="U5996" s="99" t="str">
        <f>IFERROR(IF(#REF!="S",VLOOKUP('Raw Data'!A5996,References!#REF!,2,FALSE),(VLOOKUP($S5996,References!$B$3:$C$8,2,FALSE))),"")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4"/>
        <v>0</v>
      </c>
      <c r="T5997" s="98">
        <f t="shared" si="253"/>
        <v>0</v>
      </c>
      <c r="U5997" s="99" t="str">
        <f>IFERROR(IF(#REF!="S",VLOOKUP('Raw Data'!A5997,References!#REF!,2,FALSE),(VLOOKUP($S5997,References!$B$3:$C$8,2,FALSE))),"")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4"/>
        <v>0</v>
      </c>
      <c r="T5998" s="98">
        <f t="shared" si="253"/>
        <v>0</v>
      </c>
      <c r="U5998" s="99" t="str">
        <f>IFERROR(IF(#REF!="S",VLOOKUP('Raw Data'!A5998,References!#REF!,2,FALSE),(VLOOKUP($S5998,References!$B$3:$C$8,2,FALSE))),"")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4"/>
        <v>0</v>
      </c>
      <c r="T5999" s="98">
        <f t="shared" si="253"/>
        <v>0</v>
      </c>
      <c r="U5999" s="99" t="str">
        <f>IFERROR(IF(#REF!="S",VLOOKUP('Raw Data'!A5999,References!#REF!,2,FALSE),(VLOOKUP($S5999,References!$B$3:$C$8,2,FALSE))),"")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4"/>
        <v>0</v>
      </c>
      <c r="T6000" s="98">
        <f t="shared" si="253"/>
        <v>0</v>
      </c>
      <c r="U6000" s="99" t="str">
        <f>IFERROR(IF(#REF!="S",VLOOKUP('Raw Data'!A6000,References!#REF!,2,FALSE),(VLOOKUP($S6000,References!$B$3:$C$8,2,FALSE))),"")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4"/>
        <v>0</v>
      </c>
      <c r="T6001" s="98">
        <f t="shared" si="253"/>
        <v>0</v>
      </c>
      <c r="U6001" s="99" t="str">
        <f>IFERROR(IF(#REF!="S",VLOOKUP('Raw Data'!A6001,References!#REF!,2,FALSE),(VLOOKUP($S6001,References!$B$3:$C$8,2,FALSE))),"")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4"/>
        <v>0</v>
      </c>
      <c r="T6002" s="98">
        <f t="shared" si="253"/>
        <v>0</v>
      </c>
      <c r="U6002" s="99" t="str">
        <f>IFERROR(IF(#REF!="S",VLOOKUP('Raw Data'!A6002,References!#REF!,2,FALSE),(VLOOKUP($S6002,References!$B$3:$C$8,2,FALSE))),"")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4"/>
        <v>0</v>
      </c>
      <c r="T6003" s="98">
        <f t="shared" si="253"/>
        <v>0</v>
      </c>
      <c r="U6003" s="99" t="str">
        <f>IFERROR(IF(#REF!="S",VLOOKUP('Raw Data'!A6003,References!#REF!,2,FALSE),(VLOOKUP($S6003,References!$B$3:$C$8,2,FALSE))),"")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4"/>
        <v>0</v>
      </c>
      <c r="T6004" s="98">
        <f t="shared" si="253"/>
        <v>0</v>
      </c>
      <c r="U6004" s="99" t="str">
        <f>IFERROR(IF(#REF!="S",VLOOKUP('Raw Data'!A6004,References!#REF!,2,FALSE),(VLOOKUP($S6004,References!$B$3:$C$8,2,FALSE))),"")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4"/>
        <v>0</v>
      </c>
      <c r="T6005" s="98">
        <f t="shared" si="253"/>
        <v>0</v>
      </c>
      <c r="U6005" s="99" t="str">
        <f>IFERROR(IF(#REF!="S",VLOOKUP('Raw Data'!A6005,References!#REF!,2,FALSE),(VLOOKUP($S6005,References!$B$3:$C$8,2,FALSE))),"")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4"/>
        <v>0</v>
      </c>
      <c r="T6006" s="98">
        <f t="shared" si="253"/>
        <v>0</v>
      </c>
      <c r="U6006" s="99" t="str">
        <f>IFERROR(IF(#REF!="S",VLOOKUP('Raw Data'!A6006,References!#REF!,2,FALSE),(VLOOKUP($S6006,References!$B$3:$C$8,2,FALSE))),"")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4"/>
        <v>0</v>
      </c>
      <c r="T6007" s="98">
        <f t="shared" si="253"/>
        <v>0</v>
      </c>
      <c r="U6007" s="99" t="str">
        <f>IFERROR(IF(#REF!="S",VLOOKUP('Raw Data'!A6007,References!#REF!,2,FALSE),(VLOOKUP($S6007,References!$B$3:$C$8,2,FALSE))),"")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4"/>
        <v>0</v>
      </c>
      <c r="T6008" s="98">
        <f t="shared" si="253"/>
        <v>0</v>
      </c>
      <c r="U6008" s="99" t="str">
        <f>IFERROR(IF(#REF!="S",VLOOKUP('Raw Data'!A6008,References!#REF!,2,FALSE),(VLOOKUP($S6008,References!$B$3:$C$8,2,FALSE))),"")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4"/>
        <v>0</v>
      </c>
      <c r="T6009" s="98">
        <f t="shared" si="253"/>
        <v>0</v>
      </c>
      <c r="U6009" s="99" t="str">
        <f>IFERROR(IF(#REF!="S",VLOOKUP('Raw Data'!A6009,References!#REF!,2,FALSE),(VLOOKUP($S6009,References!$B$3:$C$8,2,FALSE))),"")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4"/>
        <v>0</v>
      </c>
      <c r="T6010" s="98">
        <f t="shared" si="253"/>
        <v>0</v>
      </c>
      <c r="U6010" s="99" t="str">
        <f>IFERROR(IF(#REF!="S",VLOOKUP('Raw Data'!A6010,References!#REF!,2,FALSE),(VLOOKUP($S6010,References!$B$3:$C$8,2,FALSE))),"")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4"/>
        <v>0</v>
      </c>
      <c r="T6011" s="98">
        <f t="shared" si="253"/>
        <v>0</v>
      </c>
      <c r="U6011" s="99" t="str">
        <f>IFERROR(IF(#REF!="S",VLOOKUP('Raw Data'!A6011,References!#REF!,2,FALSE),(VLOOKUP($S6011,References!$B$3:$C$8,2,FALSE))),"")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4"/>
        <v>0</v>
      </c>
      <c r="T6012" s="98">
        <f t="shared" si="253"/>
        <v>0</v>
      </c>
      <c r="U6012" s="99" t="str">
        <f>IFERROR(IF(#REF!="S",VLOOKUP('Raw Data'!A6012,References!#REF!,2,FALSE),(VLOOKUP($S6012,References!$B$3:$C$8,2,FALSE))),"")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4"/>
        <v>0</v>
      </c>
      <c r="T6013" s="98">
        <f t="shared" si="253"/>
        <v>0</v>
      </c>
      <c r="U6013" s="99" t="str">
        <f>IFERROR(IF(#REF!="S",VLOOKUP('Raw Data'!A6013,References!#REF!,2,FALSE),(VLOOKUP($S6013,References!$B$3:$C$8,2,FALSE))),"")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4"/>
        <v>0</v>
      </c>
      <c r="T6014" s="98">
        <f t="shared" si="253"/>
        <v>0</v>
      </c>
      <c r="U6014" s="99" t="str">
        <f>IFERROR(IF(#REF!="S",VLOOKUP('Raw Data'!A6014,References!#REF!,2,FALSE),(VLOOKUP($S6014,References!$B$3:$C$8,2,FALSE))),"")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4"/>
        <v>0</v>
      </c>
      <c r="T6015" s="98">
        <f t="shared" si="253"/>
        <v>0</v>
      </c>
      <c r="U6015" s="99" t="str">
        <f>IFERROR(IF(#REF!="S",VLOOKUP('Raw Data'!A6015,References!#REF!,2,FALSE),(VLOOKUP($S6015,References!$B$3:$C$8,2,FALSE))),"")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4"/>
        <v>0</v>
      </c>
      <c r="T6016" s="98">
        <f t="shared" si="253"/>
        <v>0</v>
      </c>
      <c r="U6016" s="99" t="str">
        <f>IFERROR(IF(#REF!="S",VLOOKUP('Raw Data'!A6016,References!#REF!,2,FALSE),(VLOOKUP($S6016,References!$B$3:$C$8,2,FALSE))),"")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4"/>
        <v>0</v>
      </c>
      <c r="T6017" s="98">
        <f t="shared" si="253"/>
        <v>0</v>
      </c>
      <c r="U6017" s="99" t="str">
        <f>IFERROR(IF(#REF!="S",VLOOKUP('Raw Data'!A6017,References!#REF!,2,FALSE),(VLOOKUP($S6017,References!$B$3:$C$8,2,FALSE))),"")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4"/>
        <v>0</v>
      </c>
      <c r="T6018" s="98">
        <f t="shared" si="253"/>
        <v>0</v>
      </c>
      <c r="U6018" s="99" t="str">
        <f>IFERROR(IF(#REF!="S",VLOOKUP('Raw Data'!A6018,References!#REF!,2,FALSE),(VLOOKUP($S6018,References!$B$3:$C$8,2,FALSE))),"")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4"/>
        <v>0</v>
      </c>
      <c r="T6019" s="98">
        <f t="shared" si="253"/>
        <v>0</v>
      </c>
      <c r="U6019" s="99" t="str">
        <f>IFERROR(IF(#REF!="S",VLOOKUP('Raw Data'!A6019,References!#REF!,2,FALSE),(VLOOKUP($S6019,References!$B$3:$C$8,2,FALSE))),"")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4"/>
        <v>0</v>
      </c>
      <c r="T6020" s="98">
        <f t="shared" si="253"/>
        <v>0</v>
      </c>
      <c r="U6020" s="99" t="str">
        <f>IFERROR(IF(#REF!="S",VLOOKUP('Raw Data'!A6020,References!#REF!,2,FALSE),(VLOOKUP($S6020,References!$B$3:$C$8,2,FALSE))),"")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4"/>
        <v>0</v>
      </c>
      <c r="T6021" s="98">
        <f t="shared" si="253"/>
        <v>0</v>
      </c>
      <c r="U6021" s="99" t="str">
        <f>IFERROR(IF(#REF!="S",VLOOKUP('Raw Data'!A6021,References!#REF!,2,FALSE),(VLOOKUP($S6021,References!$B$3:$C$8,2,FALSE))),"")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4"/>
        <v>0</v>
      </c>
      <c r="T6022" s="98">
        <f t="shared" si="253"/>
        <v>0</v>
      </c>
      <c r="U6022" s="99" t="str">
        <f>IFERROR(IF(#REF!="S",VLOOKUP('Raw Data'!A6022,References!#REF!,2,FALSE),(VLOOKUP($S6022,References!$B$3:$C$8,2,FALSE))),"")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4"/>
        <v>0</v>
      </c>
      <c r="T6023" s="98">
        <f t="shared" si="253"/>
        <v>0</v>
      </c>
      <c r="U6023" s="99" t="str">
        <f>IFERROR(IF(#REF!="S",VLOOKUP('Raw Data'!A6023,References!#REF!,2,FALSE),(VLOOKUP($S6023,References!$B$3:$C$8,2,FALSE))),"")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4"/>
        <v>0</v>
      </c>
      <c r="T6024" s="98">
        <f t="shared" si="253"/>
        <v>0</v>
      </c>
      <c r="U6024" s="99" t="str">
        <f>IFERROR(IF(#REF!="S",VLOOKUP('Raw Data'!A6024,References!#REF!,2,FALSE),(VLOOKUP($S6024,References!$B$3:$C$8,2,FALSE))),"")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4"/>
        <v>0</v>
      </c>
      <c r="T6025" s="98">
        <f t="shared" si="253"/>
        <v>0</v>
      </c>
      <c r="U6025" s="99" t="str">
        <f>IFERROR(IF(#REF!="S",VLOOKUP('Raw Data'!A6025,References!#REF!,2,FALSE),(VLOOKUP($S6025,References!$B$3:$C$8,2,FALSE))),"")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4"/>
        <v>0</v>
      </c>
      <c r="T6026" s="98">
        <f t="shared" si="253"/>
        <v>0</v>
      </c>
      <c r="U6026" s="99" t="str">
        <f>IFERROR(IF(#REF!="S",VLOOKUP('Raw Data'!A6026,References!#REF!,2,FALSE),(VLOOKUP($S6026,References!$B$3:$C$8,2,FALSE))),"")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4"/>
        <v>0</v>
      </c>
      <c r="T6027" s="98">
        <f t="shared" si="253"/>
        <v>0</v>
      </c>
      <c r="U6027" s="99" t="str">
        <f>IFERROR(IF(#REF!="S",VLOOKUP('Raw Data'!A6027,References!#REF!,2,FALSE),(VLOOKUP($S6027,References!$B$3:$C$8,2,FALSE))),"")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4"/>
        <v>0</v>
      </c>
      <c r="T6028" s="98">
        <f t="shared" si="253"/>
        <v>0</v>
      </c>
      <c r="U6028" s="99" t="str">
        <f>IFERROR(IF(#REF!="S",VLOOKUP('Raw Data'!A6028,References!#REF!,2,FALSE),(VLOOKUP($S6028,References!$B$3:$C$8,2,FALSE))),"")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4"/>
        <v>0</v>
      </c>
      <c r="T6029" s="98">
        <f t="shared" si="253"/>
        <v>0</v>
      </c>
      <c r="U6029" s="99" t="str">
        <f>IFERROR(IF(#REF!="S",VLOOKUP('Raw Data'!A6029,References!#REF!,2,FALSE),(VLOOKUP($S6029,References!$B$3:$C$8,2,FALSE))),"")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4"/>
        <v>0</v>
      </c>
      <c r="T6030" s="98">
        <f t="shared" si="253"/>
        <v>0</v>
      </c>
      <c r="U6030" s="99" t="str">
        <f>IFERROR(IF(#REF!="S",VLOOKUP('Raw Data'!A6030,References!#REF!,2,FALSE),(VLOOKUP($S6030,References!$B$3:$C$8,2,FALSE))),"")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4"/>
        <v>0</v>
      </c>
      <c r="T6031" s="98">
        <f t="shared" si="253"/>
        <v>0</v>
      </c>
      <c r="U6031" s="99" t="str">
        <f>IFERROR(IF(#REF!="S",VLOOKUP('Raw Data'!A6031,References!#REF!,2,FALSE),(VLOOKUP($S6031,References!$B$3:$C$8,2,FALSE))),"")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4"/>
        <v>0</v>
      </c>
      <c r="T6032" s="98">
        <f t="shared" ref="T6032:T6095" si="255">IF(S6032="50 - Cleaning Fee",1,HOUR($R6032)+MINUTE(R6032)/60)</f>
        <v>0</v>
      </c>
      <c r="U6032" s="99" t="str">
        <f>IFERROR(IF(#REF!="S",VLOOKUP('Raw Data'!A6032,References!#REF!,2,FALSE),(VLOOKUP($S6032,References!$B$3:$C$8,2,FALSE))),"")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4"/>
        <v>0</v>
      </c>
      <c r="T6033" s="98">
        <f t="shared" si="255"/>
        <v>0</v>
      </c>
      <c r="U6033" s="99" t="str">
        <f>IFERROR(IF(#REF!="S",VLOOKUP('Raw Data'!A6033,References!#REF!,2,FALSE),(VLOOKUP($S6033,References!$B$3:$C$8,2,FALSE))),"")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4"/>
        <v>0</v>
      </c>
      <c r="T6034" s="98">
        <f t="shared" si="255"/>
        <v>0</v>
      </c>
      <c r="U6034" s="99" t="str">
        <f>IFERROR(IF(#REF!="S",VLOOKUP('Raw Data'!A6034,References!#REF!,2,FALSE),(VLOOKUP($S6034,References!$B$3:$C$8,2,FALSE))),"")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4"/>
        <v>0</v>
      </c>
      <c r="T6035" s="98">
        <f t="shared" si="255"/>
        <v>0</v>
      </c>
      <c r="U6035" s="99" t="str">
        <f>IFERROR(IF(#REF!="S",VLOOKUP('Raw Data'!A6035,References!#REF!,2,FALSE),(VLOOKUP($S6035,References!$B$3:$C$8,2,FALSE))),"")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4"/>
        <v>0</v>
      </c>
      <c r="T6036" s="98">
        <f t="shared" si="255"/>
        <v>0</v>
      </c>
      <c r="U6036" s="99" t="str">
        <f>IFERROR(IF(#REF!="S",VLOOKUP('Raw Data'!A6036,References!#REF!,2,FALSE),(VLOOKUP($S6036,References!$B$3:$C$8,2,FALSE))),"")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4"/>
        <v>0</v>
      </c>
      <c r="T6037" s="98">
        <f t="shared" si="255"/>
        <v>0</v>
      </c>
      <c r="U6037" s="99" t="str">
        <f>IFERROR(IF(#REF!="S",VLOOKUP('Raw Data'!A6037,References!#REF!,2,FALSE),(VLOOKUP($S6037,References!$B$3:$C$8,2,FALSE))),"")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4"/>
        <v>0</v>
      </c>
      <c r="T6038" s="98">
        <f t="shared" si="255"/>
        <v>0</v>
      </c>
      <c r="U6038" s="99" t="str">
        <f>IFERROR(IF(#REF!="S",VLOOKUP('Raw Data'!A6038,References!#REF!,2,FALSE),(VLOOKUP($S6038,References!$B$3:$C$8,2,FALSE))),"")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4"/>
        <v>0</v>
      </c>
      <c r="T6039" s="98">
        <f t="shared" si="255"/>
        <v>0</v>
      </c>
      <c r="U6039" s="99" t="str">
        <f>IFERROR(IF(#REF!="S",VLOOKUP('Raw Data'!A6039,References!#REF!,2,FALSE),(VLOOKUP($S6039,References!$B$3:$C$8,2,FALSE))),"")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4"/>
        <v>0</v>
      </c>
      <c r="T6040" s="98">
        <f t="shared" si="255"/>
        <v>0</v>
      </c>
      <c r="U6040" s="99" t="str">
        <f>IFERROR(IF(#REF!="S",VLOOKUP('Raw Data'!A6040,References!#REF!,2,FALSE),(VLOOKUP($S6040,References!$B$3:$C$8,2,FALSE))),"")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4"/>
        <v>0</v>
      </c>
      <c r="T6041" s="98">
        <f t="shared" si="255"/>
        <v>0</v>
      </c>
      <c r="U6041" s="99" t="str">
        <f>IFERROR(IF(#REF!="S",VLOOKUP('Raw Data'!A6041,References!#REF!,2,FALSE),(VLOOKUP($S6041,References!$B$3:$C$8,2,FALSE))),"")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4"/>
        <v>0</v>
      </c>
      <c r="T6042" s="98">
        <f t="shared" si="255"/>
        <v>0</v>
      </c>
      <c r="U6042" s="99" t="str">
        <f>IFERROR(IF(#REF!="S",VLOOKUP('Raw Data'!A6042,References!#REF!,2,FALSE),(VLOOKUP($S6042,References!$B$3:$C$8,2,FALSE))),"")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4"/>
        <v>0</v>
      </c>
      <c r="T6043" s="98">
        <f t="shared" si="255"/>
        <v>0</v>
      </c>
      <c r="U6043" s="99" t="str">
        <f>IFERROR(IF(#REF!="S",VLOOKUP('Raw Data'!A6043,References!#REF!,2,FALSE),(VLOOKUP($S6043,References!$B$3:$C$8,2,FALSE))),"")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4"/>
        <v>0</v>
      </c>
      <c r="T6044" s="98">
        <f t="shared" si="255"/>
        <v>0</v>
      </c>
      <c r="U6044" s="99" t="str">
        <f>IFERROR(IF(#REF!="S",VLOOKUP('Raw Data'!A6044,References!#REF!,2,FALSE),(VLOOKUP($S6044,References!$B$3:$C$8,2,FALSE))),"")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4"/>
        <v>0</v>
      </c>
      <c r="T6045" s="98">
        <f t="shared" si="255"/>
        <v>0</v>
      </c>
      <c r="U6045" s="99" t="str">
        <f>IFERROR(IF(#REF!="S",VLOOKUP('Raw Data'!A6045,References!#REF!,2,FALSE),(VLOOKUP($S6045,References!$B$3:$C$8,2,FALSE))),"")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4"/>
        <v>0</v>
      </c>
      <c r="T6046" s="98">
        <f t="shared" si="255"/>
        <v>0</v>
      </c>
      <c r="U6046" s="99" t="str">
        <f>IFERROR(IF(#REF!="S",VLOOKUP('Raw Data'!A6046,References!#REF!,2,FALSE),(VLOOKUP($S6046,References!$B$3:$C$8,2,FALSE))),"")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4"/>
        <v>0</v>
      </c>
      <c r="T6047" s="98">
        <f t="shared" si="255"/>
        <v>0</v>
      </c>
      <c r="U6047" s="99" t="str">
        <f>IFERROR(IF(#REF!="S",VLOOKUP('Raw Data'!A6047,References!#REF!,2,FALSE),(VLOOKUP($S6047,References!$B$3:$C$8,2,FALSE))),"")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4"/>
        <v>0</v>
      </c>
      <c r="T6048" s="98">
        <f t="shared" si="255"/>
        <v>0</v>
      </c>
      <c r="U6048" s="99" t="str">
        <f>IFERROR(IF(#REF!="S",VLOOKUP('Raw Data'!A6048,References!#REF!,2,FALSE),(VLOOKUP($S6048,References!$B$3:$C$8,2,FALSE))),"")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4"/>
        <v>0</v>
      </c>
      <c r="T6049" s="98">
        <f t="shared" si="255"/>
        <v>0</v>
      </c>
      <c r="U6049" s="99" t="str">
        <f>IFERROR(IF(#REF!="S",VLOOKUP('Raw Data'!A6049,References!#REF!,2,FALSE),(VLOOKUP($S6049,References!$B$3:$C$8,2,FALSE))),"")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4"/>
        <v>0</v>
      </c>
      <c r="T6050" s="98">
        <f t="shared" si="255"/>
        <v>0</v>
      </c>
      <c r="U6050" s="99" t="str">
        <f>IFERROR(IF(#REF!="S",VLOOKUP('Raw Data'!A6050,References!#REF!,2,FALSE),(VLOOKUP($S6050,References!$B$3:$C$8,2,FALSE))),"")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4"/>
        <v>0</v>
      </c>
      <c r="T6051" s="98">
        <f t="shared" si="255"/>
        <v>0</v>
      </c>
      <c r="U6051" s="99" t="str">
        <f>IFERROR(IF(#REF!="S",VLOOKUP('Raw Data'!A6051,References!#REF!,2,FALSE),(VLOOKUP($S6051,References!$B$3:$C$8,2,FALSE))),"")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4"/>
        <v>0</v>
      </c>
      <c r="T6052" s="98">
        <f t="shared" si="255"/>
        <v>0</v>
      </c>
      <c r="U6052" s="99" t="str">
        <f>IFERROR(IF(#REF!="S",VLOOKUP('Raw Data'!A6052,References!#REF!,2,FALSE),(VLOOKUP($S6052,References!$B$3:$C$8,2,FALSE))),"")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4"/>
        <v>0</v>
      </c>
      <c r="T6053" s="98">
        <f t="shared" si="255"/>
        <v>0</v>
      </c>
      <c r="U6053" s="99" t="str">
        <f>IFERROR(IF(#REF!="S",VLOOKUP('Raw Data'!A6053,References!#REF!,2,FALSE),(VLOOKUP($S6053,References!$B$3:$C$8,2,FALSE))),"")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4"/>
        <v>0</v>
      </c>
      <c r="T6054" s="98">
        <f t="shared" si="255"/>
        <v>0</v>
      </c>
      <c r="U6054" s="99" t="str">
        <f>IFERROR(IF(#REF!="S",VLOOKUP('Raw Data'!A6054,References!#REF!,2,FALSE),(VLOOKUP($S6054,References!$B$3:$C$8,2,FALSE))),"")</f>
        <v/>
      </c>
      <c r="W6054" s="66" t="str">
        <f>IFERROR(VLOOKUP($O6054,'Customer List'!$A$1:$J$488,10,FALSE),"")</f>
        <v/>
      </c>
    </row>
    <row r="6055" spans="18:23">
      <c r="R6055" s="97">
        <f t="shared" si="254"/>
        <v>0</v>
      </c>
      <c r="T6055" s="98">
        <f t="shared" si="255"/>
        <v>0</v>
      </c>
      <c r="U6055" s="99" t="str">
        <f>IFERROR(IF(#REF!="S",VLOOKUP('Raw Data'!A6055,References!#REF!,2,FALSE),(VLOOKUP($S6055,References!$B$3:$C$8,2,FALSE))),"")</f>
        <v/>
      </c>
      <c r="W6055" s="66" t="str">
        <f>IFERROR(VLOOKUP($O6055,'Customer List'!$A$1:$J$488,10,FALSE),"")</f>
        <v/>
      </c>
    </row>
    <row r="6056" spans="18:23">
      <c r="R6056" s="97">
        <f t="shared" ref="R6056:R6119" si="256">L6056-K6056</f>
        <v>0</v>
      </c>
      <c r="T6056" s="98">
        <f t="shared" si="255"/>
        <v>0</v>
      </c>
      <c r="U6056" s="99" t="str">
        <f>IFERROR(IF(#REF!="S",VLOOKUP('Raw Data'!A6056,References!#REF!,2,FALSE),(VLOOKUP($S6056,References!$B$3:$C$8,2,FALSE))),"")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6"/>
        <v>0</v>
      </c>
      <c r="T6057" s="98">
        <f t="shared" si="255"/>
        <v>0</v>
      </c>
      <c r="U6057" s="99" t="str">
        <f>IFERROR(IF(#REF!="S",VLOOKUP('Raw Data'!A6057,References!#REF!,2,FALSE),(VLOOKUP($S6057,References!$B$3:$C$8,2,FALSE))),"")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6"/>
        <v>0</v>
      </c>
      <c r="T6058" s="98">
        <f t="shared" si="255"/>
        <v>0</v>
      </c>
      <c r="U6058" s="99" t="str">
        <f>IFERROR(IF(#REF!="S",VLOOKUP('Raw Data'!A6058,References!#REF!,2,FALSE),(VLOOKUP($S6058,References!$B$3:$C$8,2,FALSE))),"")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6"/>
        <v>0</v>
      </c>
      <c r="T6059" s="98">
        <f t="shared" si="255"/>
        <v>0</v>
      </c>
      <c r="U6059" s="99" t="str">
        <f>IFERROR(IF(#REF!="S",VLOOKUP('Raw Data'!A6059,References!#REF!,2,FALSE),(VLOOKUP($S6059,References!$B$3:$C$8,2,FALSE))),"")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6"/>
        <v>0</v>
      </c>
      <c r="T6060" s="98">
        <f t="shared" si="255"/>
        <v>0</v>
      </c>
      <c r="U6060" s="99" t="str">
        <f>IFERROR(IF(#REF!="S",VLOOKUP('Raw Data'!A6060,References!#REF!,2,FALSE),(VLOOKUP($S6060,References!$B$3:$C$8,2,FALSE))),"")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6"/>
        <v>0</v>
      </c>
      <c r="T6061" s="98">
        <f t="shared" si="255"/>
        <v>0</v>
      </c>
      <c r="U6061" s="99" t="str">
        <f>IFERROR(IF(#REF!="S",VLOOKUP('Raw Data'!A6061,References!#REF!,2,FALSE),(VLOOKUP($S6061,References!$B$3:$C$8,2,FALSE))),"")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6"/>
        <v>0</v>
      </c>
      <c r="T6062" s="98">
        <f t="shared" si="255"/>
        <v>0</v>
      </c>
      <c r="U6062" s="99" t="str">
        <f>IFERROR(IF(#REF!="S",VLOOKUP('Raw Data'!A6062,References!#REF!,2,FALSE),(VLOOKUP($S6062,References!$B$3:$C$8,2,FALSE))),"")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6"/>
        <v>0</v>
      </c>
      <c r="T6063" s="98">
        <f t="shared" si="255"/>
        <v>0</v>
      </c>
      <c r="U6063" s="99" t="str">
        <f>IFERROR(IF(#REF!="S",VLOOKUP('Raw Data'!A6063,References!#REF!,2,FALSE),(VLOOKUP($S6063,References!$B$3:$C$8,2,FALSE))),"")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6"/>
        <v>0</v>
      </c>
      <c r="T6064" s="98">
        <f t="shared" si="255"/>
        <v>0</v>
      </c>
      <c r="U6064" s="99" t="str">
        <f>IFERROR(IF(#REF!="S",VLOOKUP('Raw Data'!A6064,References!#REF!,2,FALSE),(VLOOKUP($S6064,References!$B$3:$C$8,2,FALSE))),"")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6"/>
        <v>0</v>
      </c>
      <c r="T6065" s="98">
        <f t="shared" si="255"/>
        <v>0</v>
      </c>
      <c r="U6065" s="99" t="str">
        <f>IFERROR(IF(#REF!="S",VLOOKUP('Raw Data'!A6065,References!#REF!,2,FALSE),(VLOOKUP($S6065,References!$B$3:$C$8,2,FALSE))),"")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6"/>
        <v>0</v>
      </c>
      <c r="T6066" s="98">
        <f t="shared" si="255"/>
        <v>0</v>
      </c>
      <c r="U6066" s="99" t="str">
        <f>IFERROR(IF(#REF!="S",VLOOKUP('Raw Data'!A6066,References!#REF!,2,FALSE),(VLOOKUP($S6066,References!$B$3:$C$8,2,FALSE))),"")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6"/>
        <v>0</v>
      </c>
      <c r="T6067" s="98">
        <f t="shared" si="255"/>
        <v>0</v>
      </c>
      <c r="U6067" s="99" t="str">
        <f>IFERROR(IF(#REF!="S",VLOOKUP('Raw Data'!A6067,References!#REF!,2,FALSE),(VLOOKUP($S6067,References!$B$3:$C$8,2,FALSE))),"")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6"/>
        <v>0</v>
      </c>
      <c r="T6068" s="98">
        <f t="shared" si="255"/>
        <v>0</v>
      </c>
      <c r="U6068" s="99" t="str">
        <f>IFERROR(IF(#REF!="S",VLOOKUP('Raw Data'!A6068,References!#REF!,2,FALSE),(VLOOKUP($S6068,References!$B$3:$C$8,2,FALSE))),"")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6"/>
        <v>0</v>
      </c>
      <c r="T6069" s="98">
        <f t="shared" si="255"/>
        <v>0</v>
      </c>
      <c r="U6069" s="99" t="str">
        <f>IFERROR(IF(#REF!="S",VLOOKUP('Raw Data'!A6069,References!#REF!,2,FALSE),(VLOOKUP($S6069,References!$B$3:$C$8,2,FALSE))),"")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6"/>
        <v>0</v>
      </c>
      <c r="T6070" s="98">
        <f t="shared" si="255"/>
        <v>0</v>
      </c>
      <c r="U6070" s="99" t="str">
        <f>IFERROR(IF(#REF!="S",VLOOKUP('Raw Data'!A6070,References!#REF!,2,FALSE),(VLOOKUP($S6070,References!$B$3:$C$8,2,FALSE))),"")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6"/>
        <v>0</v>
      </c>
      <c r="T6071" s="98">
        <f t="shared" si="255"/>
        <v>0</v>
      </c>
      <c r="U6071" s="99" t="str">
        <f>IFERROR(IF(#REF!="S",VLOOKUP('Raw Data'!A6071,References!#REF!,2,FALSE),(VLOOKUP($S6071,References!$B$3:$C$8,2,FALSE))),"")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6"/>
        <v>0</v>
      </c>
      <c r="T6072" s="98">
        <f t="shared" si="255"/>
        <v>0</v>
      </c>
      <c r="U6072" s="99" t="str">
        <f>IFERROR(IF(#REF!="S",VLOOKUP('Raw Data'!A6072,References!#REF!,2,FALSE),(VLOOKUP($S6072,References!$B$3:$C$8,2,FALSE))),"")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6"/>
        <v>0</v>
      </c>
      <c r="T6073" s="98">
        <f t="shared" si="255"/>
        <v>0</v>
      </c>
      <c r="U6073" s="99" t="str">
        <f>IFERROR(IF(#REF!="S",VLOOKUP('Raw Data'!A6073,References!#REF!,2,FALSE),(VLOOKUP($S6073,References!$B$3:$C$8,2,FALSE))),"")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6"/>
        <v>0</v>
      </c>
      <c r="T6074" s="98">
        <f t="shared" si="255"/>
        <v>0</v>
      </c>
      <c r="U6074" s="99" t="str">
        <f>IFERROR(IF(#REF!="S",VLOOKUP('Raw Data'!A6074,References!#REF!,2,FALSE),(VLOOKUP($S6074,References!$B$3:$C$8,2,FALSE))),"")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6"/>
        <v>0</v>
      </c>
      <c r="T6075" s="98">
        <f t="shared" si="255"/>
        <v>0</v>
      </c>
      <c r="U6075" s="99" t="str">
        <f>IFERROR(IF(#REF!="S",VLOOKUP('Raw Data'!A6075,References!#REF!,2,FALSE),(VLOOKUP($S6075,References!$B$3:$C$8,2,FALSE))),"")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6"/>
        <v>0</v>
      </c>
      <c r="T6076" s="98">
        <f t="shared" si="255"/>
        <v>0</v>
      </c>
      <c r="U6076" s="99" t="str">
        <f>IFERROR(IF(#REF!="S",VLOOKUP('Raw Data'!A6076,References!#REF!,2,FALSE),(VLOOKUP($S6076,References!$B$3:$C$8,2,FALSE))),"")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6"/>
        <v>0</v>
      </c>
      <c r="T6077" s="98">
        <f t="shared" si="255"/>
        <v>0</v>
      </c>
      <c r="U6077" s="99" t="str">
        <f>IFERROR(IF(#REF!="S",VLOOKUP('Raw Data'!A6077,References!#REF!,2,FALSE),(VLOOKUP($S6077,References!$B$3:$C$8,2,FALSE))),"")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6"/>
        <v>0</v>
      </c>
      <c r="T6078" s="98">
        <f t="shared" si="255"/>
        <v>0</v>
      </c>
      <c r="U6078" s="99" t="str">
        <f>IFERROR(IF(#REF!="S",VLOOKUP('Raw Data'!A6078,References!#REF!,2,FALSE),(VLOOKUP($S6078,References!$B$3:$C$8,2,FALSE))),"")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6"/>
        <v>0</v>
      </c>
      <c r="T6079" s="98">
        <f t="shared" si="255"/>
        <v>0</v>
      </c>
      <c r="U6079" s="99" t="str">
        <f>IFERROR(IF(#REF!="S",VLOOKUP('Raw Data'!A6079,References!#REF!,2,FALSE),(VLOOKUP($S6079,References!$B$3:$C$8,2,FALSE))),"")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6"/>
        <v>0</v>
      </c>
      <c r="T6080" s="98">
        <f t="shared" si="255"/>
        <v>0</v>
      </c>
      <c r="U6080" s="99" t="str">
        <f>IFERROR(IF(#REF!="S",VLOOKUP('Raw Data'!A6080,References!#REF!,2,FALSE),(VLOOKUP($S6080,References!$B$3:$C$8,2,FALSE))),"")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6"/>
        <v>0</v>
      </c>
      <c r="T6081" s="98">
        <f t="shared" si="255"/>
        <v>0</v>
      </c>
      <c r="U6081" s="99" t="str">
        <f>IFERROR(IF(#REF!="S",VLOOKUP('Raw Data'!A6081,References!#REF!,2,FALSE),(VLOOKUP($S6081,References!$B$3:$C$8,2,FALSE))),"")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6"/>
        <v>0</v>
      </c>
      <c r="T6082" s="98">
        <f t="shared" si="255"/>
        <v>0</v>
      </c>
      <c r="U6082" s="99" t="str">
        <f>IFERROR(IF(#REF!="S",VLOOKUP('Raw Data'!A6082,References!#REF!,2,FALSE),(VLOOKUP($S6082,References!$B$3:$C$8,2,FALSE))),"")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6"/>
        <v>0</v>
      </c>
      <c r="T6083" s="98">
        <f t="shared" si="255"/>
        <v>0</v>
      </c>
      <c r="U6083" s="99" t="str">
        <f>IFERROR(IF(#REF!="S",VLOOKUP('Raw Data'!A6083,References!#REF!,2,FALSE),(VLOOKUP($S6083,References!$B$3:$C$8,2,FALSE))),"")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6"/>
        <v>0</v>
      </c>
      <c r="T6084" s="98">
        <f t="shared" si="255"/>
        <v>0</v>
      </c>
      <c r="U6084" s="99" t="str">
        <f>IFERROR(IF(#REF!="S",VLOOKUP('Raw Data'!A6084,References!#REF!,2,FALSE),(VLOOKUP($S6084,References!$B$3:$C$8,2,FALSE))),"")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6"/>
        <v>0</v>
      </c>
      <c r="T6085" s="98">
        <f t="shared" si="255"/>
        <v>0</v>
      </c>
      <c r="U6085" s="99" t="str">
        <f>IFERROR(IF(#REF!="S",VLOOKUP('Raw Data'!A6085,References!#REF!,2,FALSE),(VLOOKUP($S6085,References!$B$3:$C$8,2,FALSE))),"")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6"/>
        <v>0</v>
      </c>
      <c r="T6086" s="98">
        <f t="shared" si="255"/>
        <v>0</v>
      </c>
      <c r="U6086" s="99" t="str">
        <f>IFERROR(IF(#REF!="S",VLOOKUP('Raw Data'!A6086,References!#REF!,2,FALSE),(VLOOKUP($S6086,References!$B$3:$C$8,2,FALSE))),"")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6"/>
        <v>0</v>
      </c>
      <c r="T6087" s="98">
        <f t="shared" si="255"/>
        <v>0</v>
      </c>
      <c r="U6087" s="99" t="str">
        <f>IFERROR(IF(#REF!="S",VLOOKUP('Raw Data'!A6087,References!#REF!,2,FALSE),(VLOOKUP($S6087,References!$B$3:$C$8,2,FALSE))),"")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6"/>
        <v>0</v>
      </c>
      <c r="T6088" s="98">
        <f t="shared" si="255"/>
        <v>0</v>
      </c>
      <c r="U6088" s="99" t="str">
        <f>IFERROR(IF(#REF!="S",VLOOKUP('Raw Data'!A6088,References!#REF!,2,FALSE),(VLOOKUP($S6088,References!$B$3:$C$8,2,FALSE))),"")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6"/>
        <v>0</v>
      </c>
      <c r="T6089" s="98">
        <f t="shared" si="255"/>
        <v>0</v>
      </c>
      <c r="U6089" s="99" t="str">
        <f>IFERROR(IF(#REF!="S",VLOOKUP('Raw Data'!A6089,References!#REF!,2,FALSE),(VLOOKUP($S6089,References!$B$3:$C$8,2,FALSE))),"")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6"/>
        <v>0</v>
      </c>
      <c r="T6090" s="98">
        <f t="shared" si="255"/>
        <v>0</v>
      </c>
      <c r="U6090" s="99" t="str">
        <f>IFERROR(IF(#REF!="S",VLOOKUP('Raw Data'!A6090,References!#REF!,2,FALSE),(VLOOKUP($S6090,References!$B$3:$C$8,2,FALSE))),"")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6"/>
        <v>0</v>
      </c>
      <c r="T6091" s="98">
        <f t="shared" si="255"/>
        <v>0</v>
      </c>
      <c r="U6091" s="99" t="str">
        <f>IFERROR(IF(#REF!="S",VLOOKUP('Raw Data'!A6091,References!#REF!,2,FALSE),(VLOOKUP($S6091,References!$B$3:$C$8,2,FALSE))),"")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6"/>
        <v>0</v>
      </c>
      <c r="T6092" s="98">
        <f t="shared" si="255"/>
        <v>0</v>
      </c>
      <c r="U6092" s="99" t="str">
        <f>IFERROR(IF(#REF!="S",VLOOKUP('Raw Data'!A6092,References!#REF!,2,FALSE),(VLOOKUP($S6092,References!$B$3:$C$8,2,FALSE))),"")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6"/>
        <v>0</v>
      </c>
      <c r="T6093" s="98">
        <f t="shared" si="255"/>
        <v>0</v>
      </c>
      <c r="U6093" s="99" t="str">
        <f>IFERROR(IF(#REF!="S",VLOOKUP('Raw Data'!A6093,References!#REF!,2,FALSE),(VLOOKUP($S6093,References!$B$3:$C$8,2,FALSE))),"")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6"/>
        <v>0</v>
      </c>
      <c r="T6094" s="98">
        <f t="shared" si="255"/>
        <v>0</v>
      </c>
      <c r="U6094" s="99" t="str">
        <f>IFERROR(IF(#REF!="S",VLOOKUP('Raw Data'!A6094,References!#REF!,2,FALSE),(VLOOKUP($S6094,References!$B$3:$C$8,2,FALSE))),"")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6"/>
        <v>0</v>
      </c>
      <c r="T6095" s="98">
        <f t="shared" si="255"/>
        <v>0</v>
      </c>
      <c r="U6095" s="99" t="str">
        <f>IFERROR(IF(#REF!="S",VLOOKUP('Raw Data'!A6095,References!#REF!,2,FALSE),(VLOOKUP($S6095,References!$B$3:$C$8,2,FALSE))),"")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6"/>
        <v>0</v>
      </c>
      <c r="T6096" s="98">
        <f t="shared" ref="T6096:T6159" si="257">IF(S6096="50 - Cleaning Fee",1,HOUR($R6096)+MINUTE(R6096)/60)</f>
        <v>0</v>
      </c>
      <c r="U6096" s="99" t="str">
        <f>IFERROR(IF(#REF!="S",VLOOKUP('Raw Data'!A6096,References!#REF!,2,FALSE),(VLOOKUP($S6096,References!$B$3:$C$8,2,FALSE))),"")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6"/>
        <v>0</v>
      </c>
      <c r="T6097" s="98">
        <f t="shared" si="257"/>
        <v>0</v>
      </c>
      <c r="U6097" s="99" t="str">
        <f>IFERROR(IF(#REF!="S",VLOOKUP('Raw Data'!A6097,References!#REF!,2,FALSE),(VLOOKUP($S6097,References!$B$3:$C$8,2,FALSE))),"")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6"/>
        <v>0</v>
      </c>
      <c r="T6098" s="98">
        <f t="shared" si="257"/>
        <v>0</v>
      </c>
      <c r="U6098" s="99" t="str">
        <f>IFERROR(IF(#REF!="S",VLOOKUP('Raw Data'!A6098,References!#REF!,2,FALSE),(VLOOKUP($S6098,References!$B$3:$C$8,2,FALSE))),"")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6"/>
        <v>0</v>
      </c>
      <c r="T6099" s="98">
        <f t="shared" si="257"/>
        <v>0</v>
      </c>
      <c r="U6099" s="99" t="str">
        <f>IFERROR(IF(#REF!="S",VLOOKUP('Raw Data'!A6099,References!#REF!,2,FALSE),(VLOOKUP($S6099,References!$B$3:$C$8,2,FALSE))),"")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6"/>
        <v>0</v>
      </c>
      <c r="T6100" s="98">
        <f t="shared" si="257"/>
        <v>0</v>
      </c>
      <c r="U6100" s="99" t="str">
        <f>IFERROR(IF(#REF!="S",VLOOKUP('Raw Data'!A6100,References!#REF!,2,FALSE),(VLOOKUP($S6100,References!$B$3:$C$8,2,FALSE))),"")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6"/>
        <v>0</v>
      </c>
      <c r="T6101" s="98">
        <f t="shared" si="257"/>
        <v>0</v>
      </c>
      <c r="U6101" s="99" t="str">
        <f>IFERROR(IF(#REF!="S",VLOOKUP('Raw Data'!A6101,References!#REF!,2,FALSE),(VLOOKUP($S6101,References!$B$3:$C$8,2,FALSE))),"")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6"/>
        <v>0</v>
      </c>
      <c r="T6102" s="98">
        <f t="shared" si="257"/>
        <v>0</v>
      </c>
      <c r="U6102" s="99" t="str">
        <f>IFERROR(IF(#REF!="S",VLOOKUP('Raw Data'!A6102,References!#REF!,2,FALSE),(VLOOKUP($S6102,References!$B$3:$C$8,2,FALSE))),"")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6"/>
        <v>0</v>
      </c>
      <c r="T6103" s="98">
        <f t="shared" si="257"/>
        <v>0</v>
      </c>
      <c r="U6103" s="99" t="str">
        <f>IFERROR(IF(#REF!="S",VLOOKUP('Raw Data'!A6103,References!#REF!,2,FALSE),(VLOOKUP($S6103,References!$B$3:$C$8,2,FALSE))),"")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6"/>
        <v>0</v>
      </c>
      <c r="T6104" s="98">
        <f t="shared" si="257"/>
        <v>0</v>
      </c>
      <c r="U6104" s="99" t="str">
        <f>IFERROR(IF(#REF!="S",VLOOKUP('Raw Data'!A6104,References!#REF!,2,FALSE),(VLOOKUP($S6104,References!$B$3:$C$8,2,FALSE))),"")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6"/>
        <v>0</v>
      </c>
      <c r="T6105" s="98">
        <f t="shared" si="257"/>
        <v>0</v>
      </c>
      <c r="U6105" s="99" t="str">
        <f>IFERROR(IF(#REF!="S",VLOOKUP('Raw Data'!A6105,References!#REF!,2,FALSE),(VLOOKUP($S6105,References!$B$3:$C$8,2,FALSE))),"")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6"/>
        <v>0</v>
      </c>
      <c r="T6106" s="98">
        <f t="shared" si="257"/>
        <v>0</v>
      </c>
      <c r="U6106" s="99" t="str">
        <f>IFERROR(IF(#REF!="S",VLOOKUP('Raw Data'!A6106,References!#REF!,2,FALSE),(VLOOKUP($S6106,References!$B$3:$C$8,2,FALSE))),"")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6"/>
        <v>0</v>
      </c>
      <c r="T6107" s="98">
        <f t="shared" si="257"/>
        <v>0</v>
      </c>
      <c r="U6107" s="99" t="str">
        <f>IFERROR(IF(#REF!="S",VLOOKUP('Raw Data'!A6107,References!#REF!,2,FALSE),(VLOOKUP($S6107,References!$B$3:$C$8,2,FALSE))),"")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6"/>
        <v>0</v>
      </c>
      <c r="T6108" s="98">
        <f t="shared" si="257"/>
        <v>0</v>
      </c>
      <c r="U6108" s="99" t="str">
        <f>IFERROR(IF(#REF!="S",VLOOKUP('Raw Data'!A6108,References!#REF!,2,FALSE),(VLOOKUP($S6108,References!$B$3:$C$8,2,FALSE))),"")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6"/>
        <v>0</v>
      </c>
      <c r="T6109" s="98">
        <f t="shared" si="257"/>
        <v>0</v>
      </c>
      <c r="U6109" s="99" t="str">
        <f>IFERROR(IF(#REF!="S",VLOOKUP('Raw Data'!A6109,References!#REF!,2,FALSE),(VLOOKUP($S6109,References!$B$3:$C$8,2,FALSE))),"")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6"/>
        <v>0</v>
      </c>
      <c r="T6110" s="98">
        <f t="shared" si="257"/>
        <v>0</v>
      </c>
      <c r="U6110" s="99" t="str">
        <f>IFERROR(IF(#REF!="S",VLOOKUP('Raw Data'!A6110,References!#REF!,2,FALSE),(VLOOKUP($S6110,References!$B$3:$C$8,2,FALSE))),"")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6"/>
        <v>0</v>
      </c>
      <c r="T6111" s="98">
        <f t="shared" si="257"/>
        <v>0</v>
      </c>
      <c r="U6111" s="99" t="str">
        <f>IFERROR(IF(#REF!="S",VLOOKUP('Raw Data'!A6111,References!#REF!,2,FALSE),(VLOOKUP($S6111,References!$B$3:$C$8,2,FALSE))),"")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6"/>
        <v>0</v>
      </c>
      <c r="T6112" s="98">
        <f t="shared" si="257"/>
        <v>0</v>
      </c>
      <c r="U6112" s="99" t="str">
        <f>IFERROR(IF(#REF!="S",VLOOKUP('Raw Data'!A6112,References!#REF!,2,FALSE),(VLOOKUP($S6112,References!$B$3:$C$8,2,FALSE))),"")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6"/>
        <v>0</v>
      </c>
      <c r="T6113" s="98">
        <f t="shared" si="257"/>
        <v>0</v>
      </c>
      <c r="U6113" s="99" t="str">
        <f>IFERROR(IF(#REF!="S",VLOOKUP('Raw Data'!A6113,References!#REF!,2,FALSE),(VLOOKUP($S6113,References!$B$3:$C$8,2,FALSE))),"")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6"/>
        <v>0</v>
      </c>
      <c r="T6114" s="98">
        <f t="shared" si="257"/>
        <v>0</v>
      </c>
      <c r="U6114" s="99" t="str">
        <f>IFERROR(IF(#REF!="S",VLOOKUP('Raw Data'!A6114,References!#REF!,2,FALSE),(VLOOKUP($S6114,References!$B$3:$C$8,2,FALSE))),"")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6"/>
        <v>0</v>
      </c>
      <c r="T6115" s="98">
        <f t="shared" si="257"/>
        <v>0</v>
      </c>
      <c r="U6115" s="99" t="str">
        <f>IFERROR(IF(#REF!="S",VLOOKUP('Raw Data'!A6115,References!#REF!,2,FALSE),(VLOOKUP($S6115,References!$B$3:$C$8,2,FALSE))),"")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6"/>
        <v>0</v>
      </c>
      <c r="T6116" s="98">
        <f t="shared" si="257"/>
        <v>0</v>
      </c>
      <c r="U6116" s="99" t="str">
        <f>IFERROR(IF(#REF!="S",VLOOKUP('Raw Data'!A6116,References!#REF!,2,FALSE),(VLOOKUP($S6116,References!$B$3:$C$8,2,FALSE))),"")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6"/>
        <v>0</v>
      </c>
      <c r="T6117" s="98">
        <f t="shared" si="257"/>
        <v>0</v>
      </c>
      <c r="U6117" s="99" t="str">
        <f>IFERROR(IF(#REF!="S",VLOOKUP('Raw Data'!A6117,References!#REF!,2,FALSE),(VLOOKUP($S6117,References!$B$3:$C$8,2,FALSE))),"")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6"/>
        <v>0</v>
      </c>
      <c r="T6118" s="98">
        <f t="shared" si="257"/>
        <v>0</v>
      </c>
      <c r="U6118" s="99" t="str">
        <f>IFERROR(IF(#REF!="S",VLOOKUP('Raw Data'!A6118,References!#REF!,2,FALSE),(VLOOKUP($S6118,References!$B$3:$C$8,2,FALSE))),"")</f>
        <v/>
      </c>
      <c r="W6118" s="66" t="str">
        <f>IFERROR(VLOOKUP($O6118,'Customer List'!$A$1:$J$488,10,FALSE),"")</f>
        <v/>
      </c>
    </row>
    <row r="6119" spans="18:23">
      <c r="R6119" s="97">
        <f t="shared" si="256"/>
        <v>0</v>
      </c>
      <c r="T6119" s="98">
        <f t="shared" si="257"/>
        <v>0</v>
      </c>
      <c r="U6119" s="99" t="str">
        <f>IFERROR(IF(#REF!="S",VLOOKUP('Raw Data'!A6119,References!#REF!,2,FALSE),(VLOOKUP($S6119,References!$B$3:$C$8,2,FALSE))),"")</f>
        <v/>
      </c>
      <c r="W6119" s="66" t="str">
        <f>IFERROR(VLOOKUP($O6119,'Customer List'!$A$1:$J$488,10,FALSE),"")</f>
        <v/>
      </c>
    </row>
    <row r="6120" spans="18:23">
      <c r="R6120" s="97">
        <f t="shared" ref="R6120:R6183" si="258">L6120-K6120</f>
        <v>0</v>
      </c>
      <c r="T6120" s="98">
        <f t="shared" si="257"/>
        <v>0</v>
      </c>
      <c r="U6120" s="99" t="str">
        <f>IFERROR(IF(#REF!="S",VLOOKUP('Raw Data'!A6120,References!#REF!,2,FALSE),(VLOOKUP($S6120,References!$B$3:$C$8,2,FALSE))),"")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58"/>
        <v>0</v>
      </c>
      <c r="T6121" s="98">
        <f t="shared" si="257"/>
        <v>0</v>
      </c>
      <c r="U6121" s="99" t="str">
        <f>IFERROR(IF(#REF!="S",VLOOKUP('Raw Data'!A6121,References!#REF!,2,FALSE),(VLOOKUP($S6121,References!$B$3:$C$8,2,FALSE))),"")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58"/>
        <v>0</v>
      </c>
      <c r="T6122" s="98">
        <f t="shared" si="257"/>
        <v>0</v>
      </c>
      <c r="U6122" s="99" t="str">
        <f>IFERROR(IF(#REF!="S",VLOOKUP('Raw Data'!A6122,References!#REF!,2,FALSE),(VLOOKUP($S6122,References!$B$3:$C$8,2,FALSE))),"")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58"/>
        <v>0</v>
      </c>
      <c r="T6123" s="98">
        <f t="shared" si="257"/>
        <v>0</v>
      </c>
      <c r="U6123" s="99" t="str">
        <f>IFERROR(IF(#REF!="S",VLOOKUP('Raw Data'!A6123,References!#REF!,2,FALSE),(VLOOKUP($S6123,References!$B$3:$C$8,2,FALSE))),"")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58"/>
        <v>0</v>
      </c>
      <c r="T6124" s="98">
        <f t="shared" si="257"/>
        <v>0</v>
      </c>
      <c r="U6124" s="99" t="str">
        <f>IFERROR(IF(#REF!="S",VLOOKUP('Raw Data'!A6124,References!#REF!,2,FALSE),(VLOOKUP($S6124,References!$B$3:$C$8,2,FALSE))),"")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58"/>
        <v>0</v>
      </c>
      <c r="T6125" s="98">
        <f t="shared" si="257"/>
        <v>0</v>
      </c>
      <c r="U6125" s="99" t="str">
        <f>IFERROR(IF(#REF!="S",VLOOKUP('Raw Data'!A6125,References!#REF!,2,FALSE),(VLOOKUP($S6125,References!$B$3:$C$8,2,FALSE))),"")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58"/>
        <v>0</v>
      </c>
      <c r="T6126" s="98">
        <f t="shared" si="257"/>
        <v>0</v>
      </c>
      <c r="U6126" s="99" t="str">
        <f>IFERROR(IF(#REF!="S",VLOOKUP('Raw Data'!A6126,References!#REF!,2,FALSE),(VLOOKUP($S6126,References!$B$3:$C$8,2,FALSE))),"")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58"/>
        <v>0</v>
      </c>
      <c r="T6127" s="98">
        <f t="shared" si="257"/>
        <v>0</v>
      </c>
      <c r="U6127" s="99" t="str">
        <f>IFERROR(IF(#REF!="S",VLOOKUP('Raw Data'!A6127,References!#REF!,2,FALSE),(VLOOKUP($S6127,References!$B$3:$C$8,2,FALSE))),"")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58"/>
        <v>0</v>
      </c>
      <c r="T6128" s="98">
        <f t="shared" si="257"/>
        <v>0</v>
      </c>
      <c r="U6128" s="99" t="str">
        <f>IFERROR(IF(#REF!="S",VLOOKUP('Raw Data'!A6128,References!#REF!,2,FALSE),(VLOOKUP($S6128,References!$B$3:$C$8,2,FALSE))),"")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58"/>
        <v>0</v>
      </c>
      <c r="T6129" s="98">
        <f t="shared" si="257"/>
        <v>0</v>
      </c>
      <c r="U6129" s="99" t="str">
        <f>IFERROR(IF(#REF!="S",VLOOKUP('Raw Data'!A6129,References!#REF!,2,FALSE),(VLOOKUP($S6129,References!$B$3:$C$8,2,FALSE))),"")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58"/>
        <v>0</v>
      </c>
      <c r="T6130" s="98">
        <f t="shared" si="257"/>
        <v>0</v>
      </c>
      <c r="U6130" s="99" t="str">
        <f>IFERROR(IF(#REF!="S",VLOOKUP('Raw Data'!A6130,References!#REF!,2,FALSE),(VLOOKUP($S6130,References!$B$3:$C$8,2,FALSE))),"")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58"/>
        <v>0</v>
      </c>
      <c r="T6131" s="98">
        <f t="shared" si="257"/>
        <v>0</v>
      </c>
      <c r="U6131" s="99" t="str">
        <f>IFERROR(IF(#REF!="S",VLOOKUP('Raw Data'!A6131,References!#REF!,2,FALSE),(VLOOKUP($S6131,References!$B$3:$C$8,2,FALSE))),"")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58"/>
        <v>0</v>
      </c>
      <c r="T6132" s="98">
        <f t="shared" si="257"/>
        <v>0</v>
      </c>
      <c r="U6132" s="99" t="str">
        <f>IFERROR(IF(#REF!="S",VLOOKUP('Raw Data'!A6132,References!#REF!,2,FALSE),(VLOOKUP($S6132,References!$B$3:$C$8,2,FALSE))),"")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58"/>
        <v>0</v>
      </c>
      <c r="T6133" s="98">
        <f t="shared" si="257"/>
        <v>0</v>
      </c>
      <c r="U6133" s="99" t="str">
        <f>IFERROR(IF(#REF!="S",VLOOKUP('Raw Data'!A6133,References!#REF!,2,FALSE),(VLOOKUP($S6133,References!$B$3:$C$8,2,FALSE))),"")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58"/>
        <v>0</v>
      </c>
      <c r="T6134" s="98">
        <f t="shared" si="257"/>
        <v>0</v>
      </c>
      <c r="U6134" s="99" t="str">
        <f>IFERROR(IF(#REF!="S",VLOOKUP('Raw Data'!A6134,References!#REF!,2,FALSE),(VLOOKUP($S6134,References!$B$3:$C$8,2,FALSE))),"")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58"/>
        <v>0</v>
      </c>
      <c r="T6135" s="98">
        <f t="shared" si="257"/>
        <v>0</v>
      </c>
      <c r="U6135" s="99" t="str">
        <f>IFERROR(IF(#REF!="S",VLOOKUP('Raw Data'!A6135,References!#REF!,2,FALSE),(VLOOKUP($S6135,References!$B$3:$C$8,2,FALSE))),"")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58"/>
        <v>0</v>
      </c>
      <c r="T6136" s="98">
        <f t="shared" si="257"/>
        <v>0</v>
      </c>
      <c r="U6136" s="99" t="str">
        <f>IFERROR(IF(#REF!="S",VLOOKUP('Raw Data'!A6136,References!#REF!,2,FALSE),(VLOOKUP($S6136,References!$B$3:$C$8,2,FALSE))),"")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58"/>
        <v>0</v>
      </c>
      <c r="T6137" s="98">
        <f t="shared" si="257"/>
        <v>0</v>
      </c>
      <c r="U6137" s="99" t="str">
        <f>IFERROR(IF(#REF!="S",VLOOKUP('Raw Data'!A6137,References!#REF!,2,FALSE),(VLOOKUP($S6137,References!$B$3:$C$8,2,FALSE))),"")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58"/>
        <v>0</v>
      </c>
      <c r="T6138" s="98">
        <f t="shared" si="257"/>
        <v>0</v>
      </c>
      <c r="U6138" s="99" t="str">
        <f>IFERROR(IF(#REF!="S",VLOOKUP('Raw Data'!A6138,References!#REF!,2,FALSE),(VLOOKUP($S6138,References!$B$3:$C$8,2,FALSE))),"")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58"/>
        <v>0</v>
      </c>
      <c r="T6139" s="98">
        <f t="shared" si="257"/>
        <v>0</v>
      </c>
      <c r="U6139" s="99" t="str">
        <f>IFERROR(IF(#REF!="S",VLOOKUP('Raw Data'!A6139,References!#REF!,2,FALSE),(VLOOKUP($S6139,References!$B$3:$C$8,2,FALSE))),"")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58"/>
        <v>0</v>
      </c>
      <c r="T6140" s="98">
        <f t="shared" si="257"/>
        <v>0</v>
      </c>
      <c r="U6140" s="99" t="str">
        <f>IFERROR(IF(#REF!="S",VLOOKUP('Raw Data'!A6140,References!#REF!,2,FALSE),(VLOOKUP($S6140,References!$B$3:$C$8,2,FALSE))),"")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58"/>
        <v>0</v>
      </c>
      <c r="T6141" s="98">
        <f t="shared" si="257"/>
        <v>0</v>
      </c>
      <c r="U6141" s="99" t="str">
        <f>IFERROR(IF(#REF!="S",VLOOKUP('Raw Data'!A6141,References!#REF!,2,FALSE),(VLOOKUP($S6141,References!$B$3:$C$8,2,FALSE))),"")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58"/>
        <v>0</v>
      </c>
      <c r="T6142" s="98">
        <f t="shared" si="257"/>
        <v>0</v>
      </c>
      <c r="U6142" s="99" t="str">
        <f>IFERROR(IF(#REF!="S",VLOOKUP('Raw Data'!A6142,References!#REF!,2,FALSE),(VLOOKUP($S6142,References!$B$3:$C$8,2,FALSE))),"")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58"/>
        <v>0</v>
      </c>
      <c r="T6143" s="98">
        <f t="shared" si="257"/>
        <v>0</v>
      </c>
      <c r="U6143" s="99" t="str">
        <f>IFERROR(IF(#REF!="S",VLOOKUP('Raw Data'!A6143,References!#REF!,2,FALSE),(VLOOKUP($S6143,References!$B$3:$C$8,2,FALSE))),"")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58"/>
        <v>0</v>
      </c>
      <c r="T6144" s="98">
        <f t="shared" si="257"/>
        <v>0</v>
      </c>
      <c r="U6144" s="99" t="str">
        <f>IFERROR(IF(#REF!="S",VLOOKUP('Raw Data'!A6144,References!#REF!,2,FALSE),(VLOOKUP($S6144,References!$B$3:$C$8,2,FALSE))),"")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58"/>
        <v>0</v>
      </c>
      <c r="T6145" s="98">
        <f t="shared" si="257"/>
        <v>0</v>
      </c>
      <c r="U6145" s="99" t="str">
        <f>IFERROR(IF(#REF!="S",VLOOKUP('Raw Data'!A6145,References!#REF!,2,FALSE),(VLOOKUP($S6145,References!$B$3:$C$8,2,FALSE))),"")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58"/>
        <v>0</v>
      </c>
      <c r="T6146" s="98">
        <f t="shared" si="257"/>
        <v>0</v>
      </c>
      <c r="U6146" s="99" t="str">
        <f>IFERROR(IF(#REF!="S",VLOOKUP('Raw Data'!A6146,References!#REF!,2,FALSE),(VLOOKUP($S6146,References!$B$3:$C$8,2,FALSE))),"")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58"/>
        <v>0</v>
      </c>
      <c r="T6147" s="98">
        <f t="shared" si="257"/>
        <v>0</v>
      </c>
      <c r="U6147" s="99" t="str">
        <f>IFERROR(IF(#REF!="S",VLOOKUP('Raw Data'!A6147,References!#REF!,2,FALSE),(VLOOKUP($S6147,References!$B$3:$C$8,2,FALSE))),"")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58"/>
        <v>0</v>
      </c>
      <c r="T6148" s="98">
        <f t="shared" si="257"/>
        <v>0</v>
      </c>
      <c r="U6148" s="99" t="str">
        <f>IFERROR(IF(#REF!="S",VLOOKUP('Raw Data'!A6148,References!#REF!,2,FALSE),(VLOOKUP($S6148,References!$B$3:$C$8,2,FALSE))),"")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58"/>
        <v>0</v>
      </c>
      <c r="T6149" s="98">
        <f t="shared" si="257"/>
        <v>0</v>
      </c>
      <c r="U6149" s="99" t="str">
        <f>IFERROR(IF(#REF!="S",VLOOKUP('Raw Data'!A6149,References!#REF!,2,FALSE),(VLOOKUP($S6149,References!$B$3:$C$8,2,FALSE))),"")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58"/>
        <v>0</v>
      </c>
      <c r="T6150" s="98">
        <f t="shared" si="257"/>
        <v>0</v>
      </c>
      <c r="U6150" s="99" t="str">
        <f>IFERROR(IF(#REF!="S",VLOOKUP('Raw Data'!A6150,References!#REF!,2,FALSE),(VLOOKUP($S6150,References!$B$3:$C$8,2,FALSE))),"")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58"/>
        <v>0</v>
      </c>
      <c r="T6151" s="98">
        <f t="shared" si="257"/>
        <v>0</v>
      </c>
      <c r="U6151" s="99" t="str">
        <f>IFERROR(IF(#REF!="S",VLOOKUP('Raw Data'!A6151,References!#REF!,2,FALSE),(VLOOKUP($S6151,References!$B$3:$C$8,2,FALSE))),"")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58"/>
        <v>0</v>
      </c>
      <c r="T6152" s="98">
        <f t="shared" si="257"/>
        <v>0</v>
      </c>
      <c r="U6152" s="99" t="str">
        <f>IFERROR(IF(#REF!="S",VLOOKUP('Raw Data'!A6152,References!#REF!,2,FALSE),(VLOOKUP($S6152,References!$B$3:$C$8,2,FALSE))),"")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58"/>
        <v>0</v>
      </c>
      <c r="T6153" s="98">
        <f t="shared" si="257"/>
        <v>0</v>
      </c>
      <c r="U6153" s="99" t="str">
        <f>IFERROR(IF(#REF!="S",VLOOKUP('Raw Data'!A6153,References!#REF!,2,FALSE),(VLOOKUP($S6153,References!$B$3:$C$8,2,FALSE))),"")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58"/>
        <v>0</v>
      </c>
      <c r="T6154" s="98">
        <f t="shared" si="257"/>
        <v>0</v>
      </c>
      <c r="U6154" s="99" t="str">
        <f>IFERROR(IF(#REF!="S",VLOOKUP('Raw Data'!A6154,References!#REF!,2,FALSE),(VLOOKUP($S6154,References!$B$3:$C$8,2,FALSE))),"")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58"/>
        <v>0</v>
      </c>
      <c r="T6155" s="98">
        <f t="shared" si="257"/>
        <v>0</v>
      </c>
      <c r="U6155" s="99" t="str">
        <f>IFERROR(IF(#REF!="S",VLOOKUP('Raw Data'!A6155,References!#REF!,2,FALSE),(VLOOKUP($S6155,References!$B$3:$C$8,2,FALSE))),"")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58"/>
        <v>0</v>
      </c>
      <c r="T6156" s="98">
        <f t="shared" si="257"/>
        <v>0</v>
      </c>
      <c r="U6156" s="99" t="str">
        <f>IFERROR(IF(#REF!="S",VLOOKUP('Raw Data'!A6156,References!#REF!,2,FALSE),(VLOOKUP($S6156,References!$B$3:$C$8,2,FALSE))),"")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58"/>
        <v>0</v>
      </c>
      <c r="T6157" s="98">
        <f t="shared" si="257"/>
        <v>0</v>
      </c>
      <c r="U6157" s="99" t="str">
        <f>IFERROR(IF(#REF!="S",VLOOKUP('Raw Data'!A6157,References!#REF!,2,FALSE),(VLOOKUP($S6157,References!$B$3:$C$8,2,FALSE))),"")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58"/>
        <v>0</v>
      </c>
      <c r="T6158" s="98">
        <f t="shared" si="257"/>
        <v>0</v>
      </c>
      <c r="U6158" s="99" t="str">
        <f>IFERROR(IF(#REF!="S",VLOOKUP('Raw Data'!A6158,References!#REF!,2,FALSE),(VLOOKUP($S6158,References!$B$3:$C$8,2,FALSE))),"")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58"/>
        <v>0</v>
      </c>
      <c r="T6159" s="98">
        <f t="shared" si="257"/>
        <v>0</v>
      </c>
      <c r="U6159" s="99" t="str">
        <f>IFERROR(IF(#REF!="S",VLOOKUP('Raw Data'!A6159,References!#REF!,2,FALSE),(VLOOKUP($S6159,References!$B$3:$C$8,2,FALSE))),"")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58"/>
        <v>0</v>
      </c>
      <c r="T6160" s="98">
        <f t="shared" ref="T6160:T6223" si="259">IF(S6160="50 - Cleaning Fee",1,HOUR($R6160)+MINUTE(R6160)/60)</f>
        <v>0</v>
      </c>
      <c r="U6160" s="99" t="str">
        <f>IFERROR(IF(#REF!="S",VLOOKUP('Raw Data'!A6160,References!#REF!,2,FALSE),(VLOOKUP($S6160,References!$B$3:$C$8,2,FALSE))),"")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58"/>
        <v>0</v>
      </c>
      <c r="T6161" s="98">
        <f t="shared" si="259"/>
        <v>0</v>
      </c>
      <c r="U6161" s="99" t="str">
        <f>IFERROR(IF(#REF!="S",VLOOKUP('Raw Data'!A6161,References!#REF!,2,FALSE),(VLOOKUP($S6161,References!$B$3:$C$8,2,FALSE))),"")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58"/>
        <v>0</v>
      </c>
      <c r="T6162" s="98">
        <f t="shared" si="259"/>
        <v>0</v>
      </c>
      <c r="U6162" s="99" t="str">
        <f>IFERROR(IF(#REF!="S",VLOOKUP('Raw Data'!A6162,References!#REF!,2,FALSE),(VLOOKUP($S6162,References!$B$3:$C$8,2,FALSE))),"")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58"/>
        <v>0</v>
      </c>
      <c r="T6163" s="98">
        <f t="shared" si="259"/>
        <v>0</v>
      </c>
      <c r="U6163" s="99" t="str">
        <f>IFERROR(IF(#REF!="S",VLOOKUP('Raw Data'!A6163,References!#REF!,2,FALSE),(VLOOKUP($S6163,References!$B$3:$C$8,2,FALSE))),"")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58"/>
        <v>0</v>
      </c>
      <c r="T6164" s="98">
        <f t="shared" si="259"/>
        <v>0</v>
      </c>
      <c r="U6164" s="99" t="str">
        <f>IFERROR(IF(#REF!="S",VLOOKUP('Raw Data'!A6164,References!#REF!,2,FALSE),(VLOOKUP($S6164,References!$B$3:$C$8,2,FALSE))),"")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58"/>
        <v>0</v>
      </c>
      <c r="T6165" s="98">
        <f t="shared" si="259"/>
        <v>0</v>
      </c>
      <c r="U6165" s="99" t="str">
        <f>IFERROR(IF(#REF!="S",VLOOKUP('Raw Data'!A6165,References!#REF!,2,FALSE),(VLOOKUP($S6165,References!$B$3:$C$8,2,FALSE))),"")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58"/>
        <v>0</v>
      </c>
      <c r="T6166" s="98">
        <f t="shared" si="259"/>
        <v>0</v>
      </c>
      <c r="U6166" s="99" t="str">
        <f>IFERROR(IF(#REF!="S",VLOOKUP('Raw Data'!A6166,References!#REF!,2,FALSE),(VLOOKUP($S6166,References!$B$3:$C$8,2,FALSE))),"")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58"/>
        <v>0</v>
      </c>
      <c r="T6167" s="98">
        <f t="shared" si="259"/>
        <v>0</v>
      </c>
      <c r="U6167" s="99" t="str">
        <f>IFERROR(IF(#REF!="S",VLOOKUP('Raw Data'!A6167,References!#REF!,2,FALSE),(VLOOKUP($S6167,References!$B$3:$C$8,2,FALSE))),"")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58"/>
        <v>0</v>
      </c>
      <c r="T6168" s="98">
        <f t="shared" si="259"/>
        <v>0</v>
      </c>
      <c r="U6168" s="99" t="str">
        <f>IFERROR(IF(#REF!="S",VLOOKUP('Raw Data'!A6168,References!#REF!,2,FALSE),(VLOOKUP($S6168,References!$B$3:$C$8,2,FALSE))),"")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58"/>
        <v>0</v>
      </c>
      <c r="T6169" s="98">
        <f t="shared" si="259"/>
        <v>0</v>
      </c>
      <c r="U6169" s="99" t="str">
        <f>IFERROR(IF(#REF!="S",VLOOKUP('Raw Data'!A6169,References!#REF!,2,FALSE),(VLOOKUP($S6169,References!$B$3:$C$8,2,FALSE))),"")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58"/>
        <v>0</v>
      </c>
      <c r="T6170" s="98">
        <f t="shared" si="259"/>
        <v>0</v>
      </c>
      <c r="U6170" s="99" t="str">
        <f>IFERROR(IF(#REF!="S",VLOOKUP('Raw Data'!A6170,References!#REF!,2,FALSE),(VLOOKUP($S6170,References!$B$3:$C$8,2,FALSE))),"")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58"/>
        <v>0</v>
      </c>
      <c r="T6171" s="98">
        <f t="shared" si="259"/>
        <v>0</v>
      </c>
      <c r="U6171" s="99" t="str">
        <f>IFERROR(IF(#REF!="S",VLOOKUP('Raw Data'!A6171,References!#REF!,2,FALSE),(VLOOKUP($S6171,References!$B$3:$C$8,2,FALSE))),"")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58"/>
        <v>0</v>
      </c>
      <c r="T6172" s="98">
        <f t="shared" si="259"/>
        <v>0</v>
      </c>
      <c r="U6172" s="99" t="str">
        <f>IFERROR(IF(#REF!="S",VLOOKUP('Raw Data'!A6172,References!#REF!,2,FALSE),(VLOOKUP($S6172,References!$B$3:$C$8,2,FALSE))),"")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58"/>
        <v>0</v>
      </c>
      <c r="T6173" s="98">
        <f t="shared" si="259"/>
        <v>0</v>
      </c>
      <c r="U6173" s="99" t="str">
        <f>IFERROR(IF(#REF!="S",VLOOKUP('Raw Data'!A6173,References!#REF!,2,FALSE),(VLOOKUP($S6173,References!$B$3:$C$8,2,FALSE))),"")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58"/>
        <v>0</v>
      </c>
      <c r="T6174" s="98">
        <f t="shared" si="259"/>
        <v>0</v>
      </c>
      <c r="U6174" s="99" t="str">
        <f>IFERROR(IF(#REF!="S",VLOOKUP('Raw Data'!A6174,References!#REF!,2,FALSE),(VLOOKUP($S6174,References!$B$3:$C$8,2,FALSE))),"")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58"/>
        <v>0</v>
      </c>
      <c r="T6175" s="98">
        <f t="shared" si="259"/>
        <v>0</v>
      </c>
      <c r="U6175" s="99" t="str">
        <f>IFERROR(IF(#REF!="S",VLOOKUP('Raw Data'!A6175,References!#REF!,2,FALSE),(VLOOKUP($S6175,References!$B$3:$C$8,2,FALSE))),"")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58"/>
        <v>0</v>
      </c>
      <c r="T6176" s="98">
        <f t="shared" si="259"/>
        <v>0</v>
      </c>
      <c r="U6176" s="99" t="str">
        <f>IFERROR(IF(#REF!="S",VLOOKUP('Raw Data'!A6176,References!#REF!,2,FALSE),(VLOOKUP($S6176,References!$B$3:$C$8,2,FALSE))),"")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58"/>
        <v>0</v>
      </c>
      <c r="T6177" s="98">
        <f t="shared" si="259"/>
        <v>0</v>
      </c>
      <c r="U6177" s="99" t="str">
        <f>IFERROR(IF(#REF!="S",VLOOKUP('Raw Data'!A6177,References!#REF!,2,FALSE),(VLOOKUP($S6177,References!$B$3:$C$8,2,FALSE))),"")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58"/>
        <v>0</v>
      </c>
      <c r="T6178" s="98">
        <f t="shared" si="259"/>
        <v>0</v>
      </c>
      <c r="U6178" s="99" t="str">
        <f>IFERROR(IF(#REF!="S",VLOOKUP('Raw Data'!A6178,References!#REF!,2,FALSE),(VLOOKUP($S6178,References!$B$3:$C$8,2,FALSE))),"")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58"/>
        <v>0</v>
      </c>
      <c r="T6179" s="98">
        <f t="shared" si="259"/>
        <v>0</v>
      </c>
      <c r="U6179" s="99" t="str">
        <f>IFERROR(IF(#REF!="S",VLOOKUP('Raw Data'!A6179,References!#REF!,2,FALSE),(VLOOKUP($S6179,References!$B$3:$C$8,2,FALSE))),"")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58"/>
        <v>0</v>
      </c>
      <c r="T6180" s="98">
        <f t="shared" si="259"/>
        <v>0</v>
      </c>
      <c r="U6180" s="99" t="str">
        <f>IFERROR(IF(#REF!="S",VLOOKUP('Raw Data'!A6180,References!#REF!,2,FALSE),(VLOOKUP($S6180,References!$B$3:$C$8,2,FALSE))),"")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58"/>
        <v>0</v>
      </c>
      <c r="T6181" s="98">
        <f t="shared" si="259"/>
        <v>0</v>
      </c>
      <c r="U6181" s="99" t="str">
        <f>IFERROR(IF(#REF!="S",VLOOKUP('Raw Data'!A6181,References!#REF!,2,FALSE),(VLOOKUP($S6181,References!$B$3:$C$8,2,FALSE))),"")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58"/>
        <v>0</v>
      </c>
      <c r="T6182" s="98">
        <f t="shared" si="259"/>
        <v>0</v>
      </c>
      <c r="U6182" s="99" t="str">
        <f>IFERROR(IF(#REF!="S",VLOOKUP('Raw Data'!A6182,References!#REF!,2,FALSE),(VLOOKUP($S6182,References!$B$3:$C$8,2,FALSE))),"")</f>
        <v/>
      </c>
      <c r="W6182" s="66" t="str">
        <f>IFERROR(VLOOKUP($O6182,'Customer List'!$A$1:$J$488,10,FALSE),"")</f>
        <v/>
      </c>
    </row>
    <row r="6183" spans="18:23">
      <c r="R6183" s="97">
        <f t="shared" si="258"/>
        <v>0</v>
      </c>
      <c r="T6183" s="98">
        <f t="shared" si="259"/>
        <v>0</v>
      </c>
      <c r="U6183" s="99" t="str">
        <f>IFERROR(IF(#REF!="S",VLOOKUP('Raw Data'!A6183,References!#REF!,2,FALSE),(VLOOKUP($S6183,References!$B$3:$C$8,2,FALSE))),"")</f>
        <v/>
      </c>
      <c r="W6183" s="66" t="str">
        <f>IFERROR(VLOOKUP($O6183,'Customer List'!$A$1:$J$488,10,FALSE),"")</f>
        <v/>
      </c>
    </row>
    <row r="6184" spans="18:23">
      <c r="R6184" s="97">
        <f t="shared" ref="R6184:R6247" si="260">L6184-K6184</f>
        <v>0</v>
      </c>
      <c r="T6184" s="98">
        <f t="shared" si="259"/>
        <v>0</v>
      </c>
      <c r="U6184" s="99" t="str">
        <f>IFERROR(IF(#REF!="S",VLOOKUP('Raw Data'!A6184,References!#REF!,2,FALSE),(VLOOKUP($S6184,References!$B$3:$C$8,2,FALSE))),"")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0"/>
        <v>0</v>
      </c>
      <c r="T6185" s="98">
        <f t="shared" si="259"/>
        <v>0</v>
      </c>
      <c r="U6185" s="99" t="str">
        <f>IFERROR(IF(#REF!="S",VLOOKUP('Raw Data'!A6185,References!#REF!,2,FALSE),(VLOOKUP($S6185,References!$B$3:$C$8,2,FALSE))),"")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0"/>
        <v>0</v>
      </c>
      <c r="T6186" s="98">
        <f t="shared" si="259"/>
        <v>0</v>
      </c>
      <c r="U6186" s="99" t="str">
        <f>IFERROR(IF(#REF!="S",VLOOKUP('Raw Data'!A6186,References!#REF!,2,FALSE),(VLOOKUP($S6186,References!$B$3:$C$8,2,FALSE))),"")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0"/>
        <v>0</v>
      </c>
      <c r="T6187" s="98">
        <f t="shared" si="259"/>
        <v>0</v>
      </c>
      <c r="U6187" s="99" t="str">
        <f>IFERROR(IF(#REF!="S",VLOOKUP('Raw Data'!A6187,References!#REF!,2,FALSE),(VLOOKUP($S6187,References!$B$3:$C$8,2,FALSE))),"")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0"/>
        <v>0</v>
      </c>
      <c r="T6188" s="98">
        <f t="shared" si="259"/>
        <v>0</v>
      </c>
      <c r="U6188" s="99" t="str">
        <f>IFERROR(IF(#REF!="S",VLOOKUP('Raw Data'!A6188,References!#REF!,2,FALSE),(VLOOKUP($S6188,References!$B$3:$C$8,2,FALSE))),"")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0"/>
        <v>0</v>
      </c>
      <c r="T6189" s="98">
        <f t="shared" si="259"/>
        <v>0</v>
      </c>
      <c r="U6189" s="99" t="str">
        <f>IFERROR(IF(#REF!="S",VLOOKUP('Raw Data'!A6189,References!#REF!,2,FALSE),(VLOOKUP($S6189,References!$B$3:$C$8,2,FALSE))),"")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0"/>
        <v>0</v>
      </c>
      <c r="T6190" s="98">
        <f t="shared" si="259"/>
        <v>0</v>
      </c>
      <c r="U6190" s="99" t="str">
        <f>IFERROR(IF(#REF!="S",VLOOKUP('Raw Data'!A6190,References!#REF!,2,FALSE),(VLOOKUP($S6190,References!$B$3:$C$8,2,FALSE))),"")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0"/>
        <v>0</v>
      </c>
      <c r="T6191" s="98">
        <f t="shared" si="259"/>
        <v>0</v>
      </c>
      <c r="U6191" s="99" t="str">
        <f>IFERROR(IF(#REF!="S",VLOOKUP('Raw Data'!A6191,References!#REF!,2,FALSE),(VLOOKUP($S6191,References!$B$3:$C$8,2,FALSE))),"")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0"/>
        <v>0</v>
      </c>
      <c r="T6192" s="98">
        <f t="shared" si="259"/>
        <v>0</v>
      </c>
      <c r="U6192" s="99" t="str">
        <f>IFERROR(IF(#REF!="S",VLOOKUP('Raw Data'!A6192,References!#REF!,2,FALSE),(VLOOKUP($S6192,References!$B$3:$C$8,2,FALSE))),"")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0"/>
        <v>0</v>
      </c>
      <c r="T6193" s="98">
        <f t="shared" si="259"/>
        <v>0</v>
      </c>
      <c r="U6193" s="99" t="str">
        <f>IFERROR(IF(#REF!="S",VLOOKUP('Raw Data'!A6193,References!#REF!,2,FALSE),(VLOOKUP($S6193,References!$B$3:$C$8,2,FALSE))),"")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0"/>
        <v>0</v>
      </c>
      <c r="T6194" s="98">
        <f t="shared" si="259"/>
        <v>0</v>
      </c>
      <c r="U6194" s="99" t="str">
        <f>IFERROR(IF(#REF!="S",VLOOKUP('Raw Data'!A6194,References!#REF!,2,FALSE),(VLOOKUP($S6194,References!$B$3:$C$8,2,FALSE))),"")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0"/>
        <v>0</v>
      </c>
      <c r="T6195" s="98">
        <f t="shared" si="259"/>
        <v>0</v>
      </c>
      <c r="U6195" s="99" t="str">
        <f>IFERROR(IF(#REF!="S",VLOOKUP('Raw Data'!A6195,References!#REF!,2,FALSE),(VLOOKUP($S6195,References!$B$3:$C$8,2,FALSE))),"")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0"/>
        <v>0</v>
      </c>
      <c r="T6196" s="98">
        <f t="shared" si="259"/>
        <v>0</v>
      </c>
      <c r="U6196" s="99" t="str">
        <f>IFERROR(IF(#REF!="S",VLOOKUP('Raw Data'!A6196,References!#REF!,2,FALSE),(VLOOKUP($S6196,References!$B$3:$C$8,2,FALSE))),"")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0"/>
        <v>0</v>
      </c>
      <c r="T6197" s="98">
        <f t="shared" si="259"/>
        <v>0</v>
      </c>
      <c r="U6197" s="99" t="str">
        <f>IFERROR(IF(#REF!="S",VLOOKUP('Raw Data'!A6197,References!#REF!,2,FALSE),(VLOOKUP($S6197,References!$B$3:$C$8,2,FALSE))),"")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0"/>
        <v>0</v>
      </c>
      <c r="T6198" s="98">
        <f t="shared" si="259"/>
        <v>0</v>
      </c>
      <c r="U6198" s="99" t="str">
        <f>IFERROR(IF(#REF!="S",VLOOKUP('Raw Data'!A6198,References!#REF!,2,FALSE),(VLOOKUP($S6198,References!$B$3:$C$8,2,FALSE))),"")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0"/>
        <v>0</v>
      </c>
      <c r="T6199" s="98">
        <f t="shared" si="259"/>
        <v>0</v>
      </c>
      <c r="U6199" s="99" t="str">
        <f>IFERROR(IF(#REF!="S",VLOOKUP('Raw Data'!A6199,References!#REF!,2,FALSE),(VLOOKUP($S6199,References!$B$3:$C$8,2,FALSE))),"")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0"/>
        <v>0</v>
      </c>
      <c r="T6200" s="98">
        <f t="shared" si="259"/>
        <v>0</v>
      </c>
      <c r="U6200" s="99" t="str">
        <f>IFERROR(IF(#REF!="S",VLOOKUP('Raw Data'!A6200,References!#REF!,2,FALSE),(VLOOKUP($S6200,References!$B$3:$C$8,2,FALSE))),"")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0"/>
        <v>0</v>
      </c>
      <c r="T6201" s="98">
        <f t="shared" si="259"/>
        <v>0</v>
      </c>
      <c r="U6201" s="99" t="str">
        <f>IFERROR(IF(#REF!="S",VLOOKUP('Raw Data'!A6201,References!#REF!,2,FALSE),(VLOOKUP($S6201,References!$B$3:$C$8,2,FALSE))),"")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0"/>
        <v>0</v>
      </c>
      <c r="T6202" s="98">
        <f t="shared" si="259"/>
        <v>0</v>
      </c>
      <c r="U6202" s="99" t="str">
        <f>IFERROR(IF(#REF!="S",VLOOKUP('Raw Data'!A6202,References!#REF!,2,FALSE),(VLOOKUP($S6202,References!$B$3:$C$8,2,FALSE))),"")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0"/>
        <v>0</v>
      </c>
      <c r="T6203" s="98">
        <f t="shared" si="259"/>
        <v>0</v>
      </c>
      <c r="U6203" s="99" t="str">
        <f>IFERROR(IF(#REF!="S",VLOOKUP('Raw Data'!A6203,References!#REF!,2,FALSE),(VLOOKUP($S6203,References!$B$3:$C$8,2,FALSE))),"")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0"/>
        <v>0</v>
      </c>
      <c r="T6204" s="98">
        <f t="shared" si="259"/>
        <v>0</v>
      </c>
      <c r="U6204" s="99" t="str">
        <f>IFERROR(IF(#REF!="S",VLOOKUP('Raw Data'!A6204,References!#REF!,2,FALSE),(VLOOKUP($S6204,References!$B$3:$C$8,2,FALSE))),"")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0"/>
        <v>0</v>
      </c>
      <c r="T6205" s="98">
        <f t="shared" si="259"/>
        <v>0</v>
      </c>
      <c r="U6205" s="99" t="str">
        <f>IFERROR(IF(#REF!="S",VLOOKUP('Raw Data'!A6205,References!#REF!,2,FALSE),(VLOOKUP($S6205,References!$B$3:$C$8,2,FALSE))),"")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0"/>
        <v>0</v>
      </c>
      <c r="T6206" s="98">
        <f t="shared" si="259"/>
        <v>0</v>
      </c>
      <c r="U6206" s="99" t="str">
        <f>IFERROR(IF(#REF!="S",VLOOKUP('Raw Data'!A6206,References!#REF!,2,FALSE),(VLOOKUP($S6206,References!$B$3:$C$8,2,FALSE))),"")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0"/>
        <v>0</v>
      </c>
      <c r="T6207" s="98">
        <f t="shared" si="259"/>
        <v>0</v>
      </c>
      <c r="U6207" s="99" t="str">
        <f>IFERROR(IF(#REF!="S",VLOOKUP('Raw Data'!A6207,References!#REF!,2,FALSE),(VLOOKUP($S6207,References!$B$3:$C$8,2,FALSE))),"")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0"/>
        <v>0</v>
      </c>
      <c r="T6208" s="98">
        <f t="shared" si="259"/>
        <v>0</v>
      </c>
      <c r="U6208" s="99" t="str">
        <f>IFERROR(IF(#REF!="S",VLOOKUP('Raw Data'!A6208,References!#REF!,2,FALSE),(VLOOKUP($S6208,References!$B$3:$C$8,2,FALSE))),"")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0"/>
        <v>0</v>
      </c>
      <c r="T6209" s="98">
        <f t="shared" si="259"/>
        <v>0</v>
      </c>
      <c r="U6209" s="99" t="str">
        <f>IFERROR(IF(#REF!="S",VLOOKUP('Raw Data'!A6209,References!#REF!,2,FALSE),(VLOOKUP($S6209,References!$B$3:$C$8,2,FALSE))),"")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0"/>
        <v>0</v>
      </c>
      <c r="T6210" s="98">
        <f t="shared" si="259"/>
        <v>0</v>
      </c>
      <c r="U6210" s="99" t="str">
        <f>IFERROR(IF(#REF!="S",VLOOKUP('Raw Data'!A6210,References!#REF!,2,FALSE),(VLOOKUP($S6210,References!$B$3:$C$8,2,FALSE))),"")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0"/>
        <v>0</v>
      </c>
      <c r="T6211" s="98">
        <f t="shared" si="259"/>
        <v>0</v>
      </c>
      <c r="U6211" s="99" t="str">
        <f>IFERROR(IF(#REF!="S",VLOOKUP('Raw Data'!A6211,References!#REF!,2,FALSE),(VLOOKUP($S6211,References!$B$3:$C$8,2,FALSE))),"")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0"/>
        <v>0</v>
      </c>
      <c r="T6212" s="98">
        <f t="shared" si="259"/>
        <v>0</v>
      </c>
      <c r="U6212" s="99" t="str">
        <f>IFERROR(IF(#REF!="S",VLOOKUP('Raw Data'!A6212,References!#REF!,2,FALSE),(VLOOKUP($S6212,References!$B$3:$C$8,2,FALSE))),"")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0"/>
        <v>0</v>
      </c>
      <c r="T6213" s="98">
        <f t="shared" si="259"/>
        <v>0</v>
      </c>
      <c r="U6213" s="99" t="str">
        <f>IFERROR(IF(#REF!="S",VLOOKUP('Raw Data'!A6213,References!#REF!,2,FALSE),(VLOOKUP($S6213,References!$B$3:$C$8,2,FALSE))),"")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0"/>
        <v>0</v>
      </c>
      <c r="T6214" s="98">
        <f t="shared" si="259"/>
        <v>0</v>
      </c>
      <c r="U6214" s="99" t="str">
        <f>IFERROR(IF(#REF!="S",VLOOKUP('Raw Data'!A6214,References!#REF!,2,FALSE),(VLOOKUP($S6214,References!$B$3:$C$8,2,FALSE))),"")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0"/>
        <v>0</v>
      </c>
      <c r="T6215" s="98">
        <f t="shared" si="259"/>
        <v>0</v>
      </c>
      <c r="U6215" s="99" t="str">
        <f>IFERROR(IF(#REF!="S",VLOOKUP('Raw Data'!A6215,References!#REF!,2,FALSE),(VLOOKUP($S6215,References!$B$3:$C$8,2,FALSE))),"")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0"/>
        <v>0</v>
      </c>
      <c r="T6216" s="98">
        <f t="shared" si="259"/>
        <v>0</v>
      </c>
      <c r="U6216" s="99" t="str">
        <f>IFERROR(IF(#REF!="S",VLOOKUP('Raw Data'!A6216,References!#REF!,2,FALSE),(VLOOKUP($S6216,References!$B$3:$C$8,2,FALSE))),"")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0"/>
        <v>0</v>
      </c>
      <c r="T6217" s="98">
        <f t="shared" si="259"/>
        <v>0</v>
      </c>
      <c r="U6217" s="99" t="str">
        <f>IFERROR(IF(#REF!="S",VLOOKUP('Raw Data'!A6217,References!#REF!,2,FALSE),(VLOOKUP($S6217,References!$B$3:$C$8,2,FALSE))),"")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0"/>
        <v>0</v>
      </c>
      <c r="T6218" s="98">
        <f t="shared" si="259"/>
        <v>0</v>
      </c>
      <c r="U6218" s="99" t="str">
        <f>IFERROR(IF(#REF!="S",VLOOKUP('Raw Data'!A6218,References!#REF!,2,FALSE),(VLOOKUP($S6218,References!$B$3:$C$8,2,FALSE))),"")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0"/>
        <v>0</v>
      </c>
      <c r="T6219" s="98">
        <f t="shared" si="259"/>
        <v>0</v>
      </c>
      <c r="U6219" s="99" t="str">
        <f>IFERROR(IF(#REF!="S",VLOOKUP('Raw Data'!A6219,References!#REF!,2,FALSE),(VLOOKUP($S6219,References!$B$3:$C$8,2,FALSE))),"")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0"/>
        <v>0</v>
      </c>
      <c r="T6220" s="98">
        <f t="shared" si="259"/>
        <v>0</v>
      </c>
      <c r="U6220" s="99" t="str">
        <f>IFERROR(IF(#REF!="S",VLOOKUP('Raw Data'!A6220,References!#REF!,2,FALSE),(VLOOKUP($S6220,References!$B$3:$C$8,2,FALSE))),"")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0"/>
        <v>0</v>
      </c>
      <c r="T6221" s="98">
        <f t="shared" si="259"/>
        <v>0</v>
      </c>
      <c r="U6221" s="99" t="str">
        <f>IFERROR(IF(#REF!="S",VLOOKUP('Raw Data'!A6221,References!#REF!,2,FALSE),(VLOOKUP($S6221,References!$B$3:$C$8,2,FALSE))),"")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0"/>
        <v>0</v>
      </c>
      <c r="T6222" s="98">
        <f t="shared" si="259"/>
        <v>0</v>
      </c>
      <c r="U6222" s="99" t="str">
        <f>IFERROR(IF(#REF!="S",VLOOKUP('Raw Data'!A6222,References!#REF!,2,FALSE),(VLOOKUP($S6222,References!$B$3:$C$8,2,FALSE))),"")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0"/>
        <v>0</v>
      </c>
      <c r="T6223" s="98">
        <f t="shared" si="259"/>
        <v>0</v>
      </c>
      <c r="U6223" s="99" t="str">
        <f>IFERROR(IF(#REF!="S",VLOOKUP('Raw Data'!A6223,References!#REF!,2,FALSE),(VLOOKUP($S6223,References!$B$3:$C$8,2,FALSE))),"")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0"/>
        <v>0</v>
      </c>
      <c r="T6224" s="98">
        <f t="shared" ref="T6224:T6287" si="261">IF(S6224="50 - Cleaning Fee",1,HOUR($R6224)+MINUTE(R6224)/60)</f>
        <v>0</v>
      </c>
      <c r="U6224" s="99" t="str">
        <f>IFERROR(IF(#REF!="S",VLOOKUP('Raw Data'!A6224,References!#REF!,2,FALSE),(VLOOKUP($S6224,References!$B$3:$C$8,2,FALSE))),"")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0"/>
        <v>0</v>
      </c>
      <c r="T6225" s="98">
        <f t="shared" si="261"/>
        <v>0</v>
      </c>
      <c r="U6225" s="99" t="str">
        <f>IFERROR(IF(#REF!="S",VLOOKUP('Raw Data'!A6225,References!#REF!,2,FALSE),(VLOOKUP($S6225,References!$B$3:$C$8,2,FALSE))),"")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0"/>
        <v>0</v>
      </c>
      <c r="T6226" s="98">
        <f t="shared" si="261"/>
        <v>0</v>
      </c>
      <c r="U6226" s="99" t="str">
        <f>IFERROR(IF(#REF!="S",VLOOKUP('Raw Data'!A6226,References!#REF!,2,FALSE),(VLOOKUP($S6226,References!$B$3:$C$8,2,FALSE))),"")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0"/>
        <v>0</v>
      </c>
      <c r="T6227" s="98">
        <f t="shared" si="261"/>
        <v>0</v>
      </c>
      <c r="U6227" s="99" t="str">
        <f>IFERROR(IF(#REF!="S",VLOOKUP('Raw Data'!A6227,References!#REF!,2,FALSE),(VLOOKUP($S6227,References!$B$3:$C$8,2,FALSE))),"")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0"/>
        <v>0</v>
      </c>
      <c r="T6228" s="98">
        <f t="shared" si="261"/>
        <v>0</v>
      </c>
      <c r="U6228" s="99" t="str">
        <f>IFERROR(IF(#REF!="S",VLOOKUP('Raw Data'!A6228,References!#REF!,2,FALSE),(VLOOKUP($S6228,References!$B$3:$C$8,2,FALSE))),"")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0"/>
        <v>0</v>
      </c>
      <c r="T6229" s="98">
        <f t="shared" si="261"/>
        <v>0</v>
      </c>
      <c r="U6229" s="99" t="str">
        <f>IFERROR(IF(#REF!="S",VLOOKUP('Raw Data'!A6229,References!#REF!,2,FALSE),(VLOOKUP($S6229,References!$B$3:$C$8,2,FALSE))),"")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0"/>
        <v>0</v>
      </c>
      <c r="T6230" s="98">
        <f t="shared" si="261"/>
        <v>0</v>
      </c>
      <c r="U6230" s="99" t="str">
        <f>IFERROR(IF(#REF!="S",VLOOKUP('Raw Data'!A6230,References!#REF!,2,FALSE),(VLOOKUP($S6230,References!$B$3:$C$8,2,FALSE))),"")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0"/>
        <v>0</v>
      </c>
      <c r="T6231" s="98">
        <f t="shared" si="261"/>
        <v>0</v>
      </c>
      <c r="U6231" s="99" t="str">
        <f>IFERROR(IF(#REF!="S",VLOOKUP('Raw Data'!A6231,References!#REF!,2,FALSE),(VLOOKUP($S6231,References!$B$3:$C$8,2,FALSE))),"")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0"/>
        <v>0</v>
      </c>
      <c r="T6232" s="98">
        <f t="shared" si="261"/>
        <v>0</v>
      </c>
      <c r="U6232" s="99" t="str">
        <f>IFERROR(IF(#REF!="S",VLOOKUP('Raw Data'!A6232,References!#REF!,2,FALSE),(VLOOKUP($S6232,References!$B$3:$C$8,2,FALSE))),"")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0"/>
        <v>0</v>
      </c>
      <c r="T6233" s="98">
        <f t="shared" si="261"/>
        <v>0</v>
      </c>
      <c r="U6233" s="99" t="str">
        <f>IFERROR(IF(#REF!="S",VLOOKUP('Raw Data'!A6233,References!#REF!,2,FALSE),(VLOOKUP($S6233,References!$B$3:$C$8,2,FALSE))),"")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0"/>
        <v>0</v>
      </c>
      <c r="T6234" s="98">
        <f t="shared" si="261"/>
        <v>0</v>
      </c>
      <c r="U6234" s="99" t="str">
        <f>IFERROR(IF(#REF!="S",VLOOKUP('Raw Data'!A6234,References!#REF!,2,FALSE),(VLOOKUP($S6234,References!$B$3:$C$8,2,FALSE))),"")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0"/>
        <v>0</v>
      </c>
      <c r="T6235" s="98">
        <f t="shared" si="261"/>
        <v>0</v>
      </c>
      <c r="U6235" s="99" t="str">
        <f>IFERROR(IF(#REF!="S",VLOOKUP('Raw Data'!A6235,References!#REF!,2,FALSE),(VLOOKUP($S6235,References!$B$3:$C$8,2,FALSE))),"")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0"/>
        <v>0</v>
      </c>
      <c r="T6236" s="98">
        <f t="shared" si="261"/>
        <v>0</v>
      </c>
      <c r="U6236" s="99" t="str">
        <f>IFERROR(IF(#REF!="S",VLOOKUP('Raw Data'!A6236,References!#REF!,2,FALSE),(VLOOKUP($S6236,References!$B$3:$C$8,2,FALSE))),"")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0"/>
        <v>0</v>
      </c>
      <c r="T6237" s="98">
        <f t="shared" si="261"/>
        <v>0</v>
      </c>
      <c r="U6237" s="99" t="str">
        <f>IFERROR(IF(#REF!="S",VLOOKUP('Raw Data'!A6237,References!#REF!,2,FALSE),(VLOOKUP($S6237,References!$B$3:$C$8,2,FALSE))),"")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0"/>
        <v>0</v>
      </c>
      <c r="T6238" s="98">
        <f t="shared" si="261"/>
        <v>0</v>
      </c>
      <c r="U6238" s="99" t="str">
        <f>IFERROR(IF(#REF!="S",VLOOKUP('Raw Data'!A6238,References!#REF!,2,FALSE),(VLOOKUP($S6238,References!$B$3:$C$8,2,FALSE))),"")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0"/>
        <v>0</v>
      </c>
      <c r="T6239" s="98">
        <f t="shared" si="261"/>
        <v>0</v>
      </c>
      <c r="U6239" s="99" t="str">
        <f>IFERROR(IF(#REF!="S",VLOOKUP('Raw Data'!A6239,References!#REF!,2,FALSE),(VLOOKUP($S6239,References!$B$3:$C$8,2,FALSE))),"")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0"/>
        <v>0</v>
      </c>
      <c r="T6240" s="98">
        <f t="shared" si="261"/>
        <v>0</v>
      </c>
      <c r="U6240" s="99" t="str">
        <f>IFERROR(IF(#REF!="S",VLOOKUP('Raw Data'!A6240,References!#REF!,2,FALSE),(VLOOKUP($S6240,References!$B$3:$C$8,2,FALSE))),"")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0"/>
        <v>0</v>
      </c>
      <c r="T6241" s="98">
        <f t="shared" si="261"/>
        <v>0</v>
      </c>
      <c r="U6241" s="99" t="str">
        <f>IFERROR(IF(#REF!="S",VLOOKUP('Raw Data'!A6241,References!#REF!,2,FALSE),(VLOOKUP($S6241,References!$B$3:$C$8,2,FALSE))),"")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0"/>
        <v>0</v>
      </c>
      <c r="T6242" s="98">
        <f t="shared" si="261"/>
        <v>0</v>
      </c>
      <c r="U6242" s="99" t="str">
        <f>IFERROR(IF(#REF!="S",VLOOKUP('Raw Data'!A6242,References!#REF!,2,FALSE),(VLOOKUP($S6242,References!$B$3:$C$8,2,FALSE))),"")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0"/>
        <v>0</v>
      </c>
      <c r="T6243" s="98">
        <f t="shared" si="261"/>
        <v>0</v>
      </c>
      <c r="U6243" s="99" t="str">
        <f>IFERROR(IF(#REF!="S",VLOOKUP('Raw Data'!A6243,References!#REF!,2,FALSE),(VLOOKUP($S6243,References!$B$3:$C$8,2,FALSE))),"")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0"/>
        <v>0</v>
      </c>
      <c r="T6244" s="98">
        <f t="shared" si="261"/>
        <v>0</v>
      </c>
      <c r="U6244" s="99" t="str">
        <f>IFERROR(IF(#REF!="S",VLOOKUP('Raw Data'!A6244,References!#REF!,2,FALSE),(VLOOKUP($S6244,References!$B$3:$C$8,2,FALSE))),"")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0"/>
        <v>0</v>
      </c>
      <c r="T6245" s="98">
        <f t="shared" si="261"/>
        <v>0</v>
      </c>
      <c r="U6245" s="99" t="str">
        <f>IFERROR(IF(#REF!="S",VLOOKUP('Raw Data'!A6245,References!#REF!,2,FALSE),(VLOOKUP($S6245,References!$B$3:$C$8,2,FALSE))),"")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0"/>
        <v>0</v>
      </c>
      <c r="T6246" s="98">
        <f t="shared" si="261"/>
        <v>0</v>
      </c>
      <c r="U6246" s="99" t="str">
        <f>IFERROR(IF(#REF!="S",VLOOKUP('Raw Data'!A6246,References!#REF!,2,FALSE),(VLOOKUP($S6246,References!$B$3:$C$8,2,FALSE))),"")</f>
        <v/>
      </c>
      <c r="W6246" s="66" t="str">
        <f>IFERROR(VLOOKUP($O6246,'Customer List'!$A$1:$J$488,10,FALSE),"")</f>
        <v/>
      </c>
    </row>
    <row r="6247" spans="18:23">
      <c r="R6247" s="97">
        <f t="shared" si="260"/>
        <v>0</v>
      </c>
      <c r="T6247" s="98">
        <f t="shared" si="261"/>
        <v>0</v>
      </c>
      <c r="U6247" s="99" t="str">
        <f>IFERROR(IF(#REF!="S",VLOOKUP('Raw Data'!A6247,References!#REF!,2,FALSE),(VLOOKUP($S6247,References!$B$3:$C$8,2,FALSE))),"")</f>
        <v/>
      </c>
      <c r="W6247" s="66" t="str">
        <f>IFERROR(VLOOKUP($O6247,'Customer List'!$A$1:$J$488,10,FALSE),"")</f>
        <v/>
      </c>
    </row>
    <row r="6248" spans="18:23">
      <c r="R6248" s="97">
        <f t="shared" ref="R6248:R6311" si="262">L6248-K6248</f>
        <v>0</v>
      </c>
      <c r="T6248" s="98">
        <f t="shared" si="261"/>
        <v>0</v>
      </c>
      <c r="U6248" s="99" t="str">
        <f>IFERROR(IF(#REF!="S",VLOOKUP('Raw Data'!A6248,References!#REF!,2,FALSE),(VLOOKUP($S6248,References!$B$3:$C$8,2,FALSE))),"")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2"/>
        <v>0</v>
      </c>
      <c r="T6249" s="98">
        <f t="shared" si="261"/>
        <v>0</v>
      </c>
      <c r="U6249" s="99" t="str">
        <f>IFERROR(IF(#REF!="S",VLOOKUP('Raw Data'!A6249,References!#REF!,2,FALSE),(VLOOKUP($S6249,References!$B$3:$C$8,2,FALSE))),"")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2"/>
        <v>0</v>
      </c>
      <c r="T6250" s="98">
        <f t="shared" si="261"/>
        <v>0</v>
      </c>
      <c r="U6250" s="99" t="str">
        <f>IFERROR(IF(#REF!="S",VLOOKUP('Raw Data'!A6250,References!#REF!,2,FALSE),(VLOOKUP($S6250,References!$B$3:$C$8,2,FALSE))),"")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2"/>
        <v>0</v>
      </c>
      <c r="T6251" s="98">
        <f t="shared" si="261"/>
        <v>0</v>
      </c>
      <c r="U6251" s="99" t="str">
        <f>IFERROR(IF(#REF!="S",VLOOKUP('Raw Data'!A6251,References!#REF!,2,FALSE),(VLOOKUP($S6251,References!$B$3:$C$8,2,FALSE))),"")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2"/>
        <v>0</v>
      </c>
      <c r="T6252" s="98">
        <f t="shared" si="261"/>
        <v>0</v>
      </c>
      <c r="U6252" s="99" t="str">
        <f>IFERROR(IF(#REF!="S",VLOOKUP('Raw Data'!A6252,References!#REF!,2,FALSE),(VLOOKUP($S6252,References!$B$3:$C$8,2,FALSE))),"")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2"/>
        <v>0</v>
      </c>
      <c r="T6253" s="98">
        <f t="shared" si="261"/>
        <v>0</v>
      </c>
      <c r="U6253" s="99" t="str">
        <f>IFERROR(IF(#REF!="S",VLOOKUP('Raw Data'!A6253,References!#REF!,2,FALSE),(VLOOKUP($S6253,References!$B$3:$C$8,2,FALSE))),"")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2"/>
        <v>0</v>
      </c>
      <c r="T6254" s="98">
        <f t="shared" si="261"/>
        <v>0</v>
      </c>
      <c r="U6254" s="99" t="str">
        <f>IFERROR(IF(#REF!="S",VLOOKUP('Raw Data'!A6254,References!#REF!,2,FALSE),(VLOOKUP($S6254,References!$B$3:$C$8,2,FALSE))),"")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2"/>
        <v>0</v>
      </c>
      <c r="T6255" s="98">
        <f t="shared" si="261"/>
        <v>0</v>
      </c>
      <c r="U6255" s="99" t="str">
        <f>IFERROR(IF(#REF!="S",VLOOKUP('Raw Data'!A6255,References!#REF!,2,FALSE),(VLOOKUP($S6255,References!$B$3:$C$8,2,FALSE))),"")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2"/>
        <v>0</v>
      </c>
      <c r="T6256" s="98">
        <f t="shared" si="261"/>
        <v>0</v>
      </c>
      <c r="U6256" s="99" t="str">
        <f>IFERROR(IF(#REF!="S",VLOOKUP('Raw Data'!A6256,References!#REF!,2,FALSE),(VLOOKUP($S6256,References!$B$3:$C$8,2,FALSE))),"")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2"/>
        <v>0</v>
      </c>
      <c r="T6257" s="98">
        <f t="shared" si="261"/>
        <v>0</v>
      </c>
      <c r="U6257" s="99" t="str">
        <f>IFERROR(IF(#REF!="S",VLOOKUP('Raw Data'!A6257,References!#REF!,2,FALSE),(VLOOKUP($S6257,References!$B$3:$C$8,2,FALSE))),"")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2"/>
        <v>0</v>
      </c>
      <c r="T6258" s="98">
        <f t="shared" si="261"/>
        <v>0</v>
      </c>
      <c r="U6258" s="99" t="str">
        <f>IFERROR(IF(#REF!="S",VLOOKUP('Raw Data'!A6258,References!#REF!,2,FALSE),(VLOOKUP($S6258,References!$B$3:$C$8,2,FALSE))),"")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2"/>
        <v>0</v>
      </c>
      <c r="T6259" s="98">
        <f t="shared" si="261"/>
        <v>0</v>
      </c>
      <c r="U6259" s="99" t="str">
        <f>IFERROR(IF(#REF!="S",VLOOKUP('Raw Data'!A6259,References!#REF!,2,FALSE),(VLOOKUP($S6259,References!$B$3:$C$8,2,FALSE))),"")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2"/>
        <v>0</v>
      </c>
      <c r="T6260" s="98">
        <f t="shared" si="261"/>
        <v>0</v>
      </c>
      <c r="U6260" s="99" t="str">
        <f>IFERROR(IF(#REF!="S",VLOOKUP('Raw Data'!A6260,References!#REF!,2,FALSE),(VLOOKUP($S6260,References!$B$3:$C$8,2,FALSE))),"")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2"/>
        <v>0</v>
      </c>
      <c r="T6261" s="98">
        <f t="shared" si="261"/>
        <v>0</v>
      </c>
      <c r="U6261" s="99" t="str">
        <f>IFERROR(IF(#REF!="S",VLOOKUP('Raw Data'!A6261,References!#REF!,2,FALSE),(VLOOKUP($S6261,References!$B$3:$C$8,2,FALSE))),"")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2"/>
        <v>0</v>
      </c>
      <c r="T6262" s="98">
        <f t="shared" si="261"/>
        <v>0</v>
      </c>
      <c r="U6262" s="99" t="str">
        <f>IFERROR(IF(#REF!="S",VLOOKUP('Raw Data'!A6262,References!#REF!,2,FALSE),(VLOOKUP($S6262,References!$B$3:$C$8,2,FALSE))),"")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2"/>
        <v>0</v>
      </c>
      <c r="T6263" s="98">
        <f t="shared" si="261"/>
        <v>0</v>
      </c>
      <c r="U6263" s="99" t="str">
        <f>IFERROR(IF(#REF!="S",VLOOKUP('Raw Data'!A6263,References!#REF!,2,FALSE),(VLOOKUP($S6263,References!$B$3:$C$8,2,FALSE))),"")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2"/>
        <v>0</v>
      </c>
      <c r="T6264" s="98">
        <f t="shared" si="261"/>
        <v>0</v>
      </c>
      <c r="U6264" s="99" t="str">
        <f>IFERROR(IF(#REF!="S",VLOOKUP('Raw Data'!A6264,References!#REF!,2,FALSE),(VLOOKUP($S6264,References!$B$3:$C$8,2,FALSE))),"")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2"/>
        <v>0</v>
      </c>
      <c r="T6265" s="98">
        <f t="shared" si="261"/>
        <v>0</v>
      </c>
      <c r="U6265" s="99" t="str">
        <f>IFERROR(IF(#REF!="S",VLOOKUP('Raw Data'!A6265,References!#REF!,2,FALSE),(VLOOKUP($S6265,References!$B$3:$C$8,2,FALSE))),"")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2"/>
        <v>0</v>
      </c>
      <c r="T6266" s="98">
        <f t="shared" si="261"/>
        <v>0</v>
      </c>
      <c r="U6266" s="99" t="str">
        <f>IFERROR(IF(#REF!="S",VLOOKUP('Raw Data'!A6266,References!#REF!,2,FALSE),(VLOOKUP($S6266,References!$B$3:$C$8,2,FALSE))),"")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2"/>
        <v>0</v>
      </c>
      <c r="T6267" s="98">
        <f t="shared" si="261"/>
        <v>0</v>
      </c>
      <c r="U6267" s="99" t="str">
        <f>IFERROR(IF(#REF!="S",VLOOKUP('Raw Data'!A6267,References!#REF!,2,FALSE),(VLOOKUP($S6267,References!$B$3:$C$8,2,FALSE))),"")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2"/>
        <v>0</v>
      </c>
      <c r="T6268" s="98">
        <f t="shared" si="261"/>
        <v>0</v>
      </c>
      <c r="U6268" s="99" t="str">
        <f>IFERROR(IF(#REF!="S",VLOOKUP('Raw Data'!A6268,References!#REF!,2,FALSE),(VLOOKUP($S6268,References!$B$3:$C$8,2,FALSE))),"")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2"/>
        <v>0</v>
      </c>
      <c r="T6269" s="98">
        <f t="shared" si="261"/>
        <v>0</v>
      </c>
      <c r="U6269" s="99" t="str">
        <f>IFERROR(IF(#REF!="S",VLOOKUP('Raw Data'!A6269,References!#REF!,2,FALSE),(VLOOKUP($S6269,References!$B$3:$C$8,2,FALSE))),"")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2"/>
        <v>0</v>
      </c>
      <c r="T6270" s="98">
        <f t="shared" si="261"/>
        <v>0</v>
      </c>
      <c r="U6270" s="99" t="str">
        <f>IFERROR(IF(#REF!="S",VLOOKUP('Raw Data'!A6270,References!#REF!,2,FALSE),(VLOOKUP($S6270,References!$B$3:$C$8,2,FALSE))),"")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2"/>
        <v>0</v>
      </c>
      <c r="T6271" s="98">
        <f t="shared" si="261"/>
        <v>0</v>
      </c>
      <c r="U6271" s="99" t="str">
        <f>IFERROR(IF(#REF!="S",VLOOKUP('Raw Data'!A6271,References!#REF!,2,FALSE),(VLOOKUP($S6271,References!$B$3:$C$8,2,FALSE))),"")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2"/>
        <v>0</v>
      </c>
      <c r="T6272" s="98">
        <f t="shared" si="261"/>
        <v>0</v>
      </c>
      <c r="U6272" s="99" t="str">
        <f>IFERROR(IF(#REF!="S",VLOOKUP('Raw Data'!A6272,References!#REF!,2,FALSE),(VLOOKUP($S6272,References!$B$3:$C$8,2,FALSE))),"")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2"/>
        <v>0</v>
      </c>
      <c r="T6273" s="98">
        <f t="shared" si="261"/>
        <v>0</v>
      </c>
      <c r="U6273" s="99" t="str">
        <f>IFERROR(IF(#REF!="S",VLOOKUP('Raw Data'!A6273,References!#REF!,2,FALSE),(VLOOKUP($S6273,References!$B$3:$C$8,2,FALSE))),"")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2"/>
        <v>0</v>
      </c>
      <c r="T6274" s="98">
        <f t="shared" si="261"/>
        <v>0</v>
      </c>
      <c r="U6274" s="99" t="str">
        <f>IFERROR(IF(#REF!="S",VLOOKUP('Raw Data'!A6274,References!#REF!,2,FALSE),(VLOOKUP($S6274,References!$B$3:$C$8,2,FALSE))),"")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2"/>
        <v>0</v>
      </c>
      <c r="T6275" s="98">
        <f t="shared" si="261"/>
        <v>0</v>
      </c>
      <c r="U6275" s="99" t="str">
        <f>IFERROR(IF(#REF!="S",VLOOKUP('Raw Data'!A6275,References!#REF!,2,FALSE),(VLOOKUP($S6275,References!$B$3:$C$8,2,FALSE))),"")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2"/>
        <v>0</v>
      </c>
      <c r="T6276" s="98">
        <f t="shared" si="261"/>
        <v>0</v>
      </c>
      <c r="U6276" s="99" t="str">
        <f>IFERROR(IF(#REF!="S",VLOOKUP('Raw Data'!A6276,References!#REF!,2,FALSE),(VLOOKUP($S6276,References!$B$3:$C$8,2,FALSE))),"")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2"/>
        <v>0</v>
      </c>
      <c r="T6277" s="98">
        <f t="shared" si="261"/>
        <v>0</v>
      </c>
      <c r="U6277" s="99" t="str">
        <f>IFERROR(IF(#REF!="S",VLOOKUP('Raw Data'!A6277,References!#REF!,2,FALSE),(VLOOKUP($S6277,References!$B$3:$C$8,2,FALSE))),"")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2"/>
        <v>0</v>
      </c>
      <c r="T6278" s="98">
        <f t="shared" si="261"/>
        <v>0</v>
      </c>
      <c r="U6278" s="99" t="str">
        <f>IFERROR(IF(#REF!="S",VLOOKUP('Raw Data'!A6278,References!#REF!,2,FALSE),(VLOOKUP($S6278,References!$B$3:$C$8,2,FALSE))),"")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2"/>
        <v>0</v>
      </c>
      <c r="T6279" s="98">
        <f t="shared" si="261"/>
        <v>0</v>
      </c>
      <c r="U6279" s="99" t="str">
        <f>IFERROR(IF(#REF!="S",VLOOKUP('Raw Data'!A6279,References!#REF!,2,FALSE),(VLOOKUP($S6279,References!$B$3:$C$8,2,FALSE))),"")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2"/>
        <v>0</v>
      </c>
      <c r="T6280" s="98">
        <f t="shared" si="261"/>
        <v>0</v>
      </c>
      <c r="U6280" s="99" t="str">
        <f>IFERROR(IF(#REF!="S",VLOOKUP('Raw Data'!A6280,References!#REF!,2,FALSE),(VLOOKUP($S6280,References!$B$3:$C$8,2,FALSE))),"")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2"/>
        <v>0</v>
      </c>
      <c r="T6281" s="98">
        <f t="shared" si="261"/>
        <v>0</v>
      </c>
      <c r="U6281" s="99" t="str">
        <f>IFERROR(IF(#REF!="S",VLOOKUP('Raw Data'!A6281,References!#REF!,2,FALSE),(VLOOKUP($S6281,References!$B$3:$C$8,2,FALSE))),"")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2"/>
        <v>0</v>
      </c>
      <c r="T6282" s="98">
        <f t="shared" si="261"/>
        <v>0</v>
      </c>
      <c r="U6282" s="99" t="str">
        <f>IFERROR(IF(#REF!="S",VLOOKUP('Raw Data'!A6282,References!#REF!,2,FALSE),(VLOOKUP($S6282,References!$B$3:$C$8,2,FALSE))),"")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2"/>
        <v>0</v>
      </c>
      <c r="T6283" s="98">
        <f t="shared" si="261"/>
        <v>0</v>
      </c>
      <c r="U6283" s="99" t="str">
        <f>IFERROR(IF(#REF!="S",VLOOKUP('Raw Data'!A6283,References!#REF!,2,FALSE),(VLOOKUP($S6283,References!$B$3:$C$8,2,FALSE))),"")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2"/>
        <v>0</v>
      </c>
      <c r="T6284" s="98">
        <f t="shared" si="261"/>
        <v>0</v>
      </c>
      <c r="U6284" s="99" t="str">
        <f>IFERROR(IF(#REF!="S",VLOOKUP('Raw Data'!A6284,References!#REF!,2,FALSE),(VLOOKUP($S6284,References!$B$3:$C$8,2,FALSE))),"")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2"/>
        <v>0</v>
      </c>
      <c r="T6285" s="98">
        <f t="shared" si="261"/>
        <v>0</v>
      </c>
      <c r="U6285" s="99" t="str">
        <f>IFERROR(IF(#REF!="S",VLOOKUP('Raw Data'!A6285,References!#REF!,2,FALSE),(VLOOKUP($S6285,References!$B$3:$C$8,2,FALSE))),"")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2"/>
        <v>0</v>
      </c>
      <c r="T6286" s="98">
        <f t="shared" si="261"/>
        <v>0</v>
      </c>
      <c r="U6286" s="99" t="str">
        <f>IFERROR(IF(#REF!="S",VLOOKUP('Raw Data'!A6286,References!#REF!,2,FALSE),(VLOOKUP($S6286,References!$B$3:$C$8,2,FALSE))),"")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2"/>
        <v>0</v>
      </c>
      <c r="T6287" s="98">
        <f t="shared" si="261"/>
        <v>0</v>
      </c>
      <c r="U6287" s="99" t="str">
        <f>IFERROR(IF(#REF!="S",VLOOKUP('Raw Data'!A6287,References!#REF!,2,FALSE),(VLOOKUP($S6287,References!$B$3:$C$8,2,FALSE))),"")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2"/>
        <v>0</v>
      </c>
      <c r="T6288" s="98">
        <f t="shared" ref="T6288:T6351" si="263">IF(S6288="50 - Cleaning Fee",1,HOUR($R6288)+MINUTE(R6288)/60)</f>
        <v>0</v>
      </c>
      <c r="U6288" s="99" t="str">
        <f>IFERROR(IF(#REF!="S",VLOOKUP('Raw Data'!A6288,References!#REF!,2,FALSE),(VLOOKUP($S6288,References!$B$3:$C$8,2,FALSE))),"")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2"/>
        <v>0</v>
      </c>
      <c r="T6289" s="98">
        <f t="shared" si="263"/>
        <v>0</v>
      </c>
      <c r="U6289" s="99" t="str">
        <f>IFERROR(IF(#REF!="S",VLOOKUP('Raw Data'!A6289,References!#REF!,2,FALSE),(VLOOKUP($S6289,References!$B$3:$C$8,2,FALSE))),"")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2"/>
        <v>0</v>
      </c>
      <c r="T6290" s="98">
        <f t="shared" si="263"/>
        <v>0</v>
      </c>
      <c r="U6290" s="99" t="str">
        <f>IFERROR(IF(#REF!="S",VLOOKUP('Raw Data'!A6290,References!#REF!,2,FALSE),(VLOOKUP($S6290,References!$B$3:$C$8,2,FALSE))),"")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2"/>
        <v>0</v>
      </c>
      <c r="T6291" s="98">
        <f t="shared" si="263"/>
        <v>0</v>
      </c>
      <c r="U6291" s="99" t="str">
        <f>IFERROR(IF(#REF!="S",VLOOKUP('Raw Data'!A6291,References!#REF!,2,FALSE),(VLOOKUP($S6291,References!$B$3:$C$8,2,FALSE))),"")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2"/>
        <v>0</v>
      </c>
      <c r="T6292" s="98">
        <f t="shared" si="263"/>
        <v>0</v>
      </c>
      <c r="U6292" s="99" t="str">
        <f>IFERROR(IF(#REF!="S",VLOOKUP('Raw Data'!A6292,References!#REF!,2,FALSE),(VLOOKUP($S6292,References!$B$3:$C$8,2,FALSE))),"")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2"/>
        <v>0</v>
      </c>
      <c r="T6293" s="98">
        <f t="shared" si="263"/>
        <v>0</v>
      </c>
      <c r="U6293" s="99" t="str">
        <f>IFERROR(IF(#REF!="S",VLOOKUP('Raw Data'!A6293,References!#REF!,2,FALSE),(VLOOKUP($S6293,References!$B$3:$C$8,2,FALSE))),"")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2"/>
        <v>0</v>
      </c>
      <c r="T6294" s="98">
        <f t="shared" si="263"/>
        <v>0</v>
      </c>
      <c r="U6294" s="99" t="str">
        <f>IFERROR(IF(#REF!="S",VLOOKUP('Raw Data'!A6294,References!#REF!,2,FALSE),(VLOOKUP($S6294,References!$B$3:$C$8,2,FALSE))),"")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2"/>
        <v>0</v>
      </c>
      <c r="T6295" s="98">
        <f t="shared" si="263"/>
        <v>0</v>
      </c>
      <c r="U6295" s="99" t="str">
        <f>IFERROR(IF(#REF!="S",VLOOKUP('Raw Data'!A6295,References!#REF!,2,FALSE),(VLOOKUP($S6295,References!$B$3:$C$8,2,FALSE))),"")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2"/>
        <v>0</v>
      </c>
      <c r="T6296" s="98">
        <f t="shared" si="263"/>
        <v>0</v>
      </c>
      <c r="U6296" s="99" t="str">
        <f>IFERROR(IF(#REF!="S",VLOOKUP('Raw Data'!A6296,References!#REF!,2,FALSE),(VLOOKUP($S6296,References!$B$3:$C$8,2,FALSE))),"")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2"/>
        <v>0</v>
      </c>
      <c r="T6297" s="98">
        <f t="shared" si="263"/>
        <v>0</v>
      </c>
      <c r="U6297" s="99" t="str">
        <f>IFERROR(IF(#REF!="S",VLOOKUP('Raw Data'!A6297,References!#REF!,2,FALSE),(VLOOKUP($S6297,References!$B$3:$C$8,2,FALSE))),"")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2"/>
        <v>0</v>
      </c>
      <c r="T6298" s="98">
        <f t="shared" si="263"/>
        <v>0</v>
      </c>
      <c r="U6298" s="99" t="str">
        <f>IFERROR(IF(#REF!="S",VLOOKUP('Raw Data'!A6298,References!#REF!,2,FALSE),(VLOOKUP($S6298,References!$B$3:$C$8,2,FALSE))),"")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2"/>
        <v>0</v>
      </c>
      <c r="T6299" s="98">
        <f t="shared" si="263"/>
        <v>0</v>
      </c>
      <c r="U6299" s="99" t="str">
        <f>IFERROR(IF(#REF!="S",VLOOKUP('Raw Data'!A6299,References!#REF!,2,FALSE),(VLOOKUP($S6299,References!$B$3:$C$8,2,FALSE))),"")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2"/>
        <v>0</v>
      </c>
      <c r="T6300" s="98">
        <f t="shared" si="263"/>
        <v>0</v>
      </c>
      <c r="U6300" s="99" t="str">
        <f>IFERROR(IF(#REF!="S",VLOOKUP('Raw Data'!A6300,References!#REF!,2,FALSE),(VLOOKUP($S6300,References!$B$3:$C$8,2,FALSE))),"")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2"/>
        <v>0</v>
      </c>
      <c r="T6301" s="98">
        <f t="shared" si="263"/>
        <v>0</v>
      </c>
      <c r="U6301" s="99" t="str">
        <f>IFERROR(IF(#REF!="S",VLOOKUP('Raw Data'!A6301,References!#REF!,2,FALSE),(VLOOKUP($S6301,References!$B$3:$C$8,2,FALSE))),"")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2"/>
        <v>0</v>
      </c>
      <c r="T6302" s="98">
        <f t="shared" si="263"/>
        <v>0</v>
      </c>
      <c r="U6302" s="99" t="str">
        <f>IFERROR(IF(#REF!="S",VLOOKUP('Raw Data'!A6302,References!#REF!,2,FALSE),(VLOOKUP($S6302,References!$B$3:$C$8,2,FALSE))),"")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2"/>
        <v>0</v>
      </c>
      <c r="T6303" s="98">
        <f t="shared" si="263"/>
        <v>0</v>
      </c>
      <c r="U6303" s="99" t="str">
        <f>IFERROR(IF(#REF!="S",VLOOKUP('Raw Data'!A6303,References!#REF!,2,FALSE),(VLOOKUP($S6303,References!$B$3:$C$8,2,FALSE))),"")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2"/>
        <v>0</v>
      </c>
      <c r="T6304" s="98">
        <f t="shared" si="263"/>
        <v>0</v>
      </c>
      <c r="U6304" s="99" t="str">
        <f>IFERROR(IF(#REF!="S",VLOOKUP('Raw Data'!A6304,References!#REF!,2,FALSE),(VLOOKUP($S6304,References!$B$3:$C$8,2,FALSE))),"")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2"/>
        <v>0</v>
      </c>
      <c r="T6305" s="98">
        <f t="shared" si="263"/>
        <v>0</v>
      </c>
      <c r="U6305" s="99" t="str">
        <f>IFERROR(IF(#REF!="S",VLOOKUP('Raw Data'!A6305,References!#REF!,2,FALSE),(VLOOKUP($S6305,References!$B$3:$C$8,2,FALSE))),"")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2"/>
        <v>0</v>
      </c>
      <c r="T6306" s="98">
        <f t="shared" si="263"/>
        <v>0</v>
      </c>
      <c r="U6306" s="99" t="str">
        <f>IFERROR(IF(#REF!="S",VLOOKUP('Raw Data'!A6306,References!#REF!,2,FALSE),(VLOOKUP($S6306,References!$B$3:$C$8,2,FALSE))),"")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2"/>
        <v>0</v>
      </c>
      <c r="T6307" s="98">
        <f t="shared" si="263"/>
        <v>0</v>
      </c>
      <c r="U6307" s="99" t="str">
        <f>IFERROR(IF(#REF!="S",VLOOKUP('Raw Data'!A6307,References!#REF!,2,FALSE),(VLOOKUP($S6307,References!$B$3:$C$8,2,FALSE))),"")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2"/>
        <v>0</v>
      </c>
      <c r="T6308" s="98">
        <f t="shared" si="263"/>
        <v>0</v>
      </c>
      <c r="U6308" s="99" t="str">
        <f>IFERROR(IF(#REF!="S",VLOOKUP('Raw Data'!A6308,References!#REF!,2,FALSE),(VLOOKUP($S6308,References!$B$3:$C$8,2,FALSE))),"")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2"/>
        <v>0</v>
      </c>
      <c r="T6309" s="98">
        <f t="shared" si="263"/>
        <v>0</v>
      </c>
      <c r="U6309" s="99" t="str">
        <f>IFERROR(IF(#REF!="S",VLOOKUP('Raw Data'!A6309,References!#REF!,2,FALSE),(VLOOKUP($S6309,References!$B$3:$C$8,2,FALSE))),"")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2"/>
        <v>0</v>
      </c>
      <c r="T6310" s="98">
        <f t="shared" si="263"/>
        <v>0</v>
      </c>
      <c r="U6310" s="99" t="str">
        <f>IFERROR(IF(#REF!="S",VLOOKUP('Raw Data'!A6310,References!#REF!,2,FALSE),(VLOOKUP($S6310,References!$B$3:$C$8,2,FALSE))),"")</f>
        <v/>
      </c>
      <c r="W6310" s="66" t="str">
        <f>IFERROR(VLOOKUP($O6310,'Customer List'!$A$1:$J$488,10,FALSE),"")</f>
        <v/>
      </c>
    </row>
    <row r="6311" spans="18:23">
      <c r="R6311" s="97">
        <f t="shared" si="262"/>
        <v>0</v>
      </c>
      <c r="T6311" s="98">
        <f t="shared" si="263"/>
        <v>0</v>
      </c>
      <c r="U6311" s="99" t="str">
        <f>IFERROR(IF(#REF!="S",VLOOKUP('Raw Data'!A6311,References!#REF!,2,FALSE),(VLOOKUP($S6311,References!$B$3:$C$8,2,FALSE))),"")</f>
        <v/>
      </c>
      <c r="W6311" s="66" t="str">
        <f>IFERROR(VLOOKUP($O6311,'Customer List'!$A$1:$J$488,10,FALSE),"")</f>
        <v/>
      </c>
    </row>
    <row r="6312" spans="18:23">
      <c r="R6312" s="97">
        <f t="shared" ref="R6312:R6375" si="264">L6312-K6312</f>
        <v>0</v>
      </c>
      <c r="T6312" s="98">
        <f t="shared" si="263"/>
        <v>0</v>
      </c>
      <c r="U6312" s="99" t="str">
        <f>IFERROR(IF(#REF!="S",VLOOKUP('Raw Data'!A6312,References!#REF!,2,FALSE),(VLOOKUP($S6312,References!$B$3:$C$8,2,FALSE))),"")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4"/>
        <v>0</v>
      </c>
      <c r="T6313" s="98">
        <f t="shared" si="263"/>
        <v>0</v>
      </c>
      <c r="U6313" s="99" t="str">
        <f>IFERROR(IF(#REF!="S",VLOOKUP('Raw Data'!A6313,References!#REF!,2,FALSE),(VLOOKUP($S6313,References!$B$3:$C$8,2,FALSE))),"")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4"/>
        <v>0</v>
      </c>
      <c r="T6314" s="98">
        <f t="shared" si="263"/>
        <v>0</v>
      </c>
      <c r="U6314" s="99" t="str">
        <f>IFERROR(IF(#REF!="S",VLOOKUP('Raw Data'!A6314,References!#REF!,2,FALSE),(VLOOKUP($S6314,References!$B$3:$C$8,2,FALSE))),"")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4"/>
        <v>0</v>
      </c>
      <c r="T6315" s="98">
        <f t="shared" si="263"/>
        <v>0</v>
      </c>
      <c r="U6315" s="99" t="str">
        <f>IFERROR(IF(#REF!="S",VLOOKUP('Raw Data'!A6315,References!#REF!,2,FALSE),(VLOOKUP($S6315,References!$B$3:$C$8,2,FALSE))),"")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4"/>
        <v>0</v>
      </c>
      <c r="T6316" s="98">
        <f t="shared" si="263"/>
        <v>0</v>
      </c>
      <c r="U6316" s="99" t="str">
        <f>IFERROR(IF(#REF!="S",VLOOKUP('Raw Data'!A6316,References!#REF!,2,FALSE),(VLOOKUP($S6316,References!$B$3:$C$8,2,FALSE))),"")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4"/>
        <v>0</v>
      </c>
      <c r="T6317" s="98">
        <f t="shared" si="263"/>
        <v>0</v>
      </c>
      <c r="U6317" s="99" t="str">
        <f>IFERROR(IF(#REF!="S",VLOOKUP('Raw Data'!A6317,References!#REF!,2,FALSE),(VLOOKUP($S6317,References!$B$3:$C$8,2,FALSE))),"")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4"/>
        <v>0</v>
      </c>
      <c r="T6318" s="98">
        <f t="shared" si="263"/>
        <v>0</v>
      </c>
      <c r="U6318" s="99" t="str">
        <f>IFERROR(IF(#REF!="S",VLOOKUP('Raw Data'!A6318,References!#REF!,2,FALSE),(VLOOKUP($S6318,References!$B$3:$C$8,2,FALSE))),"")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4"/>
        <v>0</v>
      </c>
      <c r="T6319" s="98">
        <f t="shared" si="263"/>
        <v>0</v>
      </c>
      <c r="U6319" s="99" t="str">
        <f>IFERROR(IF(#REF!="S",VLOOKUP('Raw Data'!A6319,References!#REF!,2,FALSE),(VLOOKUP($S6319,References!$B$3:$C$8,2,FALSE))),"")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4"/>
        <v>0</v>
      </c>
      <c r="T6320" s="98">
        <f t="shared" si="263"/>
        <v>0</v>
      </c>
      <c r="U6320" s="99" t="str">
        <f>IFERROR(IF(#REF!="S",VLOOKUP('Raw Data'!A6320,References!#REF!,2,FALSE),(VLOOKUP($S6320,References!$B$3:$C$8,2,FALSE))),"")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4"/>
        <v>0</v>
      </c>
      <c r="T6321" s="98">
        <f t="shared" si="263"/>
        <v>0</v>
      </c>
      <c r="U6321" s="99" t="str">
        <f>IFERROR(IF(#REF!="S",VLOOKUP('Raw Data'!A6321,References!#REF!,2,FALSE),(VLOOKUP($S6321,References!$B$3:$C$8,2,FALSE))),"")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4"/>
        <v>0</v>
      </c>
      <c r="T6322" s="98">
        <f t="shared" si="263"/>
        <v>0</v>
      </c>
      <c r="U6322" s="99" t="str">
        <f>IFERROR(IF(#REF!="S",VLOOKUP('Raw Data'!A6322,References!#REF!,2,FALSE),(VLOOKUP($S6322,References!$B$3:$C$8,2,FALSE))),"")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4"/>
        <v>0</v>
      </c>
      <c r="T6323" s="98">
        <f t="shared" si="263"/>
        <v>0</v>
      </c>
      <c r="U6323" s="99" t="str">
        <f>IFERROR(IF(#REF!="S",VLOOKUP('Raw Data'!A6323,References!#REF!,2,FALSE),(VLOOKUP($S6323,References!$B$3:$C$8,2,FALSE))),"")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4"/>
        <v>0</v>
      </c>
      <c r="T6324" s="98">
        <f t="shared" si="263"/>
        <v>0</v>
      </c>
      <c r="U6324" s="99" t="str">
        <f>IFERROR(IF(#REF!="S",VLOOKUP('Raw Data'!A6324,References!#REF!,2,FALSE),(VLOOKUP($S6324,References!$B$3:$C$8,2,FALSE))),"")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4"/>
        <v>0</v>
      </c>
      <c r="T6325" s="98">
        <f t="shared" si="263"/>
        <v>0</v>
      </c>
      <c r="U6325" s="99" t="str">
        <f>IFERROR(IF(#REF!="S",VLOOKUP('Raw Data'!A6325,References!#REF!,2,FALSE),(VLOOKUP($S6325,References!$B$3:$C$8,2,FALSE))),"")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4"/>
        <v>0</v>
      </c>
      <c r="T6326" s="98">
        <f t="shared" si="263"/>
        <v>0</v>
      </c>
      <c r="U6326" s="99" t="str">
        <f>IFERROR(IF(#REF!="S",VLOOKUP('Raw Data'!A6326,References!#REF!,2,FALSE),(VLOOKUP($S6326,References!$B$3:$C$8,2,FALSE))),"")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4"/>
        <v>0</v>
      </c>
      <c r="T6327" s="98">
        <f t="shared" si="263"/>
        <v>0</v>
      </c>
      <c r="U6327" s="99" t="str">
        <f>IFERROR(IF(#REF!="S",VLOOKUP('Raw Data'!A6327,References!#REF!,2,FALSE),(VLOOKUP($S6327,References!$B$3:$C$8,2,FALSE))),"")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4"/>
        <v>0</v>
      </c>
      <c r="T6328" s="98">
        <f t="shared" si="263"/>
        <v>0</v>
      </c>
      <c r="U6328" s="99" t="str">
        <f>IFERROR(IF(#REF!="S",VLOOKUP('Raw Data'!A6328,References!#REF!,2,FALSE),(VLOOKUP($S6328,References!$B$3:$C$8,2,FALSE))),"")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4"/>
        <v>0</v>
      </c>
      <c r="T6329" s="98">
        <f t="shared" si="263"/>
        <v>0</v>
      </c>
      <c r="U6329" s="99" t="str">
        <f>IFERROR(IF(#REF!="S",VLOOKUP('Raw Data'!A6329,References!#REF!,2,FALSE),(VLOOKUP($S6329,References!$B$3:$C$8,2,FALSE))),"")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4"/>
        <v>0</v>
      </c>
      <c r="T6330" s="98">
        <f t="shared" si="263"/>
        <v>0</v>
      </c>
      <c r="U6330" s="99" t="str">
        <f>IFERROR(IF(#REF!="S",VLOOKUP('Raw Data'!A6330,References!#REF!,2,FALSE),(VLOOKUP($S6330,References!$B$3:$C$8,2,FALSE))),"")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4"/>
        <v>0</v>
      </c>
      <c r="T6331" s="98">
        <f t="shared" si="263"/>
        <v>0</v>
      </c>
      <c r="U6331" s="99" t="str">
        <f>IFERROR(IF(#REF!="S",VLOOKUP('Raw Data'!A6331,References!#REF!,2,FALSE),(VLOOKUP($S6331,References!$B$3:$C$8,2,FALSE))),"")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4"/>
        <v>0</v>
      </c>
      <c r="T6332" s="98">
        <f t="shared" si="263"/>
        <v>0</v>
      </c>
      <c r="U6332" s="99" t="str">
        <f>IFERROR(IF(#REF!="S",VLOOKUP('Raw Data'!A6332,References!#REF!,2,FALSE),(VLOOKUP($S6332,References!$B$3:$C$8,2,FALSE))),"")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4"/>
        <v>0</v>
      </c>
      <c r="T6333" s="98">
        <f t="shared" si="263"/>
        <v>0</v>
      </c>
      <c r="U6333" s="99" t="str">
        <f>IFERROR(IF(#REF!="S",VLOOKUP('Raw Data'!A6333,References!#REF!,2,FALSE),(VLOOKUP($S6333,References!$B$3:$C$8,2,FALSE))),"")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4"/>
        <v>0</v>
      </c>
      <c r="T6334" s="98">
        <f t="shared" si="263"/>
        <v>0</v>
      </c>
      <c r="U6334" s="99" t="str">
        <f>IFERROR(IF(#REF!="S",VLOOKUP('Raw Data'!A6334,References!#REF!,2,FALSE),(VLOOKUP($S6334,References!$B$3:$C$8,2,FALSE))),"")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4"/>
        <v>0</v>
      </c>
      <c r="T6335" s="98">
        <f t="shared" si="263"/>
        <v>0</v>
      </c>
      <c r="U6335" s="99" t="str">
        <f>IFERROR(IF(#REF!="S",VLOOKUP('Raw Data'!A6335,References!#REF!,2,FALSE),(VLOOKUP($S6335,References!$B$3:$C$8,2,FALSE))),"")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4"/>
        <v>0</v>
      </c>
      <c r="T6336" s="98">
        <f t="shared" si="263"/>
        <v>0</v>
      </c>
      <c r="U6336" s="99" t="str">
        <f>IFERROR(IF(#REF!="S",VLOOKUP('Raw Data'!A6336,References!#REF!,2,FALSE),(VLOOKUP($S6336,References!$B$3:$C$8,2,FALSE))),"")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4"/>
        <v>0</v>
      </c>
      <c r="T6337" s="98">
        <f t="shared" si="263"/>
        <v>0</v>
      </c>
      <c r="U6337" s="99" t="str">
        <f>IFERROR(IF(#REF!="S",VLOOKUP('Raw Data'!A6337,References!#REF!,2,FALSE),(VLOOKUP($S6337,References!$B$3:$C$8,2,FALSE))),"")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4"/>
        <v>0</v>
      </c>
      <c r="T6338" s="98">
        <f t="shared" si="263"/>
        <v>0</v>
      </c>
      <c r="U6338" s="99" t="str">
        <f>IFERROR(IF(#REF!="S",VLOOKUP('Raw Data'!A6338,References!#REF!,2,FALSE),(VLOOKUP($S6338,References!$B$3:$C$8,2,FALSE))),"")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4"/>
        <v>0</v>
      </c>
      <c r="T6339" s="98">
        <f t="shared" si="263"/>
        <v>0</v>
      </c>
      <c r="U6339" s="99" t="str">
        <f>IFERROR(IF(#REF!="S",VLOOKUP('Raw Data'!A6339,References!#REF!,2,FALSE),(VLOOKUP($S6339,References!$B$3:$C$8,2,FALSE))),"")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4"/>
        <v>0</v>
      </c>
      <c r="T6340" s="98">
        <f t="shared" si="263"/>
        <v>0</v>
      </c>
      <c r="U6340" s="99" t="str">
        <f>IFERROR(IF(#REF!="S",VLOOKUP('Raw Data'!A6340,References!#REF!,2,FALSE),(VLOOKUP($S6340,References!$B$3:$C$8,2,FALSE))),"")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4"/>
        <v>0</v>
      </c>
      <c r="T6341" s="98">
        <f t="shared" si="263"/>
        <v>0</v>
      </c>
      <c r="U6341" s="99" t="str">
        <f>IFERROR(IF(#REF!="S",VLOOKUP('Raw Data'!A6341,References!#REF!,2,FALSE),(VLOOKUP($S6341,References!$B$3:$C$8,2,FALSE))),"")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4"/>
        <v>0</v>
      </c>
      <c r="T6342" s="98">
        <f t="shared" si="263"/>
        <v>0</v>
      </c>
      <c r="U6342" s="99" t="str">
        <f>IFERROR(IF(#REF!="S",VLOOKUP('Raw Data'!A6342,References!#REF!,2,FALSE),(VLOOKUP($S6342,References!$B$3:$C$8,2,FALSE))),"")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4"/>
        <v>0</v>
      </c>
      <c r="T6343" s="98">
        <f t="shared" si="263"/>
        <v>0</v>
      </c>
      <c r="U6343" s="99" t="str">
        <f>IFERROR(IF(#REF!="S",VLOOKUP('Raw Data'!A6343,References!#REF!,2,FALSE),(VLOOKUP($S6343,References!$B$3:$C$8,2,FALSE))),"")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4"/>
        <v>0</v>
      </c>
      <c r="T6344" s="98">
        <f t="shared" si="263"/>
        <v>0</v>
      </c>
      <c r="U6344" s="99" t="str">
        <f>IFERROR(IF(#REF!="S",VLOOKUP('Raw Data'!A6344,References!#REF!,2,FALSE),(VLOOKUP($S6344,References!$B$3:$C$8,2,FALSE))),"")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4"/>
        <v>0</v>
      </c>
      <c r="T6345" s="98">
        <f t="shared" si="263"/>
        <v>0</v>
      </c>
      <c r="U6345" s="99" t="str">
        <f>IFERROR(IF(#REF!="S",VLOOKUP('Raw Data'!A6345,References!#REF!,2,FALSE),(VLOOKUP($S6345,References!$B$3:$C$8,2,FALSE))),"")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4"/>
        <v>0</v>
      </c>
      <c r="T6346" s="98">
        <f t="shared" si="263"/>
        <v>0</v>
      </c>
      <c r="U6346" s="99" t="str">
        <f>IFERROR(IF(#REF!="S",VLOOKUP('Raw Data'!A6346,References!#REF!,2,FALSE),(VLOOKUP($S6346,References!$B$3:$C$8,2,FALSE))),"")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4"/>
        <v>0</v>
      </c>
      <c r="T6347" s="98">
        <f t="shared" si="263"/>
        <v>0</v>
      </c>
      <c r="U6347" s="99" t="str">
        <f>IFERROR(IF(#REF!="S",VLOOKUP('Raw Data'!A6347,References!#REF!,2,FALSE),(VLOOKUP($S6347,References!$B$3:$C$8,2,FALSE))),"")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4"/>
        <v>0</v>
      </c>
      <c r="T6348" s="98">
        <f t="shared" si="263"/>
        <v>0</v>
      </c>
      <c r="U6348" s="99" t="str">
        <f>IFERROR(IF(#REF!="S",VLOOKUP('Raw Data'!A6348,References!#REF!,2,FALSE),(VLOOKUP($S6348,References!$B$3:$C$8,2,FALSE))),"")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4"/>
        <v>0</v>
      </c>
      <c r="T6349" s="98">
        <f t="shared" si="263"/>
        <v>0</v>
      </c>
      <c r="U6349" s="99" t="str">
        <f>IFERROR(IF(#REF!="S",VLOOKUP('Raw Data'!A6349,References!#REF!,2,FALSE),(VLOOKUP($S6349,References!$B$3:$C$8,2,FALSE))),"")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4"/>
        <v>0</v>
      </c>
      <c r="T6350" s="98">
        <f t="shared" si="263"/>
        <v>0</v>
      </c>
      <c r="U6350" s="99" t="str">
        <f>IFERROR(IF(#REF!="S",VLOOKUP('Raw Data'!A6350,References!#REF!,2,FALSE),(VLOOKUP($S6350,References!$B$3:$C$8,2,FALSE))),"")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4"/>
        <v>0</v>
      </c>
      <c r="T6351" s="98">
        <f t="shared" si="263"/>
        <v>0</v>
      </c>
      <c r="U6351" s="99" t="str">
        <f>IFERROR(IF(#REF!="S",VLOOKUP('Raw Data'!A6351,References!#REF!,2,FALSE),(VLOOKUP($S6351,References!$B$3:$C$8,2,FALSE))),"")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4"/>
        <v>0</v>
      </c>
      <c r="T6352" s="98">
        <f t="shared" ref="T6352:T6415" si="265">IF(S6352="50 - Cleaning Fee",1,HOUR($R6352)+MINUTE(R6352)/60)</f>
        <v>0</v>
      </c>
      <c r="U6352" s="99" t="str">
        <f>IFERROR(IF(#REF!="S",VLOOKUP('Raw Data'!A6352,References!#REF!,2,FALSE),(VLOOKUP($S6352,References!$B$3:$C$8,2,FALSE))),"")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4"/>
        <v>0</v>
      </c>
      <c r="T6353" s="98">
        <f t="shared" si="265"/>
        <v>0</v>
      </c>
      <c r="U6353" s="99" t="str">
        <f>IFERROR(IF(#REF!="S",VLOOKUP('Raw Data'!A6353,References!#REF!,2,FALSE),(VLOOKUP($S6353,References!$B$3:$C$8,2,FALSE))),"")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4"/>
        <v>0</v>
      </c>
      <c r="T6354" s="98">
        <f t="shared" si="265"/>
        <v>0</v>
      </c>
      <c r="U6354" s="99" t="str">
        <f>IFERROR(IF(#REF!="S",VLOOKUP('Raw Data'!A6354,References!#REF!,2,FALSE),(VLOOKUP($S6354,References!$B$3:$C$8,2,FALSE))),"")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4"/>
        <v>0</v>
      </c>
      <c r="T6355" s="98">
        <f t="shared" si="265"/>
        <v>0</v>
      </c>
      <c r="U6355" s="99" t="str">
        <f>IFERROR(IF(#REF!="S",VLOOKUP('Raw Data'!A6355,References!#REF!,2,FALSE),(VLOOKUP($S6355,References!$B$3:$C$8,2,FALSE))),"")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4"/>
        <v>0</v>
      </c>
      <c r="T6356" s="98">
        <f t="shared" si="265"/>
        <v>0</v>
      </c>
      <c r="U6356" s="99" t="str">
        <f>IFERROR(IF(#REF!="S",VLOOKUP('Raw Data'!A6356,References!#REF!,2,FALSE),(VLOOKUP($S6356,References!$B$3:$C$8,2,FALSE))),"")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4"/>
        <v>0</v>
      </c>
      <c r="T6357" s="98">
        <f t="shared" si="265"/>
        <v>0</v>
      </c>
      <c r="U6357" s="99" t="str">
        <f>IFERROR(IF(#REF!="S",VLOOKUP('Raw Data'!A6357,References!#REF!,2,FALSE),(VLOOKUP($S6357,References!$B$3:$C$8,2,FALSE))),"")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4"/>
        <v>0</v>
      </c>
      <c r="T6358" s="98">
        <f t="shared" si="265"/>
        <v>0</v>
      </c>
      <c r="U6358" s="99" t="str">
        <f>IFERROR(IF(#REF!="S",VLOOKUP('Raw Data'!A6358,References!#REF!,2,FALSE),(VLOOKUP($S6358,References!$B$3:$C$8,2,FALSE))),"")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4"/>
        <v>0</v>
      </c>
      <c r="T6359" s="98">
        <f t="shared" si="265"/>
        <v>0</v>
      </c>
      <c r="U6359" s="99" t="str">
        <f>IFERROR(IF(#REF!="S",VLOOKUP('Raw Data'!A6359,References!#REF!,2,FALSE),(VLOOKUP($S6359,References!$B$3:$C$8,2,FALSE))),"")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4"/>
        <v>0</v>
      </c>
      <c r="T6360" s="98">
        <f t="shared" si="265"/>
        <v>0</v>
      </c>
      <c r="U6360" s="99" t="str">
        <f>IFERROR(IF(#REF!="S",VLOOKUP('Raw Data'!A6360,References!#REF!,2,FALSE),(VLOOKUP($S6360,References!$B$3:$C$8,2,FALSE))),"")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4"/>
        <v>0</v>
      </c>
      <c r="T6361" s="98">
        <f t="shared" si="265"/>
        <v>0</v>
      </c>
      <c r="U6361" s="99" t="str">
        <f>IFERROR(IF(#REF!="S",VLOOKUP('Raw Data'!A6361,References!#REF!,2,FALSE),(VLOOKUP($S6361,References!$B$3:$C$8,2,FALSE))),"")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4"/>
        <v>0</v>
      </c>
      <c r="T6362" s="98">
        <f t="shared" si="265"/>
        <v>0</v>
      </c>
      <c r="U6362" s="99" t="str">
        <f>IFERROR(IF(#REF!="S",VLOOKUP('Raw Data'!A6362,References!#REF!,2,FALSE),(VLOOKUP($S6362,References!$B$3:$C$8,2,FALSE))),"")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4"/>
        <v>0</v>
      </c>
      <c r="T6363" s="98">
        <f t="shared" si="265"/>
        <v>0</v>
      </c>
      <c r="U6363" s="99" t="str">
        <f>IFERROR(IF(#REF!="S",VLOOKUP('Raw Data'!A6363,References!#REF!,2,FALSE),(VLOOKUP($S6363,References!$B$3:$C$8,2,FALSE))),"")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4"/>
        <v>0</v>
      </c>
      <c r="T6364" s="98">
        <f t="shared" si="265"/>
        <v>0</v>
      </c>
      <c r="U6364" s="99" t="str">
        <f>IFERROR(IF(#REF!="S",VLOOKUP('Raw Data'!A6364,References!#REF!,2,FALSE),(VLOOKUP($S6364,References!$B$3:$C$8,2,FALSE))),"")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4"/>
        <v>0</v>
      </c>
      <c r="T6365" s="98">
        <f t="shared" si="265"/>
        <v>0</v>
      </c>
      <c r="U6365" s="99" t="str">
        <f>IFERROR(IF(#REF!="S",VLOOKUP('Raw Data'!A6365,References!#REF!,2,FALSE),(VLOOKUP($S6365,References!$B$3:$C$8,2,FALSE))),"")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4"/>
        <v>0</v>
      </c>
      <c r="T6366" s="98">
        <f t="shared" si="265"/>
        <v>0</v>
      </c>
      <c r="U6366" s="99" t="str">
        <f>IFERROR(IF(#REF!="S",VLOOKUP('Raw Data'!A6366,References!#REF!,2,FALSE),(VLOOKUP($S6366,References!$B$3:$C$8,2,FALSE))),"")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4"/>
        <v>0</v>
      </c>
      <c r="T6367" s="98">
        <f t="shared" si="265"/>
        <v>0</v>
      </c>
      <c r="U6367" s="99" t="str">
        <f>IFERROR(IF(#REF!="S",VLOOKUP('Raw Data'!A6367,References!#REF!,2,FALSE),(VLOOKUP($S6367,References!$B$3:$C$8,2,FALSE))),"")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4"/>
        <v>0</v>
      </c>
      <c r="T6368" s="98">
        <f t="shared" si="265"/>
        <v>0</v>
      </c>
      <c r="U6368" s="99" t="str">
        <f>IFERROR(IF(#REF!="S",VLOOKUP('Raw Data'!A6368,References!#REF!,2,FALSE),(VLOOKUP($S6368,References!$B$3:$C$8,2,FALSE))),"")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4"/>
        <v>0</v>
      </c>
      <c r="T6369" s="98">
        <f t="shared" si="265"/>
        <v>0</v>
      </c>
      <c r="U6369" s="99" t="str">
        <f>IFERROR(IF(#REF!="S",VLOOKUP('Raw Data'!A6369,References!#REF!,2,FALSE),(VLOOKUP($S6369,References!$B$3:$C$8,2,FALSE))),"")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4"/>
        <v>0</v>
      </c>
      <c r="T6370" s="98">
        <f t="shared" si="265"/>
        <v>0</v>
      </c>
      <c r="U6370" s="99" t="str">
        <f>IFERROR(IF(#REF!="S",VLOOKUP('Raw Data'!A6370,References!#REF!,2,FALSE),(VLOOKUP($S6370,References!$B$3:$C$8,2,FALSE))),"")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4"/>
        <v>0</v>
      </c>
      <c r="T6371" s="98">
        <f t="shared" si="265"/>
        <v>0</v>
      </c>
      <c r="U6371" s="99" t="str">
        <f>IFERROR(IF(#REF!="S",VLOOKUP('Raw Data'!A6371,References!#REF!,2,FALSE),(VLOOKUP($S6371,References!$B$3:$C$8,2,FALSE))),"")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4"/>
        <v>0</v>
      </c>
      <c r="T6372" s="98">
        <f t="shared" si="265"/>
        <v>0</v>
      </c>
      <c r="U6372" s="99" t="str">
        <f>IFERROR(IF(#REF!="S",VLOOKUP('Raw Data'!A6372,References!#REF!,2,FALSE),(VLOOKUP($S6372,References!$B$3:$C$8,2,FALSE))),"")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4"/>
        <v>0</v>
      </c>
      <c r="T6373" s="98">
        <f t="shared" si="265"/>
        <v>0</v>
      </c>
      <c r="U6373" s="99" t="str">
        <f>IFERROR(IF(#REF!="S",VLOOKUP('Raw Data'!A6373,References!#REF!,2,FALSE),(VLOOKUP($S6373,References!$B$3:$C$8,2,FALSE))),"")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4"/>
        <v>0</v>
      </c>
      <c r="T6374" s="98">
        <f t="shared" si="265"/>
        <v>0</v>
      </c>
      <c r="U6374" s="99" t="str">
        <f>IFERROR(IF(#REF!="S",VLOOKUP('Raw Data'!A6374,References!#REF!,2,FALSE),(VLOOKUP($S6374,References!$B$3:$C$8,2,FALSE))),"")</f>
        <v/>
      </c>
      <c r="W6374" s="66" t="str">
        <f>IFERROR(VLOOKUP($O6374,'Customer List'!$A$1:$J$488,10,FALSE),"")</f>
        <v/>
      </c>
    </row>
    <row r="6375" spans="18:23">
      <c r="R6375" s="97">
        <f t="shared" si="264"/>
        <v>0</v>
      </c>
      <c r="T6375" s="98">
        <f t="shared" si="265"/>
        <v>0</v>
      </c>
      <c r="U6375" s="99" t="str">
        <f>IFERROR(IF(#REF!="S",VLOOKUP('Raw Data'!A6375,References!#REF!,2,FALSE),(VLOOKUP($S6375,References!$B$3:$C$8,2,FALSE))),"")</f>
        <v/>
      </c>
      <c r="W6375" s="66" t="str">
        <f>IFERROR(VLOOKUP($O6375,'Customer List'!$A$1:$J$488,10,FALSE),"")</f>
        <v/>
      </c>
    </row>
    <row r="6376" spans="18:23">
      <c r="R6376" s="97">
        <f t="shared" ref="R6376:R6439" si="266">L6376-K6376</f>
        <v>0</v>
      </c>
      <c r="T6376" s="98">
        <f t="shared" si="265"/>
        <v>0</v>
      </c>
      <c r="U6376" s="99" t="str">
        <f>IFERROR(IF(#REF!="S",VLOOKUP('Raw Data'!A6376,References!#REF!,2,FALSE),(VLOOKUP($S6376,References!$B$3:$C$8,2,FALSE))),"")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6"/>
        <v>0</v>
      </c>
      <c r="T6377" s="98">
        <f t="shared" si="265"/>
        <v>0</v>
      </c>
      <c r="U6377" s="99" t="str">
        <f>IFERROR(IF(#REF!="S",VLOOKUP('Raw Data'!A6377,References!#REF!,2,FALSE),(VLOOKUP($S6377,References!$B$3:$C$8,2,FALSE))),"")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6"/>
        <v>0</v>
      </c>
      <c r="T6378" s="98">
        <f t="shared" si="265"/>
        <v>0</v>
      </c>
      <c r="U6378" s="99" t="str">
        <f>IFERROR(IF(#REF!="S",VLOOKUP('Raw Data'!A6378,References!#REF!,2,FALSE),(VLOOKUP($S6378,References!$B$3:$C$8,2,FALSE))),"")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6"/>
        <v>0</v>
      </c>
      <c r="T6379" s="98">
        <f t="shared" si="265"/>
        <v>0</v>
      </c>
      <c r="U6379" s="99" t="str">
        <f>IFERROR(IF(#REF!="S",VLOOKUP('Raw Data'!A6379,References!#REF!,2,FALSE),(VLOOKUP($S6379,References!$B$3:$C$8,2,FALSE))),"")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6"/>
        <v>0</v>
      </c>
      <c r="T6380" s="98">
        <f t="shared" si="265"/>
        <v>0</v>
      </c>
      <c r="U6380" s="99" t="str">
        <f>IFERROR(IF(#REF!="S",VLOOKUP('Raw Data'!A6380,References!#REF!,2,FALSE),(VLOOKUP($S6380,References!$B$3:$C$8,2,FALSE))),"")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6"/>
        <v>0</v>
      </c>
      <c r="T6381" s="98">
        <f t="shared" si="265"/>
        <v>0</v>
      </c>
      <c r="U6381" s="99" t="str">
        <f>IFERROR(IF(#REF!="S",VLOOKUP('Raw Data'!A6381,References!#REF!,2,FALSE),(VLOOKUP($S6381,References!$B$3:$C$8,2,FALSE))),"")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6"/>
        <v>0</v>
      </c>
      <c r="T6382" s="98">
        <f t="shared" si="265"/>
        <v>0</v>
      </c>
      <c r="U6382" s="99" t="str">
        <f>IFERROR(IF(#REF!="S",VLOOKUP('Raw Data'!A6382,References!#REF!,2,FALSE),(VLOOKUP($S6382,References!$B$3:$C$8,2,FALSE))),"")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6"/>
        <v>0</v>
      </c>
      <c r="T6383" s="98">
        <f t="shared" si="265"/>
        <v>0</v>
      </c>
      <c r="U6383" s="99" t="str">
        <f>IFERROR(IF(#REF!="S",VLOOKUP('Raw Data'!A6383,References!#REF!,2,FALSE),(VLOOKUP($S6383,References!$B$3:$C$8,2,FALSE))),"")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6"/>
        <v>0</v>
      </c>
      <c r="T6384" s="98">
        <f t="shared" si="265"/>
        <v>0</v>
      </c>
      <c r="U6384" s="99" t="str">
        <f>IFERROR(IF(#REF!="S",VLOOKUP('Raw Data'!A6384,References!#REF!,2,FALSE),(VLOOKUP($S6384,References!$B$3:$C$8,2,FALSE))),"")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6"/>
        <v>0</v>
      </c>
      <c r="T6385" s="98">
        <f t="shared" si="265"/>
        <v>0</v>
      </c>
      <c r="U6385" s="99" t="str">
        <f>IFERROR(IF(#REF!="S",VLOOKUP('Raw Data'!A6385,References!#REF!,2,FALSE),(VLOOKUP($S6385,References!$B$3:$C$8,2,FALSE))),"")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6"/>
        <v>0</v>
      </c>
      <c r="T6386" s="98">
        <f t="shared" si="265"/>
        <v>0</v>
      </c>
      <c r="U6386" s="99" t="str">
        <f>IFERROR(IF(#REF!="S",VLOOKUP('Raw Data'!A6386,References!#REF!,2,FALSE),(VLOOKUP($S6386,References!$B$3:$C$8,2,FALSE))),"")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6"/>
        <v>0</v>
      </c>
      <c r="T6387" s="98">
        <f t="shared" si="265"/>
        <v>0</v>
      </c>
      <c r="U6387" s="99" t="str">
        <f>IFERROR(IF(#REF!="S",VLOOKUP('Raw Data'!A6387,References!#REF!,2,FALSE),(VLOOKUP($S6387,References!$B$3:$C$8,2,FALSE))),"")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6"/>
        <v>0</v>
      </c>
      <c r="T6388" s="98">
        <f t="shared" si="265"/>
        <v>0</v>
      </c>
      <c r="U6388" s="99" t="str">
        <f>IFERROR(IF(#REF!="S",VLOOKUP('Raw Data'!A6388,References!#REF!,2,FALSE),(VLOOKUP($S6388,References!$B$3:$C$8,2,FALSE))),"")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6"/>
        <v>0</v>
      </c>
      <c r="T6389" s="98">
        <f t="shared" si="265"/>
        <v>0</v>
      </c>
      <c r="U6389" s="99" t="str">
        <f>IFERROR(IF(#REF!="S",VLOOKUP('Raw Data'!A6389,References!#REF!,2,FALSE),(VLOOKUP($S6389,References!$B$3:$C$8,2,FALSE))),"")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6"/>
        <v>0</v>
      </c>
      <c r="T6390" s="98">
        <f t="shared" si="265"/>
        <v>0</v>
      </c>
      <c r="U6390" s="99" t="str">
        <f>IFERROR(IF(#REF!="S",VLOOKUP('Raw Data'!A6390,References!#REF!,2,FALSE),(VLOOKUP($S6390,References!$B$3:$C$8,2,FALSE))),"")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6"/>
        <v>0</v>
      </c>
      <c r="T6391" s="98">
        <f t="shared" si="265"/>
        <v>0</v>
      </c>
      <c r="U6391" s="99" t="str">
        <f>IFERROR(IF(#REF!="S",VLOOKUP('Raw Data'!A6391,References!#REF!,2,FALSE),(VLOOKUP($S6391,References!$B$3:$C$8,2,FALSE))),"")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6"/>
        <v>0</v>
      </c>
      <c r="T6392" s="98">
        <f t="shared" si="265"/>
        <v>0</v>
      </c>
      <c r="U6392" s="99" t="str">
        <f>IFERROR(IF(#REF!="S",VLOOKUP('Raw Data'!A6392,References!#REF!,2,FALSE),(VLOOKUP($S6392,References!$B$3:$C$8,2,FALSE))),"")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6"/>
        <v>0</v>
      </c>
      <c r="T6393" s="98">
        <f t="shared" si="265"/>
        <v>0</v>
      </c>
      <c r="U6393" s="99" t="str">
        <f>IFERROR(IF(#REF!="S",VLOOKUP('Raw Data'!A6393,References!#REF!,2,FALSE),(VLOOKUP($S6393,References!$B$3:$C$8,2,FALSE))),"")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6"/>
        <v>0</v>
      </c>
      <c r="T6394" s="98">
        <f t="shared" si="265"/>
        <v>0</v>
      </c>
      <c r="U6394" s="99" t="str">
        <f>IFERROR(IF(#REF!="S",VLOOKUP('Raw Data'!A6394,References!#REF!,2,FALSE),(VLOOKUP($S6394,References!$B$3:$C$8,2,FALSE))),"")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6"/>
        <v>0</v>
      </c>
      <c r="T6395" s="98">
        <f t="shared" si="265"/>
        <v>0</v>
      </c>
      <c r="U6395" s="99" t="str">
        <f>IFERROR(IF(#REF!="S",VLOOKUP('Raw Data'!A6395,References!#REF!,2,FALSE),(VLOOKUP($S6395,References!$B$3:$C$8,2,FALSE))),"")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6"/>
        <v>0</v>
      </c>
      <c r="T6396" s="98">
        <f t="shared" si="265"/>
        <v>0</v>
      </c>
      <c r="U6396" s="99" t="str">
        <f>IFERROR(IF(#REF!="S",VLOOKUP('Raw Data'!A6396,References!#REF!,2,FALSE),(VLOOKUP($S6396,References!$B$3:$C$8,2,FALSE))),"")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6"/>
        <v>0</v>
      </c>
      <c r="T6397" s="98">
        <f t="shared" si="265"/>
        <v>0</v>
      </c>
      <c r="U6397" s="99" t="str">
        <f>IFERROR(IF(#REF!="S",VLOOKUP('Raw Data'!A6397,References!#REF!,2,FALSE),(VLOOKUP($S6397,References!$B$3:$C$8,2,FALSE))),"")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6"/>
        <v>0</v>
      </c>
      <c r="T6398" s="98">
        <f t="shared" si="265"/>
        <v>0</v>
      </c>
      <c r="U6398" s="99" t="str">
        <f>IFERROR(IF(#REF!="S",VLOOKUP('Raw Data'!A6398,References!#REF!,2,FALSE),(VLOOKUP($S6398,References!$B$3:$C$8,2,FALSE))),"")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6"/>
        <v>0</v>
      </c>
      <c r="T6399" s="98">
        <f t="shared" si="265"/>
        <v>0</v>
      </c>
      <c r="U6399" s="99" t="str">
        <f>IFERROR(IF(#REF!="S",VLOOKUP('Raw Data'!A6399,References!#REF!,2,FALSE),(VLOOKUP($S6399,References!$B$3:$C$8,2,FALSE))),"")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6"/>
        <v>0</v>
      </c>
      <c r="T6400" s="98">
        <f t="shared" si="265"/>
        <v>0</v>
      </c>
      <c r="U6400" s="99" t="str">
        <f>IFERROR(IF(#REF!="S",VLOOKUP('Raw Data'!A6400,References!#REF!,2,FALSE),(VLOOKUP($S6400,References!$B$3:$C$8,2,FALSE))),"")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6"/>
        <v>0</v>
      </c>
      <c r="T6401" s="98">
        <f t="shared" si="265"/>
        <v>0</v>
      </c>
      <c r="U6401" s="99" t="str">
        <f>IFERROR(IF(#REF!="S",VLOOKUP('Raw Data'!A6401,References!#REF!,2,FALSE),(VLOOKUP($S6401,References!$B$3:$C$8,2,FALSE))),"")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6"/>
        <v>0</v>
      </c>
      <c r="T6402" s="98">
        <f t="shared" si="265"/>
        <v>0</v>
      </c>
      <c r="U6402" s="99" t="str">
        <f>IFERROR(IF(#REF!="S",VLOOKUP('Raw Data'!A6402,References!#REF!,2,FALSE),(VLOOKUP($S6402,References!$B$3:$C$8,2,FALSE))),"")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6"/>
        <v>0</v>
      </c>
      <c r="T6403" s="98">
        <f t="shared" si="265"/>
        <v>0</v>
      </c>
      <c r="U6403" s="99" t="str">
        <f>IFERROR(IF(#REF!="S",VLOOKUP('Raw Data'!A6403,References!#REF!,2,FALSE),(VLOOKUP($S6403,References!$B$3:$C$8,2,FALSE))),"")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6"/>
        <v>0</v>
      </c>
      <c r="T6404" s="98">
        <f t="shared" si="265"/>
        <v>0</v>
      </c>
      <c r="U6404" s="99" t="str">
        <f>IFERROR(IF(#REF!="S",VLOOKUP('Raw Data'!A6404,References!#REF!,2,FALSE),(VLOOKUP($S6404,References!$B$3:$C$8,2,FALSE))),"")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6"/>
        <v>0</v>
      </c>
      <c r="T6405" s="98">
        <f t="shared" si="265"/>
        <v>0</v>
      </c>
      <c r="U6405" s="99" t="str">
        <f>IFERROR(IF(#REF!="S",VLOOKUP('Raw Data'!A6405,References!#REF!,2,FALSE),(VLOOKUP($S6405,References!$B$3:$C$8,2,FALSE))),"")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6"/>
        <v>0</v>
      </c>
      <c r="T6406" s="98">
        <f t="shared" si="265"/>
        <v>0</v>
      </c>
      <c r="U6406" s="99" t="str">
        <f>IFERROR(IF(#REF!="S",VLOOKUP('Raw Data'!A6406,References!#REF!,2,FALSE),(VLOOKUP($S6406,References!$B$3:$C$8,2,FALSE))),"")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6"/>
        <v>0</v>
      </c>
      <c r="T6407" s="98">
        <f t="shared" si="265"/>
        <v>0</v>
      </c>
      <c r="U6407" s="99" t="str">
        <f>IFERROR(IF(#REF!="S",VLOOKUP('Raw Data'!A6407,References!#REF!,2,FALSE),(VLOOKUP($S6407,References!$B$3:$C$8,2,FALSE))),"")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6"/>
        <v>0</v>
      </c>
      <c r="T6408" s="98">
        <f t="shared" si="265"/>
        <v>0</v>
      </c>
      <c r="U6408" s="99" t="str">
        <f>IFERROR(IF(#REF!="S",VLOOKUP('Raw Data'!A6408,References!#REF!,2,FALSE),(VLOOKUP($S6408,References!$B$3:$C$8,2,FALSE))),"")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6"/>
        <v>0</v>
      </c>
      <c r="T6409" s="98">
        <f t="shared" si="265"/>
        <v>0</v>
      </c>
      <c r="U6409" s="99" t="str">
        <f>IFERROR(IF(#REF!="S",VLOOKUP('Raw Data'!A6409,References!#REF!,2,FALSE),(VLOOKUP($S6409,References!$B$3:$C$8,2,FALSE))),"")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6"/>
        <v>0</v>
      </c>
      <c r="T6410" s="98">
        <f t="shared" si="265"/>
        <v>0</v>
      </c>
      <c r="U6410" s="99" t="str">
        <f>IFERROR(IF(#REF!="S",VLOOKUP('Raw Data'!A6410,References!#REF!,2,FALSE),(VLOOKUP($S6410,References!$B$3:$C$8,2,FALSE))),"")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6"/>
        <v>0</v>
      </c>
      <c r="T6411" s="98">
        <f t="shared" si="265"/>
        <v>0</v>
      </c>
      <c r="U6411" s="99" t="str">
        <f>IFERROR(IF(#REF!="S",VLOOKUP('Raw Data'!A6411,References!#REF!,2,FALSE),(VLOOKUP($S6411,References!$B$3:$C$8,2,FALSE))),"")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6"/>
        <v>0</v>
      </c>
      <c r="T6412" s="98">
        <f t="shared" si="265"/>
        <v>0</v>
      </c>
      <c r="U6412" s="99" t="str">
        <f>IFERROR(IF(#REF!="S",VLOOKUP('Raw Data'!A6412,References!#REF!,2,FALSE),(VLOOKUP($S6412,References!$B$3:$C$8,2,FALSE))),"")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6"/>
        <v>0</v>
      </c>
      <c r="T6413" s="98">
        <f t="shared" si="265"/>
        <v>0</v>
      </c>
      <c r="U6413" s="99" t="str">
        <f>IFERROR(IF(#REF!="S",VLOOKUP('Raw Data'!A6413,References!#REF!,2,FALSE),(VLOOKUP($S6413,References!$B$3:$C$8,2,FALSE))),"")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6"/>
        <v>0</v>
      </c>
      <c r="T6414" s="98">
        <f t="shared" si="265"/>
        <v>0</v>
      </c>
      <c r="U6414" s="99" t="str">
        <f>IFERROR(IF(#REF!="S",VLOOKUP('Raw Data'!A6414,References!#REF!,2,FALSE),(VLOOKUP($S6414,References!$B$3:$C$8,2,FALSE))),"")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6"/>
        <v>0</v>
      </c>
      <c r="T6415" s="98">
        <f t="shared" si="265"/>
        <v>0</v>
      </c>
      <c r="U6415" s="99" t="str">
        <f>IFERROR(IF(#REF!="S",VLOOKUP('Raw Data'!A6415,References!#REF!,2,FALSE),(VLOOKUP($S6415,References!$B$3:$C$8,2,FALSE))),"")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6"/>
        <v>0</v>
      </c>
      <c r="T6416" s="98">
        <f t="shared" ref="T6416:T6479" si="267">IF(S6416="50 - Cleaning Fee",1,HOUR($R6416)+MINUTE(R6416)/60)</f>
        <v>0</v>
      </c>
      <c r="U6416" s="99" t="str">
        <f>IFERROR(IF(#REF!="S",VLOOKUP('Raw Data'!A6416,References!#REF!,2,FALSE),(VLOOKUP($S6416,References!$B$3:$C$8,2,FALSE))),"")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6"/>
        <v>0</v>
      </c>
      <c r="T6417" s="98">
        <f t="shared" si="267"/>
        <v>0</v>
      </c>
      <c r="U6417" s="99" t="str">
        <f>IFERROR(IF(#REF!="S",VLOOKUP('Raw Data'!A6417,References!#REF!,2,FALSE),(VLOOKUP($S6417,References!$B$3:$C$8,2,FALSE))),"")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6"/>
        <v>0</v>
      </c>
      <c r="T6418" s="98">
        <f t="shared" si="267"/>
        <v>0</v>
      </c>
      <c r="U6418" s="99" t="str">
        <f>IFERROR(IF(#REF!="S",VLOOKUP('Raw Data'!A6418,References!#REF!,2,FALSE),(VLOOKUP($S6418,References!$B$3:$C$8,2,FALSE))),"")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6"/>
        <v>0</v>
      </c>
      <c r="T6419" s="98">
        <f t="shared" si="267"/>
        <v>0</v>
      </c>
      <c r="U6419" s="99" t="str">
        <f>IFERROR(IF(#REF!="S",VLOOKUP('Raw Data'!A6419,References!#REF!,2,FALSE),(VLOOKUP($S6419,References!$B$3:$C$8,2,FALSE))),"")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6"/>
        <v>0</v>
      </c>
      <c r="T6420" s="98">
        <f t="shared" si="267"/>
        <v>0</v>
      </c>
      <c r="U6420" s="99" t="str">
        <f>IFERROR(IF(#REF!="S",VLOOKUP('Raw Data'!A6420,References!#REF!,2,FALSE),(VLOOKUP($S6420,References!$B$3:$C$8,2,FALSE))),"")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6"/>
        <v>0</v>
      </c>
      <c r="T6421" s="98">
        <f t="shared" si="267"/>
        <v>0</v>
      </c>
      <c r="U6421" s="99" t="str">
        <f>IFERROR(IF(#REF!="S",VLOOKUP('Raw Data'!A6421,References!#REF!,2,FALSE),(VLOOKUP($S6421,References!$B$3:$C$8,2,FALSE))),"")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6"/>
        <v>0</v>
      </c>
      <c r="T6422" s="98">
        <f t="shared" si="267"/>
        <v>0</v>
      </c>
      <c r="U6422" s="99" t="str">
        <f>IFERROR(IF(#REF!="S",VLOOKUP('Raw Data'!A6422,References!#REF!,2,FALSE),(VLOOKUP($S6422,References!$B$3:$C$8,2,FALSE))),"")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6"/>
        <v>0</v>
      </c>
      <c r="T6423" s="98">
        <f t="shared" si="267"/>
        <v>0</v>
      </c>
      <c r="U6423" s="99" t="str">
        <f>IFERROR(IF(#REF!="S",VLOOKUP('Raw Data'!A6423,References!#REF!,2,FALSE),(VLOOKUP($S6423,References!$B$3:$C$8,2,FALSE))),"")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6"/>
        <v>0</v>
      </c>
      <c r="T6424" s="98">
        <f t="shared" si="267"/>
        <v>0</v>
      </c>
      <c r="U6424" s="99" t="str">
        <f>IFERROR(IF(#REF!="S",VLOOKUP('Raw Data'!A6424,References!#REF!,2,FALSE),(VLOOKUP($S6424,References!$B$3:$C$8,2,FALSE))),"")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6"/>
        <v>0</v>
      </c>
      <c r="T6425" s="98">
        <f t="shared" si="267"/>
        <v>0</v>
      </c>
      <c r="U6425" s="99" t="str">
        <f>IFERROR(IF(#REF!="S",VLOOKUP('Raw Data'!A6425,References!#REF!,2,FALSE),(VLOOKUP($S6425,References!$B$3:$C$8,2,FALSE))),"")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6"/>
        <v>0</v>
      </c>
      <c r="T6426" s="98">
        <f t="shared" si="267"/>
        <v>0</v>
      </c>
      <c r="U6426" s="99" t="str">
        <f>IFERROR(IF(#REF!="S",VLOOKUP('Raw Data'!A6426,References!#REF!,2,FALSE),(VLOOKUP($S6426,References!$B$3:$C$8,2,FALSE))),"")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6"/>
        <v>0</v>
      </c>
      <c r="T6427" s="98">
        <f t="shared" si="267"/>
        <v>0</v>
      </c>
      <c r="U6427" s="99" t="str">
        <f>IFERROR(IF(#REF!="S",VLOOKUP('Raw Data'!A6427,References!#REF!,2,FALSE),(VLOOKUP($S6427,References!$B$3:$C$8,2,FALSE))),"")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6"/>
        <v>0</v>
      </c>
      <c r="T6428" s="98">
        <f t="shared" si="267"/>
        <v>0</v>
      </c>
      <c r="U6428" s="99" t="str">
        <f>IFERROR(IF(#REF!="S",VLOOKUP('Raw Data'!A6428,References!#REF!,2,FALSE),(VLOOKUP($S6428,References!$B$3:$C$8,2,FALSE))),"")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6"/>
        <v>0</v>
      </c>
      <c r="T6429" s="98">
        <f t="shared" si="267"/>
        <v>0</v>
      </c>
      <c r="U6429" s="99" t="str">
        <f>IFERROR(IF(#REF!="S",VLOOKUP('Raw Data'!A6429,References!#REF!,2,FALSE),(VLOOKUP($S6429,References!$B$3:$C$8,2,FALSE))),"")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6"/>
        <v>0</v>
      </c>
      <c r="T6430" s="98">
        <f t="shared" si="267"/>
        <v>0</v>
      </c>
      <c r="U6430" s="99" t="str">
        <f>IFERROR(IF(#REF!="S",VLOOKUP('Raw Data'!A6430,References!#REF!,2,FALSE),(VLOOKUP($S6430,References!$B$3:$C$8,2,FALSE))),"")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6"/>
        <v>0</v>
      </c>
      <c r="T6431" s="98">
        <f t="shared" si="267"/>
        <v>0</v>
      </c>
      <c r="U6431" s="99" t="str">
        <f>IFERROR(IF(#REF!="S",VLOOKUP('Raw Data'!A6431,References!#REF!,2,FALSE),(VLOOKUP($S6431,References!$B$3:$C$8,2,FALSE))),"")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6"/>
        <v>0</v>
      </c>
      <c r="T6432" s="98">
        <f t="shared" si="267"/>
        <v>0</v>
      </c>
      <c r="U6432" s="99" t="str">
        <f>IFERROR(IF(#REF!="S",VLOOKUP('Raw Data'!A6432,References!#REF!,2,FALSE),(VLOOKUP($S6432,References!$B$3:$C$8,2,FALSE))),"")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6"/>
        <v>0</v>
      </c>
      <c r="T6433" s="98">
        <f t="shared" si="267"/>
        <v>0</v>
      </c>
      <c r="U6433" s="99" t="str">
        <f>IFERROR(IF(#REF!="S",VLOOKUP('Raw Data'!A6433,References!#REF!,2,FALSE),(VLOOKUP($S6433,References!$B$3:$C$8,2,FALSE))),"")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6"/>
        <v>0</v>
      </c>
      <c r="T6434" s="98">
        <f t="shared" si="267"/>
        <v>0</v>
      </c>
      <c r="U6434" s="99" t="str">
        <f>IFERROR(IF(#REF!="S",VLOOKUP('Raw Data'!A6434,References!#REF!,2,FALSE),(VLOOKUP($S6434,References!$B$3:$C$8,2,FALSE))),"")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6"/>
        <v>0</v>
      </c>
      <c r="T6435" s="98">
        <f t="shared" si="267"/>
        <v>0</v>
      </c>
      <c r="U6435" s="99" t="str">
        <f>IFERROR(IF(#REF!="S",VLOOKUP('Raw Data'!A6435,References!#REF!,2,FALSE),(VLOOKUP($S6435,References!$B$3:$C$8,2,FALSE))),"")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6"/>
        <v>0</v>
      </c>
      <c r="T6436" s="98">
        <f t="shared" si="267"/>
        <v>0</v>
      </c>
      <c r="U6436" s="99" t="str">
        <f>IFERROR(IF(#REF!="S",VLOOKUP('Raw Data'!A6436,References!#REF!,2,FALSE),(VLOOKUP($S6436,References!$B$3:$C$8,2,FALSE))),"")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6"/>
        <v>0</v>
      </c>
      <c r="T6437" s="98">
        <f t="shared" si="267"/>
        <v>0</v>
      </c>
      <c r="U6437" s="99" t="str">
        <f>IFERROR(IF(#REF!="S",VLOOKUP('Raw Data'!A6437,References!#REF!,2,FALSE),(VLOOKUP($S6437,References!$B$3:$C$8,2,FALSE))),"")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6"/>
        <v>0</v>
      </c>
      <c r="T6438" s="98">
        <f t="shared" si="267"/>
        <v>0</v>
      </c>
      <c r="U6438" s="99" t="str">
        <f>IFERROR(IF(#REF!="S",VLOOKUP('Raw Data'!A6438,References!#REF!,2,FALSE),(VLOOKUP($S6438,References!$B$3:$C$8,2,FALSE))),"")</f>
        <v/>
      </c>
      <c r="W6438" s="66" t="str">
        <f>IFERROR(VLOOKUP($O6438,'Customer List'!$A$1:$J$488,10,FALSE),"")</f>
        <v/>
      </c>
    </row>
    <row r="6439" spans="18:23">
      <c r="R6439" s="97">
        <f t="shared" si="266"/>
        <v>0</v>
      </c>
      <c r="T6439" s="98">
        <f t="shared" si="267"/>
        <v>0</v>
      </c>
      <c r="U6439" s="99" t="str">
        <f>IFERROR(IF(#REF!="S",VLOOKUP('Raw Data'!A6439,References!#REF!,2,FALSE),(VLOOKUP($S6439,References!$B$3:$C$8,2,FALSE))),"")</f>
        <v/>
      </c>
      <c r="W6439" s="66" t="str">
        <f>IFERROR(VLOOKUP($O6439,'Customer List'!$A$1:$J$488,10,FALSE),"")</f>
        <v/>
      </c>
    </row>
    <row r="6440" spans="18:23">
      <c r="R6440" s="97">
        <f t="shared" ref="R6440:R6503" si="268">L6440-K6440</f>
        <v>0</v>
      </c>
      <c r="T6440" s="98">
        <f t="shared" si="267"/>
        <v>0</v>
      </c>
      <c r="U6440" s="99" t="str">
        <f>IFERROR(IF(#REF!="S",VLOOKUP('Raw Data'!A6440,References!#REF!,2,FALSE),(VLOOKUP($S6440,References!$B$3:$C$8,2,FALSE))),"")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68"/>
        <v>0</v>
      </c>
      <c r="T6441" s="98">
        <f t="shared" si="267"/>
        <v>0</v>
      </c>
      <c r="U6441" s="99" t="str">
        <f>IFERROR(IF(#REF!="S",VLOOKUP('Raw Data'!A6441,References!#REF!,2,FALSE),(VLOOKUP($S6441,References!$B$3:$C$8,2,FALSE))),"")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68"/>
        <v>0</v>
      </c>
      <c r="T6442" s="98">
        <f t="shared" si="267"/>
        <v>0</v>
      </c>
      <c r="U6442" s="99" t="str">
        <f>IFERROR(IF(#REF!="S",VLOOKUP('Raw Data'!A6442,References!#REF!,2,FALSE),(VLOOKUP($S6442,References!$B$3:$C$8,2,FALSE))),"")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68"/>
        <v>0</v>
      </c>
      <c r="T6443" s="98">
        <f t="shared" si="267"/>
        <v>0</v>
      </c>
      <c r="U6443" s="99" t="str">
        <f>IFERROR(IF(#REF!="S",VLOOKUP('Raw Data'!A6443,References!#REF!,2,FALSE),(VLOOKUP($S6443,References!$B$3:$C$8,2,FALSE))),"")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68"/>
        <v>0</v>
      </c>
      <c r="T6444" s="98">
        <f t="shared" si="267"/>
        <v>0</v>
      </c>
      <c r="U6444" s="99" t="str">
        <f>IFERROR(IF(#REF!="S",VLOOKUP('Raw Data'!A6444,References!#REF!,2,FALSE),(VLOOKUP($S6444,References!$B$3:$C$8,2,FALSE))),"")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68"/>
        <v>0</v>
      </c>
      <c r="T6445" s="98">
        <f t="shared" si="267"/>
        <v>0</v>
      </c>
      <c r="U6445" s="99" t="str">
        <f>IFERROR(IF(#REF!="S",VLOOKUP('Raw Data'!A6445,References!#REF!,2,FALSE),(VLOOKUP($S6445,References!$B$3:$C$8,2,FALSE))),"")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68"/>
        <v>0</v>
      </c>
      <c r="T6446" s="98">
        <f t="shared" si="267"/>
        <v>0</v>
      </c>
      <c r="U6446" s="99" t="str">
        <f>IFERROR(IF(#REF!="S",VLOOKUP('Raw Data'!A6446,References!#REF!,2,FALSE),(VLOOKUP($S6446,References!$B$3:$C$8,2,FALSE))),"")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68"/>
        <v>0</v>
      </c>
      <c r="T6447" s="98">
        <f t="shared" si="267"/>
        <v>0</v>
      </c>
      <c r="U6447" s="99" t="str">
        <f>IFERROR(IF(#REF!="S",VLOOKUP('Raw Data'!A6447,References!#REF!,2,FALSE),(VLOOKUP($S6447,References!$B$3:$C$8,2,FALSE))),"")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68"/>
        <v>0</v>
      </c>
      <c r="T6448" s="98">
        <f t="shared" si="267"/>
        <v>0</v>
      </c>
      <c r="U6448" s="99" t="str">
        <f>IFERROR(IF(#REF!="S",VLOOKUP('Raw Data'!A6448,References!#REF!,2,FALSE),(VLOOKUP($S6448,References!$B$3:$C$8,2,FALSE))),"")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68"/>
        <v>0</v>
      </c>
      <c r="T6449" s="98">
        <f t="shared" si="267"/>
        <v>0</v>
      </c>
      <c r="U6449" s="99" t="str">
        <f>IFERROR(IF(#REF!="S",VLOOKUP('Raw Data'!A6449,References!#REF!,2,FALSE),(VLOOKUP($S6449,References!$B$3:$C$8,2,FALSE))),"")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68"/>
        <v>0</v>
      </c>
      <c r="T6450" s="98">
        <f t="shared" si="267"/>
        <v>0</v>
      </c>
      <c r="U6450" s="99" t="str">
        <f>IFERROR(IF(#REF!="S",VLOOKUP('Raw Data'!A6450,References!#REF!,2,FALSE),(VLOOKUP($S6450,References!$B$3:$C$8,2,FALSE))),"")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68"/>
        <v>0</v>
      </c>
      <c r="T6451" s="98">
        <f t="shared" si="267"/>
        <v>0</v>
      </c>
      <c r="U6451" s="99" t="str">
        <f>IFERROR(IF(#REF!="S",VLOOKUP('Raw Data'!A6451,References!#REF!,2,FALSE),(VLOOKUP($S6451,References!$B$3:$C$8,2,FALSE))),"")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68"/>
        <v>0</v>
      </c>
      <c r="T6452" s="98">
        <f t="shared" si="267"/>
        <v>0</v>
      </c>
      <c r="U6452" s="99" t="str">
        <f>IFERROR(IF(#REF!="S",VLOOKUP('Raw Data'!A6452,References!#REF!,2,FALSE),(VLOOKUP($S6452,References!$B$3:$C$8,2,FALSE))),"")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68"/>
        <v>0</v>
      </c>
      <c r="T6453" s="98">
        <f t="shared" si="267"/>
        <v>0</v>
      </c>
      <c r="U6453" s="99" t="str">
        <f>IFERROR(IF(#REF!="S",VLOOKUP('Raw Data'!A6453,References!#REF!,2,FALSE),(VLOOKUP($S6453,References!$B$3:$C$8,2,FALSE))),"")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68"/>
        <v>0</v>
      </c>
      <c r="T6454" s="98">
        <f t="shared" si="267"/>
        <v>0</v>
      </c>
      <c r="U6454" s="99" t="str">
        <f>IFERROR(IF(#REF!="S",VLOOKUP('Raw Data'!A6454,References!#REF!,2,FALSE),(VLOOKUP($S6454,References!$B$3:$C$8,2,FALSE))),"")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68"/>
        <v>0</v>
      </c>
      <c r="T6455" s="98">
        <f t="shared" si="267"/>
        <v>0</v>
      </c>
      <c r="U6455" s="99" t="str">
        <f>IFERROR(IF(#REF!="S",VLOOKUP('Raw Data'!A6455,References!#REF!,2,FALSE),(VLOOKUP($S6455,References!$B$3:$C$8,2,FALSE))),"")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68"/>
        <v>0</v>
      </c>
      <c r="T6456" s="98">
        <f t="shared" si="267"/>
        <v>0</v>
      </c>
      <c r="U6456" s="99" t="str">
        <f>IFERROR(IF(#REF!="S",VLOOKUP('Raw Data'!A6456,References!#REF!,2,FALSE),(VLOOKUP($S6456,References!$B$3:$C$8,2,FALSE))),"")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68"/>
        <v>0</v>
      </c>
      <c r="T6457" s="98">
        <f t="shared" si="267"/>
        <v>0</v>
      </c>
      <c r="U6457" s="99" t="str">
        <f>IFERROR(IF(#REF!="S",VLOOKUP('Raw Data'!A6457,References!#REF!,2,FALSE),(VLOOKUP($S6457,References!$B$3:$C$8,2,FALSE))),"")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68"/>
        <v>0</v>
      </c>
      <c r="T6458" s="98">
        <f t="shared" si="267"/>
        <v>0</v>
      </c>
      <c r="U6458" s="99" t="str">
        <f>IFERROR(IF(#REF!="S",VLOOKUP('Raw Data'!A6458,References!#REF!,2,FALSE),(VLOOKUP($S6458,References!$B$3:$C$8,2,FALSE))),"")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68"/>
        <v>0</v>
      </c>
      <c r="T6459" s="98">
        <f t="shared" si="267"/>
        <v>0</v>
      </c>
      <c r="U6459" s="99" t="str">
        <f>IFERROR(IF(#REF!="S",VLOOKUP('Raw Data'!A6459,References!#REF!,2,FALSE),(VLOOKUP($S6459,References!$B$3:$C$8,2,FALSE))),"")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68"/>
        <v>0</v>
      </c>
      <c r="T6460" s="98">
        <f t="shared" si="267"/>
        <v>0</v>
      </c>
      <c r="U6460" s="99" t="str">
        <f>IFERROR(IF(#REF!="S",VLOOKUP('Raw Data'!A6460,References!#REF!,2,FALSE),(VLOOKUP($S6460,References!$B$3:$C$8,2,FALSE))),"")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68"/>
        <v>0</v>
      </c>
      <c r="T6461" s="98">
        <f t="shared" si="267"/>
        <v>0</v>
      </c>
      <c r="U6461" s="99" t="str">
        <f>IFERROR(IF(#REF!="S",VLOOKUP('Raw Data'!A6461,References!#REF!,2,FALSE),(VLOOKUP($S6461,References!$B$3:$C$8,2,FALSE))),"")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68"/>
        <v>0</v>
      </c>
      <c r="T6462" s="98">
        <f t="shared" si="267"/>
        <v>0</v>
      </c>
      <c r="U6462" s="99" t="str">
        <f>IFERROR(IF(#REF!="S",VLOOKUP('Raw Data'!A6462,References!#REF!,2,FALSE),(VLOOKUP($S6462,References!$B$3:$C$8,2,FALSE))),"")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68"/>
        <v>0</v>
      </c>
      <c r="T6463" s="98">
        <f t="shared" si="267"/>
        <v>0</v>
      </c>
      <c r="U6463" s="99" t="str">
        <f>IFERROR(IF(#REF!="S",VLOOKUP('Raw Data'!A6463,References!#REF!,2,FALSE),(VLOOKUP($S6463,References!$B$3:$C$8,2,FALSE))),"")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68"/>
        <v>0</v>
      </c>
      <c r="T6464" s="98">
        <f t="shared" si="267"/>
        <v>0</v>
      </c>
      <c r="U6464" s="99" t="str">
        <f>IFERROR(IF(#REF!="S",VLOOKUP('Raw Data'!A6464,References!#REF!,2,FALSE),(VLOOKUP($S6464,References!$B$3:$C$8,2,FALSE))),"")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68"/>
        <v>0</v>
      </c>
      <c r="T6465" s="98">
        <f t="shared" si="267"/>
        <v>0</v>
      </c>
      <c r="U6465" s="99" t="str">
        <f>IFERROR(IF(#REF!="S",VLOOKUP('Raw Data'!A6465,References!#REF!,2,FALSE),(VLOOKUP($S6465,References!$B$3:$C$8,2,FALSE))),"")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68"/>
        <v>0</v>
      </c>
      <c r="T6466" s="98">
        <f t="shared" si="267"/>
        <v>0</v>
      </c>
      <c r="U6466" s="99" t="str">
        <f>IFERROR(IF(#REF!="S",VLOOKUP('Raw Data'!A6466,References!#REF!,2,FALSE),(VLOOKUP($S6466,References!$B$3:$C$8,2,FALSE))),"")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68"/>
        <v>0</v>
      </c>
      <c r="T6467" s="98">
        <f t="shared" si="267"/>
        <v>0</v>
      </c>
      <c r="U6467" s="99" t="str">
        <f>IFERROR(IF(#REF!="S",VLOOKUP('Raw Data'!A6467,References!#REF!,2,FALSE),(VLOOKUP($S6467,References!$B$3:$C$8,2,FALSE))),"")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68"/>
        <v>0</v>
      </c>
      <c r="T6468" s="98">
        <f t="shared" si="267"/>
        <v>0</v>
      </c>
      <c r="U6468" s="99" t="str">
        <f>IFERROR(IF(#REF!="S",VLOOKUP('Raw Data'!A6468,References!#REF!,2,FALSE),(VLOOKUP($S6468,References!$B$3:$C$8,2,FALSE))),"")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68"/>
        <v>0</v>
      </c>
      <c r="T6469" s="98">
        <f t="shared" si="267"/>
        <v>0</v>
      </c>
      <c r="U6469" s="99" t="str">
        <f>IFERROR(IF(#REF!="S",VLOOKUP('Raw Data'!A6469,References!#REF!,2,FALSE),(VLOOKUP($S6469,References!$B$3:$C$8,2,FALSE))),"")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68"/>
        <v>0</v>
      </c>
      <c r="T6470" s="98">
        <f t="shared" si="267"/>
        <v>0</v>
      </c>
      <c r="U6470" s="99" t="str">
        <f>IFERROR(IF(#REF!="S",VLOOKUP('Raw Data'!A6470,References!#REF!,2,FALSE),(VLOOKUP($S6470,References!$B$3:$C$8,2,FALSE))),"")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68"/>
        <v>0</v>
      </c>
      <c r="T6471" s="98">
        <f t="shared" si="267"/>
        <v>0</v>
      </c>
      <c r="U6471" s="99" t="str">
        <f>IFERROR(IF(#REF!="S",VLOOKUP('Raw Data'!A6471,References!#REF!,2,FALSE),(VLOOKUP($S6471,References!$B$3:$C$8,2,FALSE))),"")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68"/>
        <v>0</v>
      </c>
      <c r="T6472" s="98">
        <f t="shared" si="267"/>
        <v>0</v>
      </c>
      <c r="U6472" s="99" t="str">
        <f>IFERROR(IF(#REF!="S",VLOOKUP('Raw Data'!A6472,References!#REF!,2,FALSE),(VLOOKUP($S6472,References!$B$3:$C$8,2,FALSE))),"")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68"/>
        <v>0</v>
      </c>
      <c r="T6473" s="98">
        <f t="shared" si="267"/>
        <v>0</v>
      </c>
      <c r="U6473" s="99" t="str">
        <f>IFERROR(IF(#REF!="S",VLOOKUP('Raw Data'!A6473,References!#REF!,2,FALSE),(VLOOKUP($S6473,References!$B$3:$C$8,2,FALSE))),"")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68"/>
        <v>0</v>
      </c>
      <c r="T6474" s="98">
        <f t="shared" si="267"/>
        <v>0</v>
      </c>
      <c r="U6474" s="99" t="str">
        <f>IFERROR(IF(#REF!="S",VLOOKUP('Raw Data'!A6474,References!#REF!,2,FALSE),(VLOOKUP($S6474,References!$B$3:$C$8,2,FALSE))),"")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68"/>
        <v>0</v>
      </c>
      <c r="T6475" s="98">
        <f t="shared" si="267"/>
        <v>0</v>
      </c>
      <c r="U6475" s="99" t="str">
        <f>IFERROR(IF(#REF!="S",VLOOKUP('Raw Data'!A6475,References!#REF!,2,FALSE),(VLOOKUP($S6475,References!$B$3:$C$8,2,FALSE))),"")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68"/>
        <v>0</v>
      </c>
      <c r="T6476" s="98">
        <f t="shared" si="267"/>
        <v>0</v>
      </c>
      <c r="U6476" s="99" t="str">
        <f>IFERROR(IF(#REF!="S",VLOOKUP('Raw Data'!A6476,References!#REF!,2,FALSE),(VLOOKUP($S6476,References!$B$3:$C$8,2,FALSE))),"")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68"/>
        <v>0</v>
      </c>
      <c r="T6477" s="98">
        <f t="shared" si="267"/>
        <v>0</v>
      </c>
      <c r="U6477" s="99" t="str">
        <f>IFERROR(IF(#REF!="S",VLOOKUP('Raw Data'!A6477,References!#REF!,2,FALSE),(VLOOKUP($S6477,References!$B$3:$C$8,2,FALSE))),"")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68"/>
        <v>0</v>
      </c>
      <c r="T6478" s="98">
        <f t="shared" si="267"/>
        <v>0</v>
      </c>
      <c r="U6478" s="99" t="str">
        <f>IFERROR(IF(#REF!="S",VLOOKUP('Raw Data'!A6478,References!#REF!,2,FALSE),(VLOOKUP($S6478,References!$B$3:$C$8,2,FALSE))),"")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68"/>
        <v>0</v>
      </c>
      <c r="T6479" s="98">
        <f t="shared" si="267"/>
        <v>0</v>
      </c>
      <c r="U6479" s="99" t="str">
        <f>IFERROR(IF(#REF!="S",VLOOKUP('Raw Data'!A6479,References!#REF!,2,FALSE),(VLOOKUP($S6479,References!$B$3:$C$8,2,FALSE))),"")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68"/>
        <v>0</v>
      </c>
      <c r="T6480" s="98">
        <f t="shared" ref="T6480:T6543" si="269">IF(S6480="50 - Cleaning Fee",1,HOUR($R6480)+MINUTE(R6480)/60)</f>
        <v>0</v>
      </c>
      <c r="U6480" s="99" t="str">
        <f>IFERROR(IF(#REF!="S",VLOOKUP('Raw Data'!A6480,References!#REF!,2,FALSE),(VLOOKUP($S6480,References!$B$3:$C$8,2,FALSE))),"")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68"/>
        <v>0</v>
      </c>
      <c r="T6481" s="98">
        <f t="shared" si="269"/>
        <v>0</v>
      </c>
      <c r="U6481" s="99" t="str">
        <f>IFERROR(IF(#REF!="S",VLOOKUP('Raw Data'!A6481,References!#REF!,2,FALSE),(VLOOKUP($S6481,References!$B$3:$C$8,2,FALSE))),"")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68"/>
        <v>0</v>
      </c>
      <c r="T6482" s="98">
        <f t="shared" si="269"/>
        <v>0</v>
      </c>
      <c r="U6482" s="99" t="str">
        <f>IFERROR(IF(#REF!="S",VLOOKUP('Raw Data'!A6482,References!#REF!,2,FALSE),(VLOOKUP($S6482,References!$B$3:$C$8,2,FALSE))),"")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68"/>
        <v>0</v>
      </c>
      <c r="T6483" s="98">
        <f t="shared" si="269"/>
        <v>0</v>
      </c>
      <c r="U6483" s="99" t="str">
        <f>IFERROR(IF(#REF!="S",VLOOKUP('Raw Data'!A6483,References!#REF!,2,FALSE),(VLOOKUP($S6483,References!$B$3:$C$8,2,FALSE))),"")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68"/>
        <v>0</v>
      </c>
      <c r="T6484" s="98">
        <f t="shared" si="269"/>
        <v>0</v>
      </c>
      <c r="U6484" s="99" t="str">
        <f>IFERROR(IF(#REF!="S",VLOOKUP('Raw Data'!A6484,References!#REF!,2,FALSE),(VLOOKUP($S6484,References!$B$3:$C$8,2,FALSE))),"")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68"/>
        <v>0</v>
      </c>
      <c r="T6485" s="98">
        <f t="shared" si="269"/>
        <v>0</v>
      </c>
      <c r="U6485" s="99" t="str">
        <f>IFERROR(IF(#REF!="S",VLOOKUP('Raw Data'!A6485,References!#REF!,2,FALSE),(VLOOKUP($S6485,References!$B$3:$C$8,2,FALSE))),"")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68"/>
        <v>0</v>
      </c>
      <c r="T6486" s="98">
        <f t="shared" si="269"/>
        <v>0</v>
      </c>
      <c r="U6486" s="99" t="str">
        <f>IFERROR(IF(#REF!="S",VLOOKUP('Raw Data'!A6486,References!#REF!,2,FALSE),(VLOOKUP($S6486,References!$B$3:$C$8,2,FALSE))),"")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68"/>
        <v>0</v>
      </c>
      <c r="T6487" s="98">
        <f t="shared" si="269"/>
        <v>0</v>
      </c>
      <c r="U6487" s="99" t="str">
        <f>IFERROR(IF(#REF!="S",VLOOKUP('Raw Data'!A6487,References!#REF!,2,FALSE),(VLOOKUP($S6487,References!$B$3:$C$8,2,FALSE))),"")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68"/>
        <v>0</v>
      </c>
      <c r="T6488" s="98">
        <f t="shared" si="269"/>
        <v>0</v>
      </c>
      <c r="U6488" s="99" t="str">
        <f>IFERROR(IF(#REF!="S",VLOOKUP('Raw Data'!A6488,References!#REF!,2,FALSE),(VLOOKUP($S6488,References!$B$3:$C$8,2,FALSE))),"")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68"/>
        <v>0</v>
      </c>
      <c r="T6489" s="98">
        <f t="shared" si="269"/>
        <v>0</v>
      </c>
      <c r="U6489" s="99" t="str">
        <f>IFERROR(IF(#REF!="S",VLOOKUP('Raw Data'!A6489,References!#REF!,2,FALSE),(VLOOKUP($S6489,References!$B$3:$C$8,2,FALSE))),"")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68"/>
        <v>0</v>
      </c>
      <c r="T6490" s="98">
        <f t="shared" si="269"/>
        <v>0</v>
      </c>
      <c r="U6490" s="99" t="str">
        <f>IFERROR(IF(#REF!="S",VLOOKUP('Raw Data'!A6490,References!#REF!,2,FALSE),(VLOOKUP($S6490,References!$B$3:$C$8,2,FALSE))),"")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68"/>
        <v>0</v>
      </c>
      <c r="T6491" s="98">
        <f t="shared" si="269"/>
        <v>0</v>
      </c>
      <c r="U6491" s="99" t="str">
        <f>IFERROR(IF(#REF!="S",VLOOKUP('Raw Data'!A6491,References!#REF!,2,FALSE),(VLOOKUP($S6491,References!$B$3:$C$8,2,FALSE))),"")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68"/>
        <v>0</v>
      </c>
      <c r="T6492" s="98">
        <f t="shared" si="269"/>
        <v>0</v>
      </c>
      <c r="U6492" s="99" t="str">
        <f>IFERROR(IF(#REF!="S",VLOOKUP('Raw Data'!A6492,References!#REF!,2,FALSE),(VLOOKUP($S6492,References!$B$3:$C$8,2,FALSE))),"")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68"/>
        <v>0</v>
      </c>
      <c r="T6493" s="98">
        <f t="shared" si="269"/>
        <v>0</v>
      </c>
      <c r="U6493" s="99" t="str">
        <f>IFERROR(IF(#REF!="S",VLOOKUP('Raw Data'!A6493,References!#REF!,2,FALSE),(VLOOKUP($S6493,References!$B$3:$C$8,2,FALSE))),"")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68"/>
        <v>0</v>
      </c>
      <c r="T6494" s="98">
        <f t="shared" si="269"/>
        <v>0</v>
      </c>
      <c r="U6494" s="99" t="str">
        <f>IFERROR(IF(#REF!="S",VLOOKUP('Raw Data'!A6494,References!#REF!,2,FALSE),(VLOOKUP($S6494,References!$B$3:$C$8,2,FALSE))),"")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68"/>
        <v>0</v>
      </c>
      <c r="T6495" s="98">
        <f t="shared" si="269"/>
        <v>0</v>
      </c>
      <c r="U6495" s="99" t="str">
        <f>IFERROR(IF(#REF!="S",VLOOKUP('Raw Data'!A6495,References!#REF!,2,FALSE),(VLOOKUP($S6495,References!$B$3:$C$8,2,FALSE))),"")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68"/>
        <v>0</v>
      </c>
      <c r="T6496" s="98">
        <f t="shared" si="269"/>
        <v>0</v>
      </c>
      <c r="U6496" s="99" t="str">
        <f>IFERROR(IF(#REF!="S",VLOOKUP('Raw Data'!A6496,References!#REF!,2,FALSE),(VLOOKUP($S6496,References!$B$3:$C$8,2,FALSE))),"")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68"/>
        <v>0</v>
      </c>
      <c r="T6497" s="98">
        <f t="shared" si="269"/>
        <v>0</v>
      </c>
      <c r="U6497" s="99" t="str">
        <f>IFERROR(IF(#REF!="S",VLOOKUP('Raw Data'!A6497,References!#REF!,2,FALSE),(VLOOKUP($S6497,References!$B$3:$C$8,2,FALSE))),"")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68"/>
        <v>0</v>
      </c>
      <c r="T6498" s="98">
        <f t="shared" si="269"/>
        <v>0</v>
      </c>
      <c r="U6498" s="99" t="str">
        <f>IFERROR(IF(#REF!="S",VLOOKUP('Raw Data'!A6498,References!#REF!,2,FALSE),(VLOOKUP($S6498,References!$B$3:$C$8,2,FALSE))),"")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68"/>
        <v>0</v>
      </c>
      <c r="T6499" s="98">
        <f t="shared" si="269"/>
        <v>0</v>
      </c>
      <c r="U6499" s="99" t="str">
        <f>IFERROR(IF(#REF!="S",VLOOKUP('Raw Data'!A6499,References!#REF!,2,FALSE),(VLOOKUP($S6499,References!$B$3:$C$8,2,FALSE))),"")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68"/>
        <v>0</v>
      </c>
      <c r="T6500" s="98">
        <f t="shared" si="269"/>
        <v>0</v>
      </c>
      <c r="U6500" s="99" t="str">
        <f>IFERROR(IF(#REF!="S",VLOOKUP('Raw Data'!A6500,References!#REF!,2,FALSE),(VLOOKUP($S6500,References!$B$3:$C$8,2,FALSE))),"")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68"/>
        <v>0</v>
      </c>
      <c r="T6501" s="98">
        <f t="shared" si="269"/>
        <v>0</v>
      </c>
      <c r="U6501" s="99" t="str">
        <f>IFERROR(IF(#REF!="S",VLOOKUP('Raw Data'!A6501,References!#REF!,2,FALSE),(VLOOKUP($S6501,References!$B$3:$C$8,2,FALSE))),"")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68"/>
        <v>0</v>
      </c>
      <c r="T6502" s="98">
        <f t="shared" si="269"/>
        <v>0</v>
      </c>
      <c r="U6502" s="99" t="str">
        <f>IFERROR(IF(#REF!="S",VLOOKUP('Raw Data'!A6502,References!#REF!,2,FALSE),(VLOOKUP($S6502,References!$B$3:$C$8,2,FALSE))),"")</f>
        <v/>
      </c>
      <c r="W6502" s="66" t="str">
        <f>IFERROR(VLOOKUP($O6502,'Customer List'!$A$1:$J$488,10,FALSE),"")</f>
        <v/>
      </c>
    </row>
    <row r="6503" spans="18:23">
      <c r="R6503" s="97">
        <f t="shared" si="268"/>
        <v>0</v>
      </c>
      <c r="T6503" s="98">
        <f t="shared" si="269"/>
        <v>0</v>
      </c>
      <c r="U6503" s="99" t="str">
        <f>IFERROR(IF(#REF!="S",VLOOKUP('Raw Data'!A6503,References!#REF!,2,FALSE),(VLOOKUP($S6503,References!$B$3:$C$8,2,FALSE))),"")</f>
        <v/>
      </c>
      <c r="W6503" s="66" t="str">
        <f>IFERROR(VLOOKUP($O6503,'Customer List'!$A$1:$J$488,10,FALSE),"")</f>
        <v/>
      </c>
    </row>
    <row r="6504" spans="18:23">
      <c r="R6504" s="97">
        <f t="shared" ref="R6504:R6567" si="270">L6504-K6504</f>
        <v>0</v>
      </c>
      <c r="T6504" s="98">
        <f t="shared" si="269"/>
        <v>0</v>
      </c>
      <c r="U6504" s="99" t="str">
        <f>IFERROR(IF(#REF!="S",VLOOKUP('Raw Data'!A6504,References!#REF!,2,FALSE),(VLOOKUP($S6504,References!$B$3:$C$8,2,FALSE))),"")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0"/>
        <v>0</v>
      </c>
      <c r="T6505" s="98">
        <f t="shared" si="269"/>
        <v>0</v>
      </c>
      <c r="U6505" s="99" t="str">
        <f>IFERROR(IF(#REF!="S",VLOOKUP('Raw Data'!A6505,References!#REF!,2,FALSE),(VLOOKUP($S6505,References!$B$3:$C$8,2,FALSE))),"")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0"/>
        <v>0</v>
      </c>
      <c r="T6506" s="98">
        <f t="shared" si="269"/>
        <v>0</v>
      </c>
      <c r="U6506" s="99" t="str">
        <f>IFERROR(IF(#REF!="S",VLOOKUP('Raw Data'!A6506,References!#REF!,2,FALSE),(VLOOKUP($S6506,References!$B$3:$C$8,2,FALSE))),"")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0"/>
        <v>0</v>
      </c>
      <c r="T6507" s="98">
        <f t="shared" si="269"/>
        <v>0</v>
      </c>
      <c r="U6507" s="99" t="str">
        <f>IFERROR(IF(#REF!="S",VLOOKUP('Raw Data'!A6507,References!#REF!,2,FALSE),(VLOOKUP($S6507,References!$B$3:$C$8,2,FALSE))),"")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0"/>
        <v>0</v>
      </c>
      <c r="T6508" s="98">
        <f t="shared" si="269"/>
        <v>0</v>
      </c>
      <c r="U6508" s="99" t="str">
        <f>IFERROR(IF(#REF!="S",VLOOKUP('Raw Data'!A6508,References!#REF!,2,FALSE),(VLOOKUP($S6508,References!$B$3:$C$8,2,FALSE))),"")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0"/>
        <v>0</v>
      </c>
      <c r="T6509" s="98">
        <f t="shared" si="269"/>
        <v>0</v>
      </c>
      <c r="U6509" s="99" t="str">
        <f>IFERROR(IF(#REF!="S",VLOOKUP('Raw Data'!A6509,References!#REF!,2,FALSE),(VLOOKUP($S6509,References!$B$3:$C$8,2,FALSE))),"")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0"/>
        <v>0</v>
      </c>
      <c r="T6510" s="98">
        <f t="shared" si="269"/>
        <v>0</v>
      </c>
      <c r="U6510" s="99" t="str">
        <f>IFERROR(IF(#REF!="S",VLOOKUP('Raw Data'!A6510,References!#REF!,2,FALSE),(VLOOKUP($S6510,References!$B$3:$C$8,2,FALSE))),"")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0"/>
        <v>0</v>
      </c>
      <c r="T6511" s="98">
        <f t="shared" si="269"/>
        <v>0</v>
      </c>
      <c r="U6511" s="99" t="str">
        <f>IFERROR(IF(#REF!="S",VLOOKUP('Raw Data'!A6511,References!#REF!,2,FALSE),(VLOOKUP($S6511,References!$B$3:$C$8,2,FALSE))),"")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0"/>
        <v>0</v>
      </c>
      <c r="T6512" s="98">
        <f t="shared" si="269"/>
        <v>0</v>
      </c>
      <c r="U6512" s="99" t="str">
        <f>IFERROR(IF(#REF!="S",VLOOKUP('Raw Data'!A6512,References!#REF!,2,FALSE),(VLOOKUP($S6512,References!$B$3:$C$8,2,FALSE))),"")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0"/>
        <v>0</v>
      </c>
      <c r="T6513" s="98">
        <f t="shared" si="269"/>
        <v>0</v>
      </c>
      <c r="U6513" s="99" t="str">
        <f>IFERROR(IF(#REF!="S",VLOOKUP('Raw Data'!A6513,References!#REF!,2,FALSE),(VLOOKUP($S6513,References!$B$3:$C$8,2,FALSE))),"")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0"/>
        <v>0</v>
      </c>
      <c r="T6514" s="98">
        <f t="shared" si="269"/>
        <v>0</v>
      </c>
      <c r="U6514" s="99" t="str">
        <f>IFERROR(IF(#REF!="S",VLOOKUP('Raw Data'!A6514,References!#REF!,2,FALSE),(VLOOKUP($S6514,References!$B$3:$C$8,2,FALSE))),"")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0"/>
        <v>0</v>
      </c>
      <c r="T6515" s="98">
        <f t="shared" si="269"/>
        <v>0</v>
      </c>
      <c r="U6515" s="99" t="str">
        <f>IFERROR(IF(#REF!="S",VLOOKUP('Raw Data'!A6515,References!#REF!,2,FALSE),(VLOOKUP($S6515,References!$B$3:$C$8,2,FALSE))),"")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0"/>
        <v>0</v>
      </c>
      <c r="T6516" s="98">
        <f t="shared" si="269"/>
        <v>0</v>
      </c>
      <c r="U6516" s="99" t="str">
        <f>IFERROR(IF(#REF!="S",VLOOKUP('Raw Data'!A6516,References!#REF!,2,FALSE),(VLOOKUP($S6516,References!$B$3:$C$8,2,FALSE))),"")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0"/>
        <v>0</v>
      </c>
      <c r="T6517" s="98">
        <f t="shared" si="269"/>
        <v>0</v>
      </c>
      <c r="U6517" s="99" t="str">
        <f>IFERROR(IF(#REF!="S",VLOOKUP('Raw Data'!A6517,References!#REF!,2,FALSE),(VLOOKUP($S6517,References!$B$3:$C$8,2,FALSE))),"")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0"/>
        <v>0</v>
      </c>
      <c r="T6518" s="98">
        <f t="shared" si="269"/>
        <v>0</v>
      </c>
      <c r="U6518" s="99" t="str">
        <f>IFERROR(IF(#REF!="S",VLOOKUP('Raw Data'!A6518,References!#REF!,2,FALSE),(VLOOKUP($S6518,References!$B$3:$C$8,2,FALSE))),"")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0"/>
        <v>0</v>
      </c>
      <c r="T6519" s="98">
        <f t="shared" si="269"/>
        <v>0</v>
      </c>
      <c r="U6519" s="99" t="str">
        <f>IFERROR(IF(#REF!="S",VLOOKUP('Raw Data'!A6519,References!#REF!,2,FALSE),(VLOOKUP($S6519,References!$B$3:$C$8,2,FALSE))),"")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0"/>
        <v>0</v>
      </c>
      <c r="T6520" s="98">
        <f t="shared" si="269"/>
        <v>0</v>
      </c>
      <c r="U6520" s="99" t="str">
        <f>IFERROR(IF(#REF!="S",VLOOKUP('Raw Data'!A6520,References!#REF!,2,FALSE),(VLOOKUP($S6520,References!$B$3:$C$8,2,FALSE))),"")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0"/>
        <v>0</v>
      </c>
      <c r="T6521" s="98">
        <f t="shared" si="269"/>
        <v>0</v>
      </c>
      <c r="U6521" s="99" t="str">
        <f>IFERROR(IF(#REF!="S",VLOOKUP('Raw Data'!A6521,References!#REF!,2,FALSE),(VLOOKUP($S6521,References!$B$3:$C$8,2,FALSE))),"")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0"/>
        <v>0</v>
      </c>
      <c r="T6522" s="98">
        <f t="shared" si="269"/>
        <v>0</v>
      </c>
      <c r="U6522" s="99" t="str">
        <f>IFERROR(IF(#REF!="S",VLOOKUP('Raw Data'!A6522,References!#REF!,2,FALSE),(VLOOKUP($S6522,References!$B$3:$C$8,2,FALSE))),"")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0"/>
        <v>0</v>
      </c>
      <c r="T6523" s="98">
        <f t="shared" si="269"/>
        <v>0</v>
      </c>
      <c r="U6523" s="99" t="str">
        <f>IFERROR(IF(#REF!="S",VLOOKUP('Raw Data'!A6523,References!#REF!,2,FALSE),(VLOOKUP($S6523,References!$B$3:$C$8,2,FALSE))),"")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0"/>
        <v>0</v>
      </c>
      <c r="T6524" s="98">
        <f t="shared" si="269"/>
        <v>0</v>
      </c>
      <c r="U6524" s="99" t="str">
        <f>IFERROR(IF(#REF!="S",VLOOKUP('Raw Data'!A6524,References!#REF!,2,FALSE),(VLOOKUP($S6524,References!$B$3:$C$8,2,FALSE))),"")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0"/>
        <v>0</v>
      </c>
      <c r="T6525" s="98">
        <f t="shared" si="269"/>
        <v>0</v>
      </c>
      <c r="U6525" s="99" t="str">
        <f>IFERROR(IF(#REF!="S",VLOOKUP('Raw Data'!A6525,References!#REF!,2,FALSE),(VLOOKUP($S6525,References!$B$3:$C$8,2,FALSE))),"")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0"/>
        <v>0</v>
      </c>
      <c r="T6526" s="98">
        <f t="shared" si="269"/>
        <v>0</v>
      </c>
      <c r="U6526" s="99" t="str">
        <f>IFERROR(IF(#REF!="S",VLOOKUP('Raw Data'!A6526,References!#REF!,2,FALSE),(VLOOKUP($S6526,References!$B$3:$C$8,2,FALSE))),"")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0"/>
        <v>0</v>
      </c>
      <c r="T6527" s="98">
        <f t="shared" si="269"/>
        <v>0</v>
      </c>
      <c r="U6527" s="99" t="str">
        <f>IFERROR(IF(#REF!="S",VLOOKUP('Raw Data'!A6527,References!#REF!,2,FALSE),(VLOOKUP($S6527,References!$B$3:$C$8,2,FALSE))),"")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0"/>
        <v>0</v>
      </c>
      <c r="T6528" s="98">
        <f t="shared" si="269"/>
        <v>0</v>
      </c>
      <c r="U6528" s="99" t="str">
        <f>IFERROR(IF(#REF!="S",VLOOKUP('Raw Data'!A6528,References!#REF!,2,FALSE),(VLOOKUP($S6528,References!$B$3:$C$8,2,FALSE))),"")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0"/>
        <v>0</v>
      </c>
      <c r="T6529" s="98">
        <f t="shared" si="269"/>
        <v>0</v>
      </c>
      <c r="U6529" s="99" t="str">
        <f>IFERROR(IF(#REF!="S",VLOOKUP('Raw Data'!A6529,References!#REF!,2,FALSE),(VLOOKUP($S6529,References!$B$3:$C$8,2,FALSE))),"")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0"/>
        <v>0</v>
      </c>
      <c r="T6530" s="98">
        <f t="shared" si="269"/>
        <v>0</v>
      </c>
      <c r="U6530" s="99" t="str">
        <f>IFERROR(IF(#REF!="S",VLOOKUP('Raw Data'!A6530,References!#REF!,2,FALSE),(VLOOKUP($S6530,References!$B$3:$C$8,2,FALSE))),"")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0"/>
        <v>0</v>
      </c>
      <c r="T6531" s="98">
        <f t="shared" si="269"/>
        <v>0</v>
      </c>
      <c r="U6531" s="99" t="str">
        <f>IFERROR(IF(#REF!="S",VLOOKUP('Raw Data'!A6531,References!#REF!,2,FALSE),(VLOOKUP($S6531,References!$B$3:$C$8,2,FALSE))),"")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0"/>
        <v>0</v>
      </c>
      <c r="T6532" s="98">
        <f t="shared" si="269"/>
        <v>0</v>
      </c>
      <c r="U6532" s="99" t="str">
        <f>IFERROR(IF(#REF!="S",VLOOKUP('Raw Data'!A6532,References!#REF!,2,FALSE),(VLOOKUP($S6532,References!$B$3:$C$8,2,FALSE))),"")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0"/>
        <v>0</v>
      </c>
      <c r="T6533" s="98">
        <f t="shared" si="269"/>
        <v>0</v>
      </c>
      <c r="U6533" s="99" t="str">
        <f>IFERROR(IF(#REF!="S",VLOOKUP('Raw Data'!A6533,References!#REF!,2,FALSE),(VLOOKUP($S6533,References!$B$3:$C$8,2,FALSE))),"")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0"/>
        <v>0</v>
      </c>
      <c r="T6534" s="98">
        <f t="shared" si="269"/>
        <v>0</v>
      </c>
      <c r="U6534" s="99" t="str">
        <f>IFERROR(IF(#REF!="S",VLOOKUP('Raw Data'!A6534,References!#REF!,2,FALSE),(VLOOKUP($S6534,References!$B$3:$C$8,2,FALSE))),"")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0"/>
        <v>0</v>
      </c>
      <c r="T6535" s="98">
        <f t="shared" si="269"/>
        <v>0</v>
      </c>
      <c r="U6535" s="99" t="str">
        <f>IFERROR(IF(#REF!="S",VLOOKUP('Raw Data'!A6535,References!#REF!,2,FALSE),(VLOOKUP($S6535,References!$B$3:$C$8,2,FALSE))),"")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0"/>
        <v>0</v>
      </c>
      <c r="T6536" s="98">
        <f t="shared" si="269"/>
        <v>0</v>
      </c>
      <c r="U6536" s="99" t="str">
        <f>IFERROR(IF(#REF!="S",VLOOKUP('Raw Data'!A6536,References!#REF!,2,FALSE),(VLOOKUP($S6536,References!$B$3:$C$8,2,FALSE))),"")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0"/>
        <v>0</v>
      </c>
      <c r="T6537" s="98">
        <f t="shared" si="269"/>
        <v>0</v>
      </c>
      <c r="U6537" s="99" t="str">
        <f>IFERROR(IF(#REF!="S",VLOOKUP('Raw Data'!A6537,References!#REF!,2,FALSE),(VLOOKUP($S6537,References!$B$3:$C$8,2,FALSE))),"")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0"/>
        <v>0</v>
      </c>
      <c r="T6538" s="98">
        <f t="shared" si="269"/>
        <v>0</v>
      </c>
      <c r="U6538" s="99" t="str">
        <f>IFERROR(IF(#REF!="S",VLOOKUP('Raw Data'!A6538,References!#REF!,2,FALSE),(VLOOKUP($S6538,References!$B$3:$C$8,2,FALSE))),"")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0"/>
        <v>0</v>
      </c>
      <c r="T6539" s="98">
        <f t="shared" si="269"/>
        <v>0</v>
      </c>
      <c r="U6539" s="99" t="str">
        <f>IFERROR(IF(#REF!="S",VLOOKUP('Raw Data'!A6539,References!#REF!,2,FALSE),(VLOOKUP($S6539,References!$B$3:$C$8,2,FALSE))),"")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0"/>
        <v>0</v>
      </c>
      <c r="T6540" s="98">
        <f t="shared" si="269"/>
        <v>0</v>
      </c>
      <c r="U6540" s="99" t="str">
        <f>IFERROR(IF(#REF!="S",VLOOKUP('Raw Data'!A6540,References!#REF!,2,FALSE),(VLOOKUP($S6540,References!$B$3:$C$8,2,FALSE))),"")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0"/>
        <v>0</v>
      </c>
      <c r="T6541" s="98">
        <f t="shared" si="269"/>
        <v>0</v>
      </c>
      <c r="U6541" s="99" t="str">
        <f>IFERROR(IF(#REF!="S",VLOOKUP('Raw Data'!A6541,References!#REF!,2,FALSE),(VLOOKUP($S6541,References!$B$3:$C$8,2,FALSE))),"")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0"/>
        <v>0</v>
      </c>
      <c r="T6542" s="98">
        <f t="shared" si="269"/>
        <v>0</v>
      </c>
      <c r="U6542" s="99" t="str">
        <f>IFERROR(IF(#REF!="S",VLOOKUP('Raw Data'!A6542,References!#REF!,2,FALSE),(VLOOKUP($S6542,References!$B$3:$C$8,2,FALSE))),"")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0"/>
        <v>0</v>
      </c>
      <c r="T6543" s="98">
        <f t="shared" si="269"/>
        <v>0</v>
      </c>
      <c r="U6543" s="99" t="str">
        <f>IFERROR(IF(#REF!="S",VLOOKUP('Raw Data'!A6543,References!#REF!,2,FALSE),(VLOOKUP($S6543,References!$B$3:$C$8,2,FALSE))),"")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0"/>
        <v>0</v>
      </c>
      <c r="T6544" s="98">
        <f t="shared" ref="T6544:T6607" si="271">IF(S6544="50 - Cleaning Fee",1,HOUR($R6544)+MINUTE(R6544)/60)</f>
        <v>0</v>
      </c>
      <c r="U6544" s="99" t="str">
        <f>IFERROR(IF(#REF!="S",VLOOKUP('Raw Data'!A6544,References!#REF!,2,FALSE),(VLOOKUP($S6544,References!$B$3:$C$8,2,FALSE))),"")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0"/>
        <v>0</v>
      </c>
      <c r="T6545" s="98">
        <f t="shared" si="271"/>
        <v>0</v>
      </c>
      <c r="U6545" s="99" t="str">
        <f>IFERROR(IF(#REF!="S",VLOOKUP('Raw Data'!A6545,References!#REF!,2,FALSE),(VLOOKUP($S6545,References!$B$3:$C$8,2,FALSE))),"")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0"/>
        <v>0</v>
      </c>
      <c r="T6546" s="98">
        <f t="shared" si="271"/>
        <v>0</v>
      </c>
      <c r="U6546" s="99" t="str">
        <f>IFERROR(IF(#REF!="S",VLOOKUP('Raw Data'!A6546,References!#REF!,2,FALSE),(VLOOKUP($S6546,References!$B$3:$C$8,2,FALSE))),"")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0"/>
        <v>0</v>
      </c>
      <c r="T6547" s="98">
        <f t="shared" si="271"/>
        <v>0</v>
      </c>
      <c r="U6547" s="99" t="str">
        <f>IFERROR(IF(#REF!="S",VLOOKUP('Raw Data'!A6547,References!#REF!,2,FALSE),(VLOOKUP($S6547,References!$B$3:$C$8,2,FALSE))),"")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0"/>
        <v>0</v>
      </c>
      <c r="T6548" s="98">
        <f t="shared" si="271"/>
        <v>0</v>
      </c>
      <c r="U6548" s="99" t="str">
        <f>IFERROR(IF(#REF!="S",VLOOKUP('Raw Data'!A6548,References!#REF!,2,FALSE),(VLOOKUP($S6548,References!$B$3:$C$8,2,FALSE))),"")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0"/>
        <v>0</v>
      </c>
      <c r="T6549" s="98">
        <f t="shared" si="271"/>
        <v>0</v>
      </c>
      <c r="U6549" s="99" t="str">
        <f>IFERROR(IF(#REF!="S",VLOOKUP('Raw Data'!A6549,References!#REF!,2,FALSE),(VLOOKUP($S6549,References!$B$3:$C$8,2,FALSE))),"")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0"/>
        <v>0</v>
      </c>
      <c r="T6550" s="98">
        <f t="shared" si="271"/>
        <v>0</v>
      </c>
      <c r="U6550" s="99" t="str">
        <f>IFERROR(IF(#REF!="S",VLOOKUP('Raw Data'!A6550,References!#REF!,2,FALSE),(VLOOKUP($S6550,References!$B$3:$C$8,2,FALSE))),"")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0"/>
        <v>0</v>
      </c>
      <c r="T6551" s="98">
        <f t="shared" si="271"/>
        <v>0</v>
      </c>
      <c r="U6551" s="99" t="str">
        <f>IFERROR(IF(#REF!="S",VLOOKUP('Raw Data'!A6551,References!#REF!,2,FALSE),(VLOOKUP($S6551,References!$B$3:$C$8,2,FALSE))),"")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0"/>
        <v>0</v>
      </c>
      <c r="T6552" s="98">
        <f t="shared" si="271"/>
        <v>0</v>
      </c>
      <c r="U6552" s="99" t="str">
        <f>IFERROR(IF(#REF!="S",VLOOKUP('Raw Data'!A6552,References!#REF!,2,FALSE),(VLOOKUP($S6552,References!$B$3:$C$8,2,FALSE))),"")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0"/>
        <v>0</v>
      </c>
      <c r="T6553" s="98">
        <f t="shared" si="271"/>
        <v>0</v>
      </c>
      <c r="U6553" s="99" t="str">
        <f>IFERROR(IF(#REF!="S",VLOOKUP('Raw Data'!A6553,References!#REF!,2,FALSE),(VLOOKUP($S6553,References!$B$3:$C$8,2,FALSE))),"")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0"/>
        <v>0</v>
      </c>
      <c r="T6554" s="98">
        <f t="shared" si="271"/>
        <v>0</v>
      </c>
      <c r="U6554" s="99" t="str">
        <f>IFERROR(IF(#REF!="S",VLOOKUP('Raw Data'!A6554,References!#REF!,2,FALSE),(VLOOKUP($S6554,References!$B$3:$C$8,2,FALSE))),"")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0"/>
        <v>0</v>
      </c>
      <c r="T6555" s="98">
        <f t="shared" si="271"/>
        <v>0</v>
      </c>
      <c r="U6555" s="99" t="str">
        <f>IFERROR(IF(#REF!="S",VLOOKUP('Raw Data'!A6555,References!#REF!,2,FALSE),(VLOOKUP($S6555,References!$B$3:$C$8,2,FALSE))),"")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0"/>
        <v>0</v>
      </c>
      <c r="T6556" s="98">
        <f t="shared" si="271"/>
        <v>0</v>
      </c>
      <c r="U6556" s="99" t="str">
        <f>IFERROR(IF(#REF!="S",VLOOKUP('Raw Data'!A6556,References!#REF!,2,FALSE),(VLOOKUP($S6556,References!$B$3:$C$8,2,FALSE))),"")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0"/>
        <v>0</v>
      </c>
      <c r="T6557" s="98">
        <f t="shared" si="271"/>
        <v>0</v>
      </c>
      <c r="U6557" s="99" t="str">
        <f>IFERROR(IF(#REF!="S",VLOOKUP('Raw Data'!A6557,References!#REF!,2,FALSE),(VLOOKUP($S6557,References!$B$3:$C$8,2,FALSE))),"")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0"/>
        <v>0</v>
      </c>
      <c r="T6558" s="98">
        <f t="shared" si="271"/>
        <v>0</v>
      </c>
      <c r="U6558" s="99" t="str">
        <f>IFERROR(IF(#REF!="S",VLOOKUP('Raw Data'!A6558,References!#REF!,2,FALSE),(VLOOKUP($S6558,References!$B$3:$C$8,2,FALSE))),"")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0"/>
        <v>0</v>
      </c>
      <c r="T6559" s="98">
        <f t="shared" si="271"/>
        <v>0</v>
      </c>
      <c r="U6559" s="99" t="str">
        <f>IFERROR(IF(#REF!="S",VLOOKUP('Raw Data'!A6559,References!#REF!,2,FALSE),(VLOOKUP($S6559,References!$B$3:$C$8,2,FALSE))),"")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0"/>
        <v>0</v>
      </c>
      <c r="T6560" s="98">
        <f t="shared" si="271"/>
        <v>0</v>
      </c>
      <c r="U6560" s="99" t="str">
        <f>IFERROR(IF(#REF!="S",VLOOKUP('Raw Data'!A6560,References!#REF!,2,FALSE),(VLOOKUP($S6560,References!$B$3:$C$8,2,FALSE))),"")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0"/>
        <v>0</v>
      </c>
      <c r="T6561" s="98">
        <f t="shared" si="271"/>
        <v>0</v>
      </c>
      <c r="U6561" s="99" t="str">
        <f>IFERROR(IF(#REF!="S",VLOOKUP('Raw Data'!A6561,References!#REF!,2,FALSE),(VLOOKUP($S6561,References!$B$3:$C$8,2,FALSE))),"")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0"/>
        <v>0</v>
      </c>
      <c r="T6562" s="98">
        <f t="shared" si="271"/>
        <v>0</v>
      </c>
      <c r="U6562" s="99" t="str">
        <f>IFERROR(IF(#REF!="S",VLOOKUP('Raw Data'!A6562,References!#REF!,2,FALSE),(VLOOKUP($S6562,References!$B$3:$C$8,2,FALSE))),"")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0"/>
        <v>0</v>
      </c>
      <c r="T6563" s="98">
        <f t="shared" si="271"/>
        <v>0</v>
      </c>
      <c r="U6563" s="99" t="str">
        <f>IFERROR(IF(#REF!="S",VLOOKUP('Raw Data'!A6563,References!#REF!,2,FALSE),(VLOOKUP($S6563,References!$B$3:$C$8,2,FALSE))),"")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0"/>
        <v>0</v>
      </c>
      <c r="T6564" s="98">
        <f t="shared" si="271"/>
        <v>0</v>
      </c>
      <c r="U6564" s="99" t="str">
        <f>IFERROR(IF(#REF!="S",VLOOKUP('Raw Data'!A6564,References!#REF!,2,FALSE),(VLOOKUP($S6564,References!$B$3:$C$8,2,FALSE))),"")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0"/>
        <v>0</v>
      </c>
      <c r="T6565" s="98">
        <f t="shared" si="271"/>
        <v>0</v>
      </c>
      <c r="U6565" s="99" t="str">
        <f>IFERROR(IF(#REF!="S",VLOOKUP('Raw Data'!A6565,References!#REF!,2,FALSE),(VLOOKUP($S6565,References!$B$3:$C$8,2,FALSE))),"")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0"/>
        <v>0</v>
      </c>
      <c r="T6566" s="98">
        <f t="shared" si="271"/>
        <v>0</v>
      </c>
      <c r="U6566" s="99" t="str">
        <f>IFERROR(IF(#REF!="S",VLOOKUP('Raw Data'!A6566,References!#REF!,2,FALSE),(VLOOKUP($S6566,References!$B$3:$C$8,2,FALSE))),"")</f>
        <v/>
      </c>
      <c r="W6566" s="66" t="str">
        <f>IFERROR(VLOOKUP($O6566,'Customer List'!$A$1:$J$488,10,FALSE),"")</f>
        <v/>
      </c>
    </row>
    <row r="6567" spans="18:23">
      <c r="R6567" s="97">
        <f t="shared" si="270"/>
        <v>0</v>
      </c>
      <c r="T6567" s="98">
        <f t="shared" si="271"/>
        <v>0</v>
      </c>
      <c r="U6567" s="99" t="str">
        <f>IFERROR(IF(#REF!="S",VLOOKUP('Raw Data'!A6567,References!#REF!,2,FALSE),(VLOOKUP($S6567,References!$B$3:$C$8,2,FALSE))),"")</f>
        <v/>
      </c>
      <c r="W6567" s="66" t="str">
        <f>IFERROR(VLOOKUP($O6567,'Customer List'!$A$1:$J$488,10,FALSE),"")</f>
        <v/>
      </c>
    </row>
    <row r="6568" spans="18:23">
      <c r="R6568" s="97">
        <f t="shared" ref="R6568:R6631" si="272">L6568-K6568</f>
        <v>0</v>
      </c>
      <c r="T6568" s="98">
        <f t="shared" si="271"/>
        <v>0</v>
      </c>
      <c r="U6568" s="99" t="str">
        <f>IFERROR(IF(#REF!="S",VLOOKUP('Raw Data'!A6568,References!#REF!,2,FALSE),(VLOOKUP($S6568,References!$B$3:$C$8,2,FALSE))),"")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2"/>
        <v>0</v>
      </c>
      <c r="T6569" s="98">
        <f t="shared" si="271"/>
        <v>0</v>
      </c>
      <c r="U6569" s="99" t="str">
        <f>IFERROR(IF(#REF!="S",VLOOKUP('Raw Data'!A6569,References!#REF!,2,FALSE),(VLOOKUP($S6569,References!$B$3:$C$8,2,FALSE))),"")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2"/>
        <v>0</v>
      </c>
      <c r="T6570" s="98">
        <f t="shared" si="271"/>
        <v>0</v>
      </c>
      <c r="U6570" s="99" t="str">
        <f>IFERROR(IF(#REF!="S",VLOOKUP('Raw Data'!A6570,References!#REF!,2,FALSE),(VLOOKUP($S6570,References!$B$3:$C$8,2,FALSE))),"")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2"/>
        <v>0</v>
      </c>
      <c r="T6571" s="98">
        <f t="shared" si="271"/>
        <v>0</v>
      </c>
      <c r="U6571" s="99" t="str">
        <f>IFERROR(IF(#REF!="S",VLOOKUP('Raw Data'!A6571,References!#REF!,2,FALSE),(VLOOKUP($S6571,References!$B$3:$C$8,2,FALSE))),"")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2"/>
        <v>0</v>
      </c>
      <c r="T6572" s="98">
        <f t="shared" si="271"/>
        <v>0</v>
      </c>
      <c r="U6572" s="99" t="str">
        <f>IFERROR(IF(#REF!="S",VLOOKUP('Raw Data'!A6572,References!#REF!,2,FALSE),(VLOOKUP($S6572,References!$B$3:$C$8,2,FALSE))),"")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2"/>
        <v>0</v>
      </c>
      <c r="T6573" s="98">
        <f t="shared" si="271"/>
        <v>0</v>
      </c>
      <c r="U6573" s="99" t="str">
        <f>IFERROR(IF(#REF!="S",VLOOKUP('Raw Data'!A6573,References!#REF!,2,FALSE),(VLOOKUP($S6573,References!$B$3:$C$8,2,FALSE))),"")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2"/>
        <v>0</v>
      </c>
      <c r="T6574" s="98">
        <f t="shared" si="271"/>
        <v>0</v>
      </c>
      <c r="U6574" s="99" t="str">
        <f>IFERROR(IF(#REF!="S",VLOOKUP('Raw Data'!A6574,References!#REF!,2,FALSE),(VLOOKUP($S6574,References!$B$3:$C$8,2,FALSE))),"")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2"/>
        <v>0</v>
      </c>
      <c r="T6575" s="98">
        <f t="shared" si="271"/>
        <v>0</v>
      </c>
      <c r="U6575" s="99" t="str">
        <f>IFERROR(IF(#REF!="S",VLOOKUP('Raw Data'!A6575,References!#REF!,2,FALSE),(VLOOKUP($S6575,References!$B$3:$C$8,2,FALSE))),"")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2"/>
        <v>0</v>
      </c>
      <c r="T6576" s="98">
        <f t="shared" si="271"/>
        <v>0</v>
      </c>
      <c r="U6576" s="99" t="str">
        <f>IFERROR(IF(#REF!="S",VLOOKUP('Raw Data'!A6576,References!#REF!,2,FALSE),(VLOOKUP($S6576,References!$B$3:$C$8,2,FALSE))),"")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2"/>
        <v>0</v>
      </c>
      <c r="T6577" s="98">
        <f t="shared" si="271"/>
        <v>0</v>
      </c>
      <c r="U6577" s="99" t="str">
        <f>IFERROR(IF(#REF!="S",VLOOKUP('Raw Data'!A6577,References!#REF!,2,FALSE),(VLOOKUP($S6577,References!$B$3:$C$8,2,FALSE))),"")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2"/>
        <v>0</v>
      </c>
      <c r="T6578" s="98">
        <f t="shared" si="271"/>
        <v>0</v>
      </c>
      <c r="U6578" s="99" t="str">
        <f>IFERROR(IF(#REF!="S",VLOOKUP('Raw Data'!A6578,References!#REF!,2,FALSE),(VLOOKUP($S6578,References!$B$3:$C$8,2,FALSE))),"")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2"/>
        <v>0</v>
      </c>
      <c r="T6579" s="98">
        <f t="shared" si="271"/>
        <v>0</v>
      </c>
      <c r="U6579" s="99" t="str">
        <f>IFERROR(IF(#REF!="S",VLOOKUP('Raw Data'!A6579,References!#REF!,2,FALSE),(VLOOKUP($S6579,References!$B$3:$C$8,2,FALSE))),"")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2"/>
        <v>0</v>
      </c>
      <c r="T6580" s="98">
        <f t="shared" si="271"/>
        <v>0</v>
      </c>
      <c r="U6580" s="99" t="str">
        <f>IFERROR(IF(#REF!="S",VLOOKUP('Raw Data'!A6580,References!#REF!,2,FALSE),(VLOOKUP($S6580,References!$B$3:$C$8,2,FALSE))),"")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2"/>
        <v>0</v>
      </c>
      <c r="T6581" s="98">
        <f t="shared" si="271"/>
        <v>0</v>
      </c>
      <c r="U6581" s="99" t="str">
        <f>IFERROR(IF(#REF!="S",VLOOKUP('Raw Data'!A6581,References!#REF!,2,FALSE),(VLOOKUP($S6581,References!$B$3:$C$8,2,FALSE))),"")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2"/>
        <v>0</v>
      </c>
      <c r="T6582" s="98">
        <f t="shared" si="271"/>
        <v>0</v>
      </c>
      <c r="U6582" s="99" t="str">
        <f>IFERROR(IF(#REF!="S",VLOOKUP('Raw Data'!A6582,References!#REF!,2,FALSE),(VLOOKUP($S6582,References!$B$3:$C$8,2,FALSE))),"")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2"/>
        <v>0</v>
      </c>
      <c r="T6583" s="98">
        <f t="shared" si="271"/>
        <v>0</v>
      </c>
      <c r="U6583" s="99" t="str">
        <f>IFERROR(IF(#REF!="S",VLOOKUP('Raw Data'!A6583,References!#REF!,2,FALSE),(VLOOKUP($S6583,References!$B$3:$C$8,2,FALSE))),"")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2"/>
        <v>0</v>
      </c>
      <c r="T6584" s="98">
        <f t="shared" si="271"/>
        <v>0</v>
      </c>
      <c r="U6584" s="99" t="str">
        <f>IFERROR(IF(#REF!="S",VLOOKUP('Raw Data'!A6584,References!#REF!,2,FALSE),(VLOOKUP($S6584,References!$B$3:$C$8,2,FALSE))),"")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2"/>
        <v>0</v>
      </c>
      <c r="T6585" s="98">
        <f t="shared" si="271"/>
        <v>0</v>
      </c>
      <c r="U6585" s="99" t="str">
        <f>IFERROR(IF(#REF!="S",VLOOKUP('Raw Data'!A6585,References!#REF!,2,FALSE),(VLOOKUP($S6585,References!$B$3:$C$8,2,FALSE))),"")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2"/>
        <v>0</v>
      </c>
      <c r="T6586" s="98">
        <f t="shared" si="271"/>
        <v>0</v>
      </c>
      <c r="U6586" s="99" t="str">
        <f>IFERROR(IF(#REF!="S",VLOOKUP('Raw Data'!A6586,References!#REF!,2,FALSE),(VLOOKUP($S6586,References!$B$3:$C$8,2,FALSE))),"")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2"/>
        <v>0</v>
      </c>
      <c r="T6587" s="98">
        <f t="shared" si="271"/>
        <v>0</v>
      </c>
      <c r="U6587" s="99" t="str">
        <f>IFERROR(IF(#REF!="S",VLOOKUP('Raw Data'!A6587,References!#REF!,2,FALSE),(VLOOKUP($S6587,References!$B$3:$C$8,2,FALSE))),"")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2"/>
        <v>0</v>
      </c>
      <c r="T6588" s="98">
        <f t="shared" si="271"/>
        <v>0</v>
      </c>
      <c r="U6588" s="99" t="str">
        <f>IFERROR(IF(#REF!="S",VLOOKUP('Raw Data'!A6588,References!#REF!,2,FALSE),(VLOOKUP($S6588,References!$B$3:$C$8,2,FALSE))),"")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2"/>
        <v>0</v>
      </c>
      <c r="T6589" s="98">
        <f t="shared" si="271"/>
        <v>0</v>
      </c>
      <c r="U6589" s="99" t="str">
        <f>IFERROR(IF(#REF!="S",VLOOKUP('Raw Data'!A6589,References!#REF!,2,FALSE),(VLOOKUP($S6589,References!$B$3:$C$8,2,FALSE))),"")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2"/>
        <v>0</v>
      </c>
      <c r="T6590" s="98">
        <f t="shared" si="271"/>
        <v>0</v>
      </c>
      <c r="U6590" s="99" t="str">
        <f>IFERROR(IF(#REF!="S",VLOOKUP('Raw Data'!A6590,References!#REF!,2,FALSE),(VLOOKUP($S6590,References!$B$3:$C$8,2,FALSE))),"")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2"/>
        <v>0</v>
      </c>
      <c r="T6591" s="98">
        <f t="shared" si="271"/>
        <v>0</v>
      </c>
      <c r="U6591" s="99" t="str">
        <f>IFERROR(IF(#REF!="S",VLOOKUP('Raw Data'!A6591,References!#REF!,2,FALSE),(VLOOKUP($S6591,References!$B$3:$C$8,2,FALSE))),"")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2"/>
        <v>0</v>
      </c>
      <c r="T6592" s="98">
        <f t="shared" si="271"/>
        <v>0</v>
      </c>
      <c r="U6592" s="99" t="str">
        <f>IFERROR(IF(#REF!="S",VLOOKUP('Raw Data'!A6592,References!#REF!,2,FALSE),(VLOOKUP($S6592,References!$B$3:$C$8,2,FALSE))),"")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2"/>
        <v>0</v>
      </c>
      <c r="T6593" s="98">
        <f t="shared" si="271"/>
        <v>0</v>
      </c>
      <c r="U6593" s="99" t="str">
        <f>IFERROR(IF(#REF!="S",VLOOKUP('Raw Data'!A6593,References!#REF!,2,FALSE),(VLOOKUP($S6593,References!$B$3:$C$8,2,FALSE))),"")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2"/>
        <v>0</v>
      </c>
      <c r="T6594" s="98">
        <f t="shared" si="271"/>
        <v>0</v>
      </c>
      <c r="U6594" s="99" t="str">
        <f>IFERROR(IF(#REF!="S",VLOOKUP('Raw Data'!A6594,References!#REF!,2,FALSE),(VLOOKUP($S6594,References!$B$3:$C$8,2,FALSE))),"")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2"/>
        <v>0</v>
      </c>
      <c r="T6595" s="98">
        <f t="shared" si="271"/>
        <v>0</v>
      </c>
      <c r="U6595" s="99" t="str">
        <f>IFERROR(IF(#REF!="S",VLOOKUP('Raw Data'!A6595,References!#REF!,2,FALSE),(VLOOKUP($S6595,References!$B$3:$C$8,2,FALSE))),"")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2"/>
        <v>0</v>
      </c>
      <c r="T6596" s="98">
        <f t="shared" si="271"/>
        <v>0</v>
      </c>
      <c r="U6596" s="99" t="str">
        <f>IFERROR(IF(#REF!="S",VLOOKUP('Raw Data'!A6596,References!#REF!,2,FALSE),(VLOOKUP($S6596,References!$B$3:$C$8,2,FALSE))),"")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2"/>
        <v>0</v>
      </c>
      <c r="T6597" s="98">
        <f t="shared" si="271"/>
        <v>0</v>
      </c>
      <c r="U6597" s="99" t="str">
        <f>IFERROR(IF(#REF!="S",VLOOKUP('Raw Data'!A6597,References!#REF!,2,FALSE),(VLOOKUP($S6597,References!$B$3:$C$8,2,FALSE))),"")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2"/>
        <v>0</v>
      </c>
      <c r="T6598" s="98">
        <f t="shared" si="271"/>
        <v>0</v>
      </c>
      <c r="U6598" s="99" t="str">
        <f>IFERROR(IF(#REF!="S",VLOOKUP('Raw Data'!A6598,References!#REF!,2,FALSE),(VLOOKUP($S6598,References!$B$3:$C$8,2,FALSE))),"")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2"/>
        <v>0</v>
      </c>
      <c r="T6599" s="98">
        <f t="shared" si="271"/>
        <v>0</v>
      </c>
      <c r="U6599" s="99" t="str">
        <f>IFERROR(IF(#REF!="S",VLOOKUP('Raw Data'!A6599,References!#REF!,2,FALSE),(VLOOKUP($S6599,References!$B$3:$C$8,2,FALSE))),"")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2"/>
        <v>0</v>
      </c>
      <c r="T6600" s="98">
        <f t="shared" si="271"/>
        <v>0</v>
      </c>
      <c r="U6600" s="99" t="str">
        <f>IFERROR(IF(#REF!="S",VLOOKUP('Raw Data'!A6600,References!#REF!,2,FALSE),(VLOOKUP($S6600,References!$B$3:$C$8,2,FALSE))),"")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2"/>
        <v>0</v>
      </c>
      <c r="T6601" s="98">
        <f t="shared" si="271"/>
        <v>0</v>
      </c>
      <c r="U6601" s="99" t="str">
        <f>IFERROR(IF(#REF!="S",VLOOKUP('Raw Data'!A6601,References!#REF!,2,FALSE),(VLOOKUP($S6601,References!$B$3:$C$8,2,FALSE))),"")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2"/>
        <v>0</v>
      </c>
      <c r="T6602" s="98">
        <f t="shared" si="271"/>
        <v>0</v>
      </c>
      <c r="U6602" s="99" t="str">
        <f>IFERROR(IF(#REF!="S",VLOOKUP('Raw Data'!A6602,References!#REF!,2,FALSE),(VLOOKUP($S6602,References!$B$3:$C$8,2,FALSE))),"")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2"/>
        <v>0</v>
      </c>
      <c r="T6603" s="98">
        <f t="shared" si="271"/>
        <v>0</v>
      </c>
      <c r="U6603" s="99" t="str">
        <f>IFERROR(IF(#REF!="S",VLOOKUP('Raw Data'!A6603,References!#REF!,2,FALSE),(VLOOKUP($S6603,References!$B$3:$C$8,2,FALSE))),"")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2"/>
        <v>0</v>
      </c>
      <c r="T6604" s="98">
        <f t="shared" si="271"/>
        <v>0</v>
      </c>
      <c r="U6604" s="99" t="str">
        <f>IFERROR(IF(#REF!="S",VLOOKUP('Raw Data'!A6604,References!#REF!,2,FALSE),(VLOOKUP($S6604,References!$B$3:$C$8,2,FALSE))),"")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2"/>
        <v>0</v>
      </c>
      <c r="T6605" s="98">
        <f t="shared" si="271"/>
        <v>0</v>
      </c>
      <c r="U6605" s="99" t="str">
        <f>IFERROR(IF(#REF!="S",VLOOKUP('Raw Data'!A6605,References!#REF!,2,FALSE),(VLOOKUP($S6605,References!$B$3:$C$8,2,FALSE))),"")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2"/>
        <v>0</v>
      </c>
      <c r="T6606" s="98">
        <f t="shared" si="271"/>
        <v>0</v>
      </c>
      <c r="U6606" s="99" t="str">
        <f>IFERROR(IF(#REF!="S",VLOOKUP('Raw Data'!A6606,References!#REF!,2,FALSE),(VLOOKUP($S6606,References!$B$3:$C$8,2,FALSE))),"")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2"/>
        <v>0</v>
      </c>
      <c r="T6607" s="98">
        <f t="shared" si="271"/>
        <v>0</v>
      </c>
      <c r="U6607" s="99" t="str">
        <f>IFERROR(IF(#REF!="S",VLOOKUP('Raw Data'!A6607,References!#REF!,2,FALSE),(VLOOKUP($S6607,References!$B$3:$C$8,2,FALSE))),"")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2"/>
        <v>0</v>
      </c>
      <c r="T6608" s="98">
        <f t="shared" ref="T6608:T6671" si="273">IF(S6608="50 - Cleaning Fee",1,HOUR($R6608)+MINUTE(R6608)/60)</f>
        <v>0</v>
      </c>
      <c r="U6608" s="99" t="str">
        <f>IFERROR(IF(#REF!="S",VLOOKUP('Raw Data'!A6608,References!#REF!,2,FALSE),(VLOOKUP($S6608,References!$B$3:$C$8,2,FALSE))),"")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2"/>
        <v>0</v>
      </c>
      <c r="T6609" s="98">
        <f t="shared" si="273"/>
        <v>0</v>
      </c>
      <c r="U6609" s="99" t="str">
        <f>IFERROR(IF(#REF!="S",VLOOKUP('Raw Data'!A6609,References!#REF!,2,FALSE),(VLOOKUP($S6609,References!$B$3:$C$8,2,FALSE))),"")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2"/>
        <v>0</v>
      </c>
      <c r="T6610" s="98">
        <f t="shared" si="273"/>
        <v>0</v>
      </c>
      <c r="U6610" s="99" t="str">
        <f>IFERROR(IF(#REF!="S",VLOOKUP('Raw Data'!A6610,References!#REF!,2,FALSE),(VLOOKUP($S6610,References!$B$3:$C$8,2,FALSE))),"")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2"/>
        <v>0</v>
      </c>
      <c r="T6611" s="98">
        <f t="shared" si="273"/>
        <v>0</v>
      </c>
      <c r="U6611" s="99" t="str">
        <f>IFERROR(IF(#REF!="S",VLOOKUP('Raw Data'!A6611,References!#REF!,2,FALSE),(VLOOKUP($S6611,References!$B$3:$C$8,2,FALSE))),"")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2"/>
        <v>0</v>
      </c>
      <c r="T6612" s="98">
        <f t="shared" si="273"/>
        <v>0</v>
      </c>
      <c r="U6612" s="99" t="str">
        <f>IFERROR(IF(#REF!="S",VLOOKUP('Raw Data'!A6612,References!#REF!,2,FALSE),(VLOOKUP($S6612,References!$B$3:$C$8,2,FALSE))),"")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2"/>
        <v>0</v>
      </c>
      <c r="T6613" s="98">
        <f t="shared" si="273"/>
        <v>0</v>
      </c>
      <c r="U6613" s="99" t="str">
        <f>IFERROR(IF(#REF!="S",VLOOKUP('Raw Data'!A6613,References!#REF!,2,FALSE),(VLOOKUP($S6613,References!$B$3:$C$8,2,FALSE))),"")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2"/>
        <v>0</v>
      </c>
      <c r="T6614" s="98">
        <f t="shared" si="273"/>
        <v>0</v>
      </c>
      <c r="U6614" s="99" t="str">
        <f>IFERROR(IF(#REF!="S",VLOOKUP('Raw Data'!A6614,References!#REF!,2,FALSE),(VLOOKUP($S6614,References!$B$3:$C$8,2,FALSE))),"")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2"/>
        <v>0</v>
      </c>
      <c r="T6615" s="98">
        <f t="shared" si="273"/>
        <v>0</v>
      </c>
      <c r="U6615" s="99" t="str">
        <f>IFERROR(IF(#REF!="S",VLOOKUP('Raw Data'!A6615,References!#REF!,2,FALSE),(VLOOKUP($S6615,References!$B$3:$C$8,2,FALSE))),"")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2"/>
        <v>0</v>
      </c>
      <c r="T6616" s="98">
        <f t="shared" si="273"/>
        <v>0</v>
      </c>
      <c r="U6616" s="99" t="str">
        <f>IFERROR(IF(#REF!="S",VLOOKUP('Raw Data'!A6616,References!#REF!,2,FALSE),(VLOOKUP($S6616,References!$B$3:$C$8,2,FALSE))),"")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2"/>
        <v>0</v>
      </c>
      <c r="T6617" s="98">
        <f t="shared" si="273"/>
        <v>0</v>
      </c>
      <c r="U6617" s="99" t="str">
        <f>IFERROR(IF(#REF!="S",VLOOKUP('Raw Data'!A6617,References!#REF!,2,FALSE),(VLOOKUP($S6617,References!$B$3:$C$8,2,FALSE))),"")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2"/>
        <v>0</v>
      </c>
      <c r="T6618" s="98">
        <f t="shared" si="273"/>
        <v>0</v>
      </c>
      <c r="U6618" s="99" t="str">
        <f>IFERROR(IF(#REF!="S",VLOOKUP('Raw Data'!A6618,References!#REF!,2,FALSE),(VLOOKUP($S6618,References!$B$3:$C$8,2,FALSE))),"")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2"/>
        <v>0</v>
      </c>
      <c r="T6619" s="98">
        <f t="shared" si="273"/>
        <v>0</v>
      </c>
      <c r="U6619" s="99" t="str">
        <f>IFERROR(IF(#REF!="S",VLOOKUP('Raw Data'!A6619,References!#REF!,2,FALSE),(VLOOKUP($S6619,References!$B$3:$C$8,2,FALSE))),"")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2"/>
        <v>0</v>
      </c>
      <c r="T6620" s="98">
        <f t="shared" si="273"/>
        <v>0</v>
      </c>
      <c r="U6620" s="99" t="str">
        <f>IFERROR(IF(#REF!="S",VLOOKUP('Raw Data'!A6620,References!#REF!,2,FALSE),(VLOOKUP($S6620,References!$B$3:$C$8,2,FALSE))),"")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2"/>
        <v>0</v>
      </c>
      <c r="T6621" s="98">
        <f t="shared" si="273"/>
        <v>0</v>
      </c>
      <c r="U6621" s="99" t="str">
        <f>IFERROR(IF(#REF!="S",VLOOKUP('Raw Data'!A6621,References!#REF!,2,FALSE),(VLOOKUP($S6621,References!$B$3:$C$8,2,FALSE))),"")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2"/>
        <v>0</v>
      </c>
      <c r="T6622" s="98">
        <f t="shared" si="273"/>
        <v>0</v>
      </c>
      <c r="U6622" s="99" t="str">
        <f>IFERROR(IF(#REF!="S",VLOOKUP('Raw Data'!A6622,References!#REF!,2,FALSE),(VLOOKUP($S6622,References!$B$3:$C$8,2,FALSE))),"")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2"/>
        <v>0</v>
      </c>
      <c r="T6623" s="98">
        <f t="shared" si="273"/>
        <v>0</v>
      </c>
      <c r="U6623" s="99" t="str">
        <f>IFERROR(IF(#REF!="S",VLOOKUP('Raw Data'!A6623,References!#REF!,2,FALSE),(VLOOKUP($S6623,References!$B$3:$C$8,2,FALSE))),"")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2"/>
        <v>0</v>
      </c>
      <c r="T6624" s="98">
        <f t="shared" si="273"/>
        <v>0</v>
      </c>
      <c r="U6624" s="99" t="str">
        <f>IFERROR(IF(#REF!="S",VLOOKUP('Raw Data'!A6624,References!#REF!,2,FALSE),(VLOOKUP($S6624,References!$B$3:$C$8,2,FALSE))),"")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2"/>
        <v>0</v>
      </c>
      <c r="T6625" s="98">
        <f t="shared" si="273"/>
        <v>0</v>
      </c>
      <c r="U6625" s="99" t="str">
        <f>IFERROR(IF(#REF!="S",VLOOKUP('Raw Data'!A6625,References!#REF!,2,FALSE),(VLOOKUP($S6625,References!$B$3:$C$8,2,FALSE))),"")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2"/>
        <v>0</v>
      </c>
      <c r="T6626" s="98">
        <f t="shared" si="273"/>
        <v>0</v>
      </c>
      <c r="U6626" s="99" t="str">
        <f>IFERROR(IF(#REF!="S",VLOOKUP('Raw Data'!A6626,References!#REF!,2,FALSE),(VLOOKUP($S6626,References!$B$3:$C$8,2,FALSE))),"")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2"/>
        <v>0</v>
      </c>
      <c r="T6627" s="98">
        <f t="shared" si="273"/>
        <v>0</v>
      </c>
      <c r="U6627" s="99" t="str">
        <f>IFERROR(IF(#REF!="S",VLOOKUP('Raw Data'!A6627,References!#REF!,2,FALSE),(VLOOKUP($S6627,References!$B$3:$C$8,2,FALSE))),"")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2"/>
        <v>0</v>
      </c>
      <c r="T6628" s="98">
        <f t="shared" si="273"/>
        <v>0</v>
      </c>
      <c r="U6628" s="99" t="str">
        <f>IFERROR(IF(#REF!="S",VLOOKUP('Raw Data'!A6628,References!#REF!,2,FALSE),(VLOOKUP($S6628,References!$B$3:$C$8,2,FALSE))),"")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2"/>
        <v>0</v>
      </c>
      <c r="T6629" s="98">
        <f t="shared" si="273"/>
        <v>0</v>
      </c>
      <c r="U6629" s="99" t="str">
        <f>IFERROR(IF(#REF!="S",VLOOKUP('Raw Data'!A6629,References!#REF!,2,FALSE),(VLOOKUP($S6629,References!$B$3:$C$8,2,FALSE))),"")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2"/>
        <v>0</v>
      </c>
      <c r="T6630" s="98">
        <f t="shared" si="273"/>
        <v>0</v>
      </c>
      <c r="U6630" s="99" t="str">
        <f>IFERROR(IF(#REF!="S",VLOOKUP('Raw Data'!A6630,References!#REF!,2,FALSE),(VLOOKUP($S6630,References!$B$3:$C$8,2,FALSE))),"")</f>
        <v/>
      </c>
      <c r="W6630" s="66" t="str">
        <f>IFERROR(VLOOKUP($O6630,'Customer List'!$A$1:$J$488,10,FALSE),"")</f>
        <v/>
      </c>
    </row>
    <row r="6631" spans="18:23">
      <c r="R6631" s="97">
        <f t="shared" si="272"/>
        <v>0</v>
      </c>
      <c r="T6631" s="98">
        <f t="shared" si="273"/>
        <v>0</v>
      </c>
      <c r="U6631" s="99" t="str">
        <f>IFERROR(IF(#REF!="S",VLOOKUP('Raw Data'!A6631,References!#REF!,2,FALSE),(VLOOKUP($S6631,References!$B$3:$C$8,2,FALSE))),"")</f>
        <v/>
      </c>
      <c r="W6631" s="66" t="str">
        <f>IFERROR(VLOOKUP($O6631,'Customer List'!$A$1:$J$488,10,FALSE),"")</f>
        <v/>
      </c>
    </row>
    <row r="6632" spans="18:23">
      <c r="R6632" s="97">
        <f t="shared" ref="R6632:R6695" si="274">L6632-K6632</f>
        <v>0</v>
      </c>
      <c r="T6632" s="98">
        <f t="shared" si="273"/>
        <v>0</v>
      </c>
      <c r="U6632" s="99" t="str">
        <f>IFERROR(IF(#REF!="S",VLOOKUP('Raw Data'!A6632,References!#REF!,2,FALSE),(VLOOKUP($S6632,References!$B$3:$C$8,2,FALSE))),"")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4"/>
        <v>0</v>
      </c>
      <c r="T6633" s="98">
        <f t="shared" si="273"/>
        <v>0</v>
      </c>
      <c r="U6633" s="99" t="str">
        <f>IFERROR(IF(#REF!="S",VLOOKUP('Raw Data'!A6633,References!#REF!,2,FALSE),(VLOOKUP($S6633,References!$B$3:$C$8,2,FALSE))),"")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4"/>
        <v>0</v>
      </c>
      <c r="T6634" s="98">
        <f t="shared" si="273"/>
        <v>0</v>
      </c>
      <c r="U6634" s="99" t="str">
        <f>IFERROR(IF(#REF!="S",VLOOKUP('Raw Data'!A6634,References!#REF!,2,FALSE),(VLOOKUP($S6634,References!$B$3:$C$8,2,FALSE))),"")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4"/>
        <v>0</v>
      </c>
      <c r="T6635" s="98">
        <f t="shared" si="273"/>
        <v>0</v>
      </c>
      <c r="U6635" s="99" t="str">
        <f>IFERROR(IF(#REF!="S",VLOOKUP('Raw Data'!A6635,References!#REF!,2,FALSE),(VLOOKUP($S6635,References!$B$3:$C$8,2,FALSE))),"")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4"/>
        <v>0</v>
      </c>
      <c r="T6636" s="98">
        <f t="shared" si="273"/>
        <v>0</v>
      </c>
      <c r="U6636" s="99" t="str">
        <f>IFERROR(IF(#REF!="S",VLOOKUP('Raw Data'!A6636,References!#REF!,2,FALSE),(VLOOKUP($S6636,References!$B$3:$C$8,2,FALSE))),"")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4"/>
        <v>0</v>
      </c>
      <c r="T6637" s="98">
        <f t="shared" si="273"/>
        <v>0</v>
      </c>
      <c r="U6637" s="99" t="str">
        <f>IFERROR(IF(#REF!="S",VLOOKUP('Raw Data'!A6637,References!#REF!,2,FALSE),(VLOOKUP($S6637,References!$B$3:$C$8,2,FALSE))),"")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4"/>
        <v>0</v>
      </c>
      <c r="T6638" s="98">
        <f t="shared" si="273"/>
        <v>0</v>
      </c>
      <c r="U6638" s="99" t="str">
        <f>IFERROR(IF(#REF!="S",VLOOKUP('Raw Data'!A6638,References!#REF!,2,FALSE),(VLOOKUP($S6638,References!$B$3:$C$8,2,FALSE))),"")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4"/>
        <v>0</v>
      </c>
      <c r="T6639" s="98">
        <f t="shared" si="273"/>
        <v>0</v>
      </c>
      <c r="U6639" s="99" t="str">
        <f>IFERROR(IF(#REF!="S",VLOOKUP('Raw Data'!A6639,References!#REF!,2,FALSE),(VLOOKUP($S6639,References!$B$3:$C$8,2,FALSE))),"")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4"/>
        <v>0</v>
      </c>
      <c r="T6640" s="98">
        <f t="shared" si="273"/>
        <v>0</v>
      </c>
      <c r="U6640" s="99" t="str">
        <f>IFERROR(IF(#REF!="S",VLOOKUP('Raw Data'!A6640,References!#REF!,2,FALSE),(VLOOKUP($S6640,References!$B$3:$C$8,2,FALSE))),"")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4"/>
        <v>0</v>
      </c>
      <c r="T6641" s="98">
        <f t="shared" si="273"/>
        <v>0</v>
      </c>
      <c r="U6641" s="99" t="str">
        <f>IFERROR(IF(#REF!="S",VLOOKUP('Raw Data'!A6641,References!#REF!,2,FALSE),(VLOOKUP($S6641,References!$B$3:$C$8,2,FALSE))),"")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4"/>
        <v>0</v>
      </c>
      <c r="T6642" s="98">
        <f t="shared" si="273"/>
        <v>0</v>
      </c>
      <c r="U6642" s="99" t="str">
        <f>IFERROR(IF(#REF!="S",VLOOKUP('Raw Data'!A6642,References!#REF!,2,FALSE),(VLOOKUP($S6642,References!$B$3:$C$8,2,FALSE))),"")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4"/>
        <v>0</v>
      </c>
      <c r="T6643" s="98">
        <f t="shared" si="273"/>
        <v>0</v>
      </c>
      <c r="U6643" s="99" t="str">
        <f>IFERROR(IF(#REF!="S",VLOOKUP('Raw Data'!A6643,References!#REF!,2,FALSE),(VLOOKUP($S6643,References!$B$3:$C$8,2,FALSE))),"")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4"/>
        <v>0</v>
      </c>
      <c r="T6644" s="98">
        <f t="shared" si="273"/>
        <v>0</v>
      </c>
      <c r="U6644" s="99" t="str">
        <f>IFERROR(IF(#REF!="S",VLOOKUP('Raw Data'!A6644,References!#REF!,2,FALSE),(VLOOKUP($S6644,References!$B$3:$C$8,2,FALSE))),"")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4"/>
        <v>0</v>
      </c>
      <c r="T6645" s="98">
        <f t="shared" si="273"/>
        <v>0</v>
      </c>
      <c r="U6645" s="99" t="str">
        <f>IFERROR(IF(#REF!="S",VLOOKUP('Raw Data'!A6645,References!#REF!,2,FALSE),(VLOOKUP($S6645,References!$B$3:$C$8,2,FALSE))),"")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4"/>
        <v>0</v>
      </c>
      <c r="T6646" s="98">
        <f t="shared" si="273"/>
        <v>0</v>
      </c>
      <c r="U6646" s="99" t="str">
        <f>IFERROR(IF(#REF!="S",VLOOKUP('Raw Data'!A6646,References!#REF!,2,FALSE),(VLOOKUP($S6646,References!$B$3:$C$8,2,FALSE))),"")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4"/>
        <v>0</v>
      </c>
      <c r="T6647" s="98">
        <f t="shared" si="273"/>
        <v>0</v>
      </c>
      <c r="U6647" s="99" t="str">
        <f>IFERROR(IF(#REF!="S",VLOOKUP('Raw Data'!A6647,References!#REF!,2,FALSE),(VLOOKUP($S6647,References!$B$3:$C$8,2,FALSE))),"")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4"/>
        <v>0</v>
      </c>
      <c r="T6648" s="98">
        <f t="shared" si="273"/>
        <v>0</v>
      </c>
      <c r="U6648" s="99" t="str">
        <f>IFERROR(IF(#REF!="S",VLOOKUP('Raw Data'!A6648,References!#REF!,2,FALSE),(VLOOKUP($S6648,References!$B$3:$C$8,2,FALSE))),"")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4"/>
        <v>0</v>
      </c>
      <c r="T6649" s="98">
        <f t="shared" si="273"/>
        <v>0</v>
      </c>
      <c r="U6649" s="99" t="str">
        <f>IFERROR(IF(#REF!="S",VLOOKUP('Raw Data'!A6649,References!#REF!,2,FALSE),(VLOOKUP($S6649,References!$B$3:$C$8,2,FALSE))),"")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4"/>
        <v>0</v>
      </c>
      <c r="T6650" s="98">
        <f t="shared" si="273"/>
        <v>0</v>
      </c>
      <c r="U6650" s="99" t="str">
        <f>IFERROR(IF(#REF!="S",VLOOKUP('Raw Data'!A6650,References!#REF!,2,FALSE),(VLOOKUP($S6650,References!$B$3:$C$8,2,FALSE))),"")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4"/>
        <v>0</v>
      </c>
      <c r="T6651" s="98">
        <f t="shared" si="273"/>
        <v>0</v>
      </c>
      <c r="U6651" s="99" t="str">
        <f>IFERROR(IF(#REF!="S",VLOOKUP('Raw Data'!A6651,References!#REF!,2,FALSE),(VLOOKUP($S6651,References!$B$3:$C$8,2,FALSE))),"")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4"/>
        <v>0</v>
      </c>
      <c r="T6652" s="98">
        <f t="shared" si="273"/>
        <v>0</v>
      </c>
      <c r="U6652" s="99" t="str">
        <f>IFERROR(IF(#REF!="S",VLOOKUP('Raw Data'!A6652,References!#REF!,2,FALSE),(VLOOKUP($S6652,References!$B$3:$C$8,2,FALSE))),"")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4"/>
        <v>0</v>
      </c>
      <c r="T6653" s="98">
        <f t="shared" si="273"/>
        <v>0</v>
      </c>
      <c r="U6653" s="99" t="str">
        <f>IFERROR(IF(#REF!="S",VLOOKUP('Raw Data'!A6653,References!#REF!,2,FALSE),(VLOOKUP($S6653,References!$B$3:$C$8,2,FALSE))),"")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4"/>
        <v>0</v>
      </c>
      <c r="T6654" s="98">
        <f t="shared" si="273"/>
        <v>0</v>
      </c>
      <c r="U6654" s="99" t="str">
        <f>IFERROR(IF(#REF!="S",VLOOKUP('Raw Data'!A6654,References!#REF!,2,FALSE),(VLOOKUP($S6654,References!$B$3:$C$8,2,FALSE))),"")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4"/>
        <v>0</v>
      </c>
      <c r="T6655" s="98">
        <f t="shared" si="273"/>
        <v>0</v>
      </c>
      <c r="U6655" s="99" t="str">
        <f>IFERROR(IF(#REF!="S",VLOOKUP('Raw Data'!A6655,References!#REF!,2,FALSE),(VLOOKUP($S6655,References!$B$3:$C$8,2,FALSE))),"")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4"/>
        <v>0</v>
      </c>
      <c r="T6656" s="98">
        <f t="shared" si="273"/>
        <v>0</v>
      </c>
      <c r="U6656" s="99" t="str">
        <f>IFERROR(IF(#REF!="S",VLOOKUP('Raw Data'!A6656,References!#REF!,2,FALSE),(VLOOKUP($S6656,References!$B$3:$C$8,2,FALSE))),"")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4"/>
        <v>0</v>
      </c>
      <c r="T6657" s="98">
        <f t="shared" si="273"/>
        <v>0</v>
      </c>
      <c r="U6657" s="99" t="str">
        <f>IFERROR(IF(#REF!="S",VLOOKUP('Raw Data'!A6657,References!#REF!,2,FALSE),(VLOOKUP($S6657,References!$B$3:$C$8,2,FALSE))),"")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4"/>
        <v>0</v>
      </c>
      <c r="T6658" s="98">
        <f t="shared" si="273"/>
        <v>0</v>
      </c>
      <c r="U6658" s="99" t="str">
        <f>IFERROR(IF(#REF!="S",VLOOKUP('Raw Data'!A6658,References!#REF!,2,FALSE),(VLOOKUP($S6658,References!$B$3:$C$8,2,FALSE))),"")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4"/>
        <v>0</v>
      </c>
      <c r="T6659" s="98">
        <f t="shared" si="273"/>
        <v>0</v>
      </c>
      <c r="U6659" s="99" t="str">
        <f>IFERROR(IF(#REF!="S",VLOOKUP('Raw Data'!A6659,References!#REF!,2,FALSE),(VLOOKUP($S6659,References!$B$3:$C$8,2,FALSE))),"")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4"/>
        <v>0</v>
      </c>
      <c r="T6660" s="98">
        <f t="shared" si="273"/>
        <v>0</v>
      </c>
      <c r="U6660" s="99" t="str">
        <f>IFERROR(IF(#REF!="S",VLOOKUP('Raw Data'!A6660,References!#REF!,2,FALSE),(VLOOKUP($S6660,References!$B$3:$C$8,2,FALSE))),"")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4"/>
        <v>0</v>
      </c>
      <c r="T6661" s="98">
        <f t="shared" si="273"/>
        <v>0</v>
      </c>
      <c r="U6661" s="99" t="str">
        <f>IFERROR(IF(#REF!="S",VLOOKUP('Raw Data'!A6661,References!#REF!,2,FALSE),(VLOOKUP($S6661,References!$B$3:$C$8,2,FALSE))),"")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4"/>
        <v>0</v>
      </c>
      <c r="T6662" s="98">
        <f t="shared" si="273"/>
        <v>0</v>
      </c>
      <c r="U6662" s="99" t="str">
        <f>IFERROR(IF(#REF!="S",VLOOKUP('Raw Data'!A6662,References!#REF!,2,FALSE),(VLOOKUP($S6662,References!$B$3:$C$8,2,FALSE))),"")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4"/>
        <v>0</v>
      </c>
      <c r="T6663" s="98">
        <f t="shared" si="273"/>
        <v>0</v>
      </c>
      <c r="U6663" s="99" t="str">
        <f>IFERROR(IF(#REF!="S",VLOOKUP('Raw Data'!A6663,References!#REF!,2,FALSE),(VLOOKUP($S6663,References!$B$3:$C$8,2,FALSE))),"")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4"/>
        <v>0</v>
      </c>
      <c r="T6664" s="98">
        <f t="shared" si="273"/>
        <v>0</v>
      </c>
      <c r="U6664" s="99" t="str">
        <f>IFERROR(IF(#REF!="S",VLOOKUP('Raw Data'!A6664,References!#REF!,2,FALSE),(VLOOKUP($S6664,References!$B$3:$C$8,2,FALSE))),"")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4"/>
        <v>0</v>
      </c>
      <c r="T6665" s="98">
        <f t="shared" si="273"/>
        <v>0</v>
      </c>
      <c r="U6665" s="99" t="str">
        <f>IFERROR(IF(#REF!="S",VLOOKUP('Raw Data'!A6665,References!#REF!,2,FALSE),(VLOOKUP($S6665,References!$B$3:$C$8,2,FALSE))),"")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4"/>
        <v>0</v>
      </c>
      <c r="T6666" s="98">
        <f t="shared" si="273"/>
        <v>0</v>
      </c>
      <c r="U6666" s="99" t="str">
        <f>IFERROR(IF(#REF!="S",VLOOKUP('Raw Data'!A6666,References!#REF!,2,FALSE),(VLOOKUP($S6666,References!$B$3:$C$8,2,FALSE))),"")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4"/>
        <v>0</v>
      </c>
      <c r="T6667" s="98">
        <f t="shared" si="273"/>
        <v>0</v>
      </c>
      <c r="U6667" s="99" t="str">
        <f>IFERROR(IF(#REF!="S",VLOOKUP('Raw Data'!A6667,References!#REF!,2,FALSE),(VLOOKUP($S6667,References!$B$3:$C$8,2,FALSE))),"")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4"/>
        <v>0</v>
      </c>
      <c r="T6668" s="98">
        <f t="shared" si="273"/>
        <v>0</v>
      </c>
      <c r="U6668" s="99" t="str">
        <f>IFERROR(IF(#REF!="S",VLOOKUP('Raw Data'!A6668,References!#REF!,2,FALSE),(VLOOKUP($S6668,References!$B$3:$C$8,2,FALSE))),"")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4"/>
        <v>0</v>
      </c>
      <c r="T6669" s="98">
        <f t="shared" si="273"/>
        <v>0</v>
      </c>
      <c r="U6669" s="99" t="str">
        <f>IFERROR(IF(#REF!="S",VLOOKUP('Raw Data'!A6669,References!#REF!,2,FALSE),(VLOOKUP($S6669,References!$B$3:$C$8,2,FALSE))),"")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4"/>
        <v>0</v>
      </c>
      <c r="T6670" s="98">
        <f t="shared" si="273"/>
        <v>0</v>
      </c>
      <c r="U6670" s="99" t="str">
        <f>IFERROR(IF(#REF!="S",VLOOKUP('Raw Data'!A6670,References!#REF!,2,FALSE),(VLOOKUP($S6670,References!$B$3:$C$8,2,FALSE))),"")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4"/>
        <v>0</v>
      </c>
      <c r="T6671" s="98">
        <f t="shared" si="273"/>
        <v>0</v>
      </c>
      <c r="U6671" s="99" t="str">
        <f>IFERROR(IF(#REF!="S",VLOOKUP('Raw Data'!A6671,References!#REF!,2,FALSE),(VLOOKUP($S6671,References!$B$3:$C$8,2,FALSE))),"")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4"/>
        <v>0</v>
      </c>
      <c r="T6672" s="98">
        <f t="shared" ref="T6672:T6735" si="275">IF(S6672="50 - Cleaning Fee",1,HOUR($R6672)+MINUTE(R6672)/60)</f>
        <v>0</v>
      </c>
      <c r="U6672" s="99" t="str">
        <f>IFERROR(IF(#REF!="S",VLOOKUP('Raw Data'!A6672,References!#REF!,2,FALSE),(VLOOKUP($S6672,References!$B$3:$C$8,2,FALSE))),"")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4"/>
        <v>0</v>
      </c>
      <c r="T6673" s="98">
        <f t="shared" si="275"/>
        <v>0</v>
      </c>
      <c r="U6673" s="99" t="str">
        <f>IFERROR(IF(#REF!="S",VLOOKUP('Raw Data'!A6673,References!#REF!,2,FALSE),(VLOOKUP($S6673,References!$B$3:$C$8,2,FALSE))),"")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4"/>
        <v>0</v>
      </c>
      <c r="T6674" s="98">
        <f t="shared" si="275"/>
        <v>0</v>
      </c>
      <c r="U6674" s="99" t="str">
        <f>IFERROR(IF(#REF!="S",VLOOKUP('Raw Data'!A6674,References!#REF!,2,FALSE),(VLOOKUP($S6674,References!$B$3:$C$8,2,FALSE))),"")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4"/>
        <v>0</v>
      </c>
      <c r="T6675" s="98">
        <f t="shared" si="275"/>
        <v>0</v>
      </c>
      <c r="U6675" s="99" t="str">
        <f>IFERROR(IF(#REF!="S",VLOOKUP('Raw Data'!A6675,References!#REF!,2,FALSE),(VLOOKUP($S6675,References!$B$3:$C$8,2,FALSE))),"")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4"/>
        <v>0</v>
      </c>
      <c r="T6676" s="98">
        <f t="shared" si="275"/>
        <v>0</v>
      </c>
      <c r="U6676" s="99" t="str">
        <f>IFERROR(IF(#REF!="S",VLOOKUP('Raw Data'!A6676,References!#REF!,2,FALSE),(VLOOKUP($S6676,References!$B$3:$C$8,2,FALSE))),"")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4"/>
        <v>0</v>
      </c>
      <c r="T6677" s="98">
        <f t="shared" si="275"/>
        <v>0</v>
      </c>
      <c r="U6677" s="99" t="str">
        <f>IFERROR(IF(#REF!="S",VLOOKUP('Raw Data'!A6677,References!#REF!,2,FALSE),(VLOOKUP($S6677,References!$B$3:$C$8,2,FALSE))),"")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4"/>
        <v>0</v>
      </c>
      <c r="T6678" s="98">
        <f t="shared" si="275"/>
        <v>0</v>
      </c>
      <c r="U6678" s="99" t="str">
        <f>IFERROR(IF(#REF!="S",VLOOKUP('Raw Data'!A6678,References!#REF!,2,FALSE),(VLOOKUP($S6678,References!$B$3:$C$8,2,FALSE))),"")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4"/>
        <v>0</v>
      </c>
      <c r="T6679" s="98">
        <f t="shared" si="275"/>
        <v>0</v>
      </c>
      <c r="U6679" s="99" t="str">
        <f>IFERROR(IF(#REF!="S",VLOOKUP('Raw Data'!A6679,References!#REF!,2,FALSE),(VLOOKUP($S6679,References!$B$3:$C$8,2,FALSE))),"")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4"/>
        <v>0</v>
      </c>
      <c r="T6680" s="98">
        <f t="shared" si="275"/>
        <v>0</v>
      </c>
      <c r="U6680" s="99" t="str">
        <f>IFERROR(IF(#REF!="S",VLOOKUP('Raw Data'!A6680,References!#REF!,2,FALSE),(VLOOKUP($S6680,References!$B$3:$C$8,2,FALSE))),"")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4"/>
        <v>0</v>
      </c>
      <c r="T6681" s="98">
        <f t="shared" si="275"/>
        <v>0</v>
      </c>
      <c r="U6681" s="99" t="str">
        <f>IFERROR(IF(#REF!="S",VLOOKUP('Raw Data'!A6681,References!#REF!,2,FALSE),(VLOOKUP($S6681,References!$B$3:$C$8,2,FALSE))),"")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4"/>
        <v>0</v>
      </c>
      <c r="T6682" s="98">
        <f t="shared" si="275"/>
        <v>0</v>
      </c>
      <c r="U6682" s="99" t="str">
        <f>IFERROR(IF(#REF!="S",VLOOKUP('Raw Data'!A6682,References!#REF!,2,FALSE),(VLOOKUP($S6682,References!$B$3:$C$8,2,FALSE))),"")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4"/>
        <v>0</v>
      </c>
      <c r="T6683" s="98">
        <f t="shared" si="275"/>
        <v>0</v>
      </c>
      <c r="U6683" s="99" t="str">
        <f>IFERROR(IF(#REF!="S",VLOOKUP('Raw Data'!A6683,References!#REF!,2,FALSE),(VLOOKUP($S6683,References!$B$3:$C$8,2,FALSE))),"")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4"/>
        <v>0</v>
      </c>
      <c r="T6684" s="98">
        <f t="shared" si="275"/>
        <v>0</v>
      </c>
      <c r="U6684" s="99" t="str">
        <f>IFERROR(IF(#REF!="S",VLOOKUP('Raw Data'!A6684,References!#REF!,2,FALSE),(VLOOKUP($S6684,References!$B$3:$C$8,2,FALSE))),"")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4"/>
        <v>0</v>
      </c>
      <c r="T6685" s="98">
        <f t="shared" si="275"/>
        <v>0</v>
      </c>
      <c r="U6685" s="99" t="str">
        <f>IFERROR(IF(#REF!="S",VLOOKUP('Raw Data'!A6685,References!#REF!,2,FALSE),(VLOOKUP($S6685,References!$B$3:$C$8,2,FALSE))),"")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4"/>
        <v>0</v>
      </c>
      <c r="T6686" s="98">
        <f t="shared" si="275"/>
        <v>0</v>
      </c>
      <c r="U6686" s="99" t="str">
        <f>IFERROR(IF(#REF!="S",VLOOKUP('Raw Data'!A6686,References!#REF!,2,FALSE),(VLOOKUP($S6686,References!$B$3:$C$8,2,FALSE))),"")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4"/>
        <v>0</v>
      </c>
      <c r="T6687" s="98">
        <f t="shared" si="275"/>
        <v>0</v>
      </c>
      <c r="U6687" s="99" t="str">
        <f>IFERROR(IF(#REF!="S",VLOOKUP('Raw Data'!A6687,References!#REF!,2,FALSE),(VLOOKUP($S6687,References!$B$3:$C$8,2,FALSE))),"")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4"/>
        <v>0</v>
      </c>
      <c r="T6688" s="98">
        <f t="shared" si="275"/>
        <v>0</v>
      </c>
      <c r="U6688" s="99" t="str">
        <f>IFERROR(IF(#REF!="S",VLOOKUP('Raw Data'!A6688,References!#REF!,2,FALSE),(VLOOKUP($S6688,References!$B$3:$C$8,2,FALSE))),"")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4"/>
        <v>0</v>
      </c>
      <c r="T6689" s="98">
        <f t="shared" si="275"/>
        <v>0</v>
      </c>
      <c r="U6689" s="99" t="str">
        <f>IFERROR(IF(#REF!="S",VLOOKUP('Raw Data'!A6689,References!#REF!,2,FALSE),(VLOOKUP($S6689,References!$B$3:$C$8,2,FALSE))),"")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4"/>
        <v>0</v>
      </c>
      <c r="T6690" s="98">
        <f t="shared" si="275"/>
        <v>0</v>
      </c>
      <c r="U6690" s="99" t="str">
        <f>IFERROR(IF(#REF!="S",VLOOKUP('Raw Data'!A6690,References!#REF!,2,FALSE),(VLOOKUP($S6690,References!$B$3:$C$8,2,FALSE))),"")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4"/>
        <v>0</v>
      </c>
      <c r="T6691" s="98">
        <f t="shared" si="275"/>
        <v>0</v>
      </c>
      <c r="U6691" s="99" t="str">
        <f>IFERROR(IF(#REF!="S",VLOOKUP('Raw Data'!A6691,References!#REF!,2,FALSE),(VLOOKUP($S6691,References!$B$3:$C$8,2,FALSE))),"")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4"/>
        <v>0</v>
      </c>
      <c r="T6692" s="98">
        <f t="shared" si="275"/>
        <v>0</v>
      </c>
      <c r="U6692" s="99" t="str">
        <f>IFERROR(IF(#REF!="S",VLOOKUP('Raw Data'!A6692,References!#REF!,2,FALSE),(VLOOKUP($S6692,References!$B$3:$C$8,2,FALSE))),"")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4"/>
        <v>0</v>
      </c>
      <c r="T6693" s="98">
        <f t="shared" si="275"/>
        <v>0</v>
      </c>
      <c r="U6693" s="99" t="str">
        <f>IFERROR(IF(#REF!="S",VLOOKUP('Raw Data'!A6693,References!#REF!,2,FALSE),(VLOOKUP($S6693,References!$B$3:$C$8,2,FALSE))),"")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4"/>
        <v>0</v>
      </c>
      <c r="T6694" s="98">
        <f t="shared" si="275"/>
        <v>0</v>
      </c>
      <c r="U6694" s="99" t="str">
        <f>IFERROR(IF(#REF!="S",VLOOKUP('Raw Data'!A6694,References!#REF!,2,FALSE),(VLOOKUP($S6694,References!$B$3:$C$8,2,FALSE))),"")</f>
        <v/>
      </c>
      <c r="W6694" s="66" t="str">
        <f>IFERROR(VLOOKUP($O6694,'Customer List'!$A$1:$J$488,10,FALSE),"")</f>
        <v/>
      </c>
    </row>
    <row r="6695" spans="18:23">
      <c r="R6695" s="97">
        <f t="shared" si="274"/>
        <v>0</v>
      </c>
      <c r="T6695" s="98">
        <f t="shared" si="275"/>
        <v>0</v>
      </c>
      <c r="U6695" s="99" t="str">
        <f>IFERROR(IF(#REF!="S",VLOOKUP('Raw Data'!A6695,References!#REF!,2,FALSE),(VLOOKUP($S6695,References!$B$3:$C$8,2,FALSE))),"")</f>
        <v/>
      </c>
      <c r="W6695" s="66" t="str">
        <f>IFERROR(VLOOKUP($O6695,'Customer List'!$A$1:$J$488,10,FALSE),"")</f>
        <v/>
      </c>
    </row>
    <row r="6696" spans="18:23">
      <c r="R6696" s="97">
        <f t="shared" ref="R6696:R6759" si="276">L6696-K6696</f>
        <v>0</v>
      </c>
      <c r="T6696" s="98">
        <f t="shared" si="275"/>
        <v>0</v>
      </c>
      <c r="U6696" s="99" t="str">
        <f>IFERROR(IF(#REF!="S",VLOOKUP('Raw Data'!A6696,References!#REF!,2,FALSE),(VLOOKUP($S6696,References!$B$3:$C$8,2,FALSE))),"")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6"/>
        <v>0</v>
      </c>
      <c r="T6697" s="98">
        <f t="shared" si="275"/>
        <v>0</v>
      </c>
      <c r="U6697" s="99" t="str">
        <f>IFERROR(IF(#REF!="S",VLOOKUP('Raw Data'!A6697,References!#REF!,2,FALSE),(VLOOKUP($S6697,References!$B$3:$C$8,2,FALSE))),"")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6"/>
        <v>0</v>
      </c>
      <c r="T6698" s="98">
        <f t="shared" si="275"/>
        <v>0</v>
      </c>
      <c r="U6698" s="99" t="str">
        <f>IFERROR(IF(#REF!="S",VLOOKUP('Raw Data'!A6698,References!#REF!,2,FALSE),(VLOOKUP($S6698,References!$B$3:$C$8,2,FALSE))),"")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6"/>
        <v>0</v>
      </c>
      <c r="T6699" s="98">
        <f t="shared" si="275"/>
        <v>0</v>
      </c>
      <c r="U6699" s="99" t="str">
        <f>IFERROR(IF(#REF!="S",VLOOKUP('Raw Data'!A6699,References!#REF!,2,FALSE),(VLOOKUP($S6699,References!$B$3:$C$8,2,FALSE))),"")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6"/>
        <v>0</v>
      </c>
      <c r="T6700" s="98">
        <f t="shared" si="275"/>
        <v>0</v>
      </c>
      <c r="U6700" s="99" t="str">
        <f>IFERROR(IF(#REF!="S",VLOOKUP('Raw Data'!A6700,References!#REF!,2,FALSE),(VLOOKUP($S6700,References!$B$3:$C$8,2,FALSE))),"")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6"/>
        <v>0</v>
      </c>
      <c r="T6701" s="98">
        <f t="shared" si="275"/>
        <v>0</v>
      </c>
      <c r="U6701" s="99" t="str">
        <f>IFERROR(IF(#REF!="S",VLOOKUP('Raw Data'!A6701,References!#REF!,2,FALSE),(VLOOKUP($S6701,References!$B$3:$C$8,2,FALSE))),"")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6"/>
        <v>0</v>
      </c>
      <c r="T6702" s="98">
        <f t="shared" si="275"/>
        <v>0</v>
      </c>
      <c r="U6702" s="99" t="str">
        <f>IFERROR(IF(#REF!="S",VLOOKUP('Raw Data'!A6702,References!#REF!,2,FALSE),(VLOOKUP($S6702,References!$B$3:$C$8,2,FALSE))),"")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6"/>
        <v>0</v>
      </c>
      <c r="T6703" s="98">
        <f t="shared" si="275"/>
        <v>0</v>
      </c>
      <c r="U6703" s="99" t="str">
        <f>IFERROR(IF(#REF!="S",VLOOKUP('Raw Data'!A6703,References!#REF!,2,FALSE),(VLOOKUP($S6703,References!$B$3:$C$8,2,FALSE))),"")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6"/>
        <v>0</v>
      </c>
      <c r="T6704" s="98">
        <f t="shared" si="275"/>
        <v>0</v>
      </c>
      <c r="U6704" s="99" t="str">
        <f>IFERROR(IF(#REF!="S",VLOOKUP('Raw Data'!A6704,References!#REF!,2,FALSE),(VLOOKUP($S6704,References!$B$3:$C$8,2,FALSE))),"")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6"/>
        <v>0</v>
      </c>
      <c r="T6705" s="98">
        <f t="shared" si="275"/>
        <v>0</v>
      </c>
      <c r="U6705" s="99" t="str">
        <f>IFERROR(IF(#REF!="S",VLOOKUP('Raw Data'!A6705,References!#REF!,2,FALSE),(VLOOKUP($S6705,References!$B$3:$C$8,2,FALSE))),"")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6"/>
        <v>0</v>
      </c>
      <c r="T6706" s="98">
        <f t="shared" si="275"/>
        <v>0</v>
      </c>
      <c r="U6706" s="99" t="str">
        <f>IFERROR(IF(#REF!="S",VLOOKUP('Raw Data'!A6706,References!#REF!,2,FALSE),(VLOOKUP($S6706,References!$B$3:$C$8,2,FALSE))),"")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6"/>
        <v>0</v>
      </c>
      <c r="T6707" s="98">
        <f t="shared" si="275"/>
        <v>0</v>
      </c>
      <c r="U6707" s="99" t="str">
        <f>IFERROR(IF(#REF!="S",VLOOKUP('Raw Data'!A6707,References!#REF!,2,FALSE),(VLOOKUP($S6707,References!$B$3:$C$8,2,FALSE))),"")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6"/>
        <v>0</v>
      </c>
      <c r="T6708" s="98">
        <f t="shared" si="275"/>
        <v>0</v>
      </c>
      <c r="U6708" s="99" t="str">
        <f>IFERROR(IF(#REF!="S",VLOOKUP('Raw Data'!A6708,References!#REF!,2,FALSE),(VLOOKUP($S6708,References!$B$3:$C$8,2,FALSE))),"")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6"/>
        <v>0</v>
      </c>
      <c r="T6709" s="98">
        <f t="shared" si="275"/>
        <v>0</v>
      </c>
      <c r="U6709" s="99" t="str">
        <f>IFERROR(IF(#REF!="S",VLOOKUP('Raw Data'!A6709,References!#REF!,2,FALSE),(VLOOKUP($S6709,References!$B$3:$C$8,2,FALSE))),"")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6"/>
        <v>0</v>
      </c>
      <c r="T6710" s="98">
        <f t="shared" si="275"/>
        <v>0</v>
      </c>
      <c r="U6710" s="99" t="str">
        <f>IFERROR(IF(#REF!="S",VLOOKUP('Raw Data'!A6710,References!#REF!,2,FALSE),(VLOOKUP($S6710,References!$B$3:$C$8,2,FALSE))),"")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6"/>
        <v>0</v>
      </c>
      <c r="T6711" s="98">
        <f t="shared" si="275"/>
        <v>0</v>
      </c>
      <c r="U6711" s="99" t="str">
        <f>IFERROR(IF(#REF!="S",VLOOKUP('Raw Data'!A6711,References!#REF!,2,FALSE),(VLOOKUP($S6711,References!$B$3:$C$8,2,FALSE))),"")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6"/>
        <v>0</v>
      </c>
      <c r="T6712" s="98">
        <f t="shared" si="275"/>
        <v>0</v>
      </c>
      <c r="U6712" s="99" t="str">
        <f>IFERROR(IF(#REF!="S",VLOOKUP('Raw Data'!A6712,References!#REF!,2,FALSE),(VLOOKUP($S6712,References!$B$3:$C$8,2,FALSE))),"")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6"/>
        <v>0</v>
      </c>
      <c r="T6713" s="98">
        <f t="shared" si="275"/>
        <v>0</v>
      </c>
      <c r="U6713" s="99" t="str">
        <f>IFERROR(IF(#REF!="S",VLOOKUP('Raw Data'!A6713,References!#REF!,2,FALSE),(VLOOKUP($S6713,References!$B$3:$C$8,2,FALSE))),"")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6"/>
        <v>0</v>
      </c>
      <c r="T6714" s="98">
        <f t="shared" si="275"/>
        <v>0</v>
      </c>
      <c r="U6714" s="99" t="str">
        <f>IFERROR(IF(#REF!="S",VLOOKUP('Raw Data'!A6714,References!#REF!,2,FALSE),(VLOOKUP($S6714,References!$B$3:$C$8,2,FALSE))),"")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6"/>
        <v>0</v>
      </c>
      <c r="T6715" s="98">
        <f t="shared" si="275"/>
        <v>0</v>
      </c>
      <c r="U6715" s="99" t="str">
        <f>IFERROR(IF(#REF!="S",VLOOKUP('Raw Data'!A6715,References!#REF!,2,FALSE),(VLOOKUP($S6715,References!$B$3:$C$8,2,FALSE))),"")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6"/>
        <v>0</v>
      </c>
      <c r="T6716" s="98">
        <f t="shared" si="275"/>
        <v>0</v>
      </c>
      <c r="U6716" s="99" t="str">
        <f>IFERROR(IF(#REF!="S",VLOOKUP('Raw Data'!A6716,References!#REF!,2,FALSE),(VLOOKUP($S6716,References!$B$3:$C$8,2,FALSE))),"")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6"/>
        <v>0</v>
      </c>
      <c r="T6717" s="98">
        <f t="shared" si="275"/>
        <v>0</v>
      </c>
      <c r="U6717" s="99" t="str">
        <f>IFERROR(IF(#REF!="S",VLOOKUP('Raw Data'!A6717,References!#REF!,2,FALSE),(VLOOKUP($S6717,References!$B$3:$C$8,2,FALSE))),"")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6"/>
        <v>0</v>
      </c>
      <c r="T6718" s="98">
        <f t="shared" si="275"/>
        <v>0</v>
      </c>
      <c r="U6718" s="99" t="str">
        <f>IFERROR(IF(#REF!="S",VLOOKUP('Raw Data'!A6718,References!#REF!,2,FALSE),(VLOOKUP($S6718,References!$B$3:$C$8,2,FALSE))),"")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6"/>
        <v>0</v>
      </c>
      <c r="T6719" s="98">
        <f t="shared" si="275"/>
        <v>0</v>
      </c>
      <c r="U6719" s="99" t="str">
        <f>IFERROR(IF(#REF!="S",VLOOKUP('Raw Data'!A6719,References!#REF!,2,FALSE),(VLOOKUP($S6719,References!$B$3:$C$8,2,FALSE))),"")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6"/>
        <v>0</v>
      </c>
      <c r="T6720" s="98">
        <f t="shared" si="275"/>
        <v>0</v>
      </c>
      <c r="U6720" s="99" t="str">
        <f>IFERROR(IF(#REF!="S",VLOOKUP('Raw Data'!A6720,References!#REF!,2,FALSE),(VLOOKUP($S6720,References!$B$3:$C$8,2,FALSE))),"")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6"/>
        <v>0</v>
      </c>
      <c r="T6721" s="98">
        <f t="shared" si="275"/>
        <v>0</v>
      </c>
      <c r="U6721" s="99" t="str">
        <f>IFERROR(IF(#REF!="S",VLOOKUP('Raw Data'!A6721,References!#REF!,2,FALSE),(VLOOKUP($S6721,References!$B$3:$C$8,2,FALSE))),"")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6"/>
        <v>0</v>
      </c>
      <c r="T6722" s="98">
        <f t="shared" si="275"/>
        <v>0</v>
      </c>
      <c r="U6722" s="99" t="str">
        <f>IFERROR(IF(#REF!="S",VLOOKUP('Raw Data'!A6722,References!#REF!,2,FALSE),(VLOOKUP($S6722,References!$B$3:$C$8,2,FALSE))),"")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6"/>
        <v>0</v>
      </c>
      <c r="T6723" s="98">
        <f t="shared" si="275"/>
        <v>0</v>
      </c>
      <c r="U6723" s="99" t="str">
        <f>IFERROR(IF(#REF!="S",VLOOKUP('Raw Data'!A6723,References!#REF!,2,FALSE),(VLOOKUP($S6723,References!$B$3:$C$8,2,FALSE))),"")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6"/>
        <v>0</v>
      </c>
      <c r="T6724" s="98">
        <f t="shared" si="275"/>
        <v>0</v>
      </c>
      <c r="U6724" s="99" t="str">
        <f>IFERROR(IF(#REF!="S",VLOOKUP('Raw Data'!A6724,References!#REF!,2,FALSE),(VLOOKUP($S6724,References!$B$3:$C$8,2,FALSE))),"")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6"/>
        <v>0</v>
      </c>
      <c r="T6725" s="98">
        <f t="shared" si="275"/>
        <v>0</v>
      </c>
      <c r="U6725" s="99" t="str">
        <f>IFERROR(IF(#REF!="S",VLOOKUP('Raw Data'!A6725,References!#REF!,2,FALSE),(VLOOKUP($S6725,References!$B$3:$C$8,2,FALSE))),"")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6"/>
        <v>0</v>
      </c>
      <c r="T6726" s="98">
        <f t="shared" si="275"/>
        <v>0</v>
      </c>
      <c r="U6726" s="99" t="str">
        <f>IFERROR(IF(#REF!="S",VLOOKUP('Raw Data'!A6726,References!#REF!,2,FALSE),(VLOOKUP($S6726,References!$B$3:$C$8,2,FALSE))),"")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6"/>
        <v>0</v>
      </c>
      <c r="T6727" s="98">
        <f t="shared" si="275"/>
        <v>0</v>
      </c>
      <c r="U6727" s="99" t="str">
        <f>IFERROR(IF(#REF!="S",VLOOKUP('Raw Data'!A6727,References!#REF!,2,FALSE),(VLOOKUP($S6727,References!$B$3:$C$8,2,FALSE))),"")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6"/>
        <v>0</v>
      </c>
      <c r="T6728" s="98">
        <f t="shared" si="275"/>
        <v>0</v>
      </c>
      <c r="U6728" s="99" t="str">
        <f>IFERROR(IF(#REF!="S",VLOOKUP('Raw Data'!A6728,References!#REF!,2,FALSE),(VLOOKUP($S6728,References!$B$3:$C$8,2,FALSE))),"")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6"/>
        <v>0</v>
      </c>
      <c r="T6729" s="98">
        <f t="shared" si="275"/>
        <v>0</v>
      </c>
      <c r="U6729" s="99" t="str">
        <f>IFERROR(IF(#REF!="S",VLOOKUP('Raw Data'!A6729,References!#REF!,2,FALSE),(VLOOKUP($S6729,References!$B$3:$C$8,2,FALSE))),"")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6"/>
        <v>0</v>
      </c>
      <c r="T6730" s="98">
        <f t="shared" si="275"/>
        <v>0</v>
      </c>
      <c r="U6730" s="99" t="str">
        <f>IFERROR(IF(#REF!="S",VLOOKUP('Raw Data'!A6730,References!#REF!,2,FALSE),(VLOOKUP($S6730,References!$B$3:$C$8,2,FALSE))),"")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6"/>
        <v>0</v>
      </c>
      <c r="T6731" s="98">
        <f t="shared" si="275"/>
        <v>0</v>
      </c>
      <c r="U6731" s="99" t="str">
        <f>IFERROR(IF(#REF!="S",VLOOKUP('Raw Data'!A6731,References!#REF!,2,FALSE),(VLOOKUP($S6731,References!$B$3:$C$8,2,FALSE))),"")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6"/>
        <v>0</v>
      </c>
      <c r="T6732" s="98">
        <f t="shared" si="275"/>
        <v>0</v>
      </c>
      <c r="U6732" s="99" t="str">
        <f>IFERROR(IF(#REF!="S",VLOOKUP('Raw Data'!A6732,References!#REF!,2,FALSE),(VLOOKUP($S6732,References!$B$3:$C$8,2,FALSE))),"")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6"/>
        <v>0</v>
      </c>
      <c r="T6733" s="98">
        <f t="shared" si="275"/>
        <v>0</v>
      </c>
      <c r="U6733" s="99" t="str">
        <f>IFERROR(IF(#REF!="S",VLOOKUP('Raw Data'!A6733,References!#REF!,2,FALSE),(VLOOKUP($S6733,References!$B$3:$C$8,2,FALSE))),"")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6"/>
        <v>0</v>
      </c>
      <c r="T6734" s="98">
        <f t="shared" si="275"/>
        <v>0</v>
      </c>
      <c r="U6734" s="99" t="str">
        <f>IFERROR(IF(#REF!="S",VLOOKUP('Raw Data'!A6734,References!#REF!,2,FALSE),(VLOOKUP($S6734,References!$B$3:$C$8,2,FALSE))),"")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6"/>
        <v>0</v>
      </c>
      <c r="T6735" s="98">
        <f t="shared" si="275"/>
        <v>0</v>
      </c>
      <c r="U6735" s="99" t="str">
        <f>IFERROR(IF(#REF!="S",VLOOKUP('Raw Data'!A6735,References!#REF!,2,FALSE),(VLOOKUP($S6735,References!$B$3:$C$8,2,FALSE))),"")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6"/>
        <v>0</v>
      </c>
      <c r="T6736" s="98">
        <f t="shared" ref="T6736:T6799" si="277">IF(S6736="50 - Cleaning Fee",1,HOUR($R6736)+MINUTE(R6736)/60)</f>
        <v>0</v>
      </c>
      <c r="U6736" s="99" t="str">
        <f>IFERROR(IF(#REF!="S",VLOOKUP('Raw Data'!A6736,References!#REF!,2,FALSE),(VLOOKUP($S6736,References!$B$3:$C$8,2,FALSE))),"")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6"/>
        <v>0</v>
      </c>
      <c r="T6737" s="98">
        <f t="shared" si="277"/>
        <v>0</v>
      </c>
      <c r="U6737" s="99" t="str">
        <f>IFERROR(IF(#REF!="S",VLOOKUP('Raw Data'!A6737,References!#REF!,2,FALSE),(VLOOKUP($S6737,References!$B$3:$C$8,2,FALSE))),"")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6"/>
        <v>0</v>
      </c>
      <c r="T6738" s="98">
        <f t="shared" si="277"/>
        <v>0</v>
      </c>
      <c r="U6738" s="99" t="str">
        <f>IFERROR(IF(#REF!="S",VLOOKUP('Raw Data'!A6738,References!#REF!,2,FALSE),(VLOOKUP($S6738,References!$B$3:$C$8,2,FALSE))),"")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6"/>
        <v>0</v>
      </c>
      <c r="T6739" s="98">
        <f t="shared" si="277"/>
        <v>0</v>
      </c>
      <c r="U6739" s="99" t="str">
        <f>IFERROR(IF(#REF!="S",VLOOKUP('Raw Data'!A6739,References!#REF!,2,FALSE),(VLOOKUP($S6739,References!$B$3:$C$8,2,FALSE))),"")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6"/>
        <v>0</v>
      </c>
      <c r="T6740" s="98">
        <f t="shared" si="277"/>
        <v>0</v>
      </c>
      <c r="U6740" s="99" t="str">
        <f>IFERROR(IF(#REF!="S",VLOOKUP('Raw Data'!A6740,References!#REF!,2,FALSE),(VLOOKUP($S6740,References!$B$3:$C$8,2,FALSE))),"")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6"/>
        <v>0</v>
      </c>
      <c r="T6741" s="98">
        <f t="shared" si="277"/>
        <v>0</v>
      </c>
      <c r="U6741" s="99" t="str">
        <f>IFERROR(IF(#REF!="S",VLOOKUP('Raw Data'!A6741,References!#REF!,2,FALSE),(VLOOKUP($S6741,References!$B$3:$C$8,2,FALSE))),"")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6"/>
        <v>0</v>
      </c>
      <c r="T6742" s="98">
        <f t="shared" si="277"/>
        <v>0</v>
      </c>
      <c r="U6742" s="99" t="str">
        <f>IFERROR(IF(#REF!="S",VLOOKUP('Raw Data'!A6742,References!#REF!,2,FALSE),(VLOOKUP($S6742,References!$B$3:$C$8,2,FALSE))),"")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6"/>
        <v>0</v>
      </c>
      <c r="T6743" s="98">
        <f t="shared" si="277"/>
        <v>0</v>
      </c>
      <c r="U6743" s="99" t="str">
        <f>IFERROR(IF(#REF!="S",VLOOKUP('Raw Data'!A6743,References!#REF!,2,FALSE),(VLOOKUP($S6743,References!$B$3:$C$8,2,FALSE))),"")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6"/>
        <v>0</v>
      </c>
      <c r="T6744" s="98">
        <f t="shared" si="277"/>
        <v>0</v>
      </c>
      <c r="U6744" s="99" t="str">
        <f>IFERROR(IF(#REF!="S",VLOOKUP('Raw Data'!A6744,References!#REF!,2,FALSE),(VLOOKUP($S6744,References!$B$3:$C$8,2,FALSE))),"")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6"/>
        <v>0</v>
      </c>
      <c r="T6745" s="98">
        <f t="shared" si="277"/>
        <v>0</v>
      </c>
      <c r="U6745" s="99" t="str">
        <f>IFERROR(IF(#REF!="S",VLOOKUP('Raw Data'!A6745,References!#REF!,2,FALSE),(VLOOKUP($S6745,References!$B$3:$C$8,2,FALSE))),"")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6"/>
        <v>0</v>
      </c>
      <c r="T6746" s="98">
        <f t="shared" si="277"/>
        <v>0</v>
      </c>
      <c r="U6746" s="99" t="str">
        <f>IFERROR(IF(#REF!="S",VLOOKUP('Raw Data'!A6746,References!#REF!,2,FALSE),(VLOOKUP($S6746,References!$B$3:$C$8,2,FALSE))),"")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6"/>
        <v>0</v>
      </c>
      <c r="T6747" s="98">
        <f t="shared" si="277"/>
        <v>0</v>
      </c>
      <c r="U6747" s="99" t="str">
        <f>IFERROR(IF(#REF!="S",VLOOKUP('Raw Data'!A6747,References!#REF!,2,FALSE),(VLOOKUP($S6747,References!$B$3:$C$8,2,FALSE))),"")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6"/>
        <v>0</v>
      </c>
      <c r="T6748" s="98">
        <f t="shared" si="277"/>
        <v>0</v>
      </c>
      <c r="U6748" s="99" t="str">
        <f>IFERROR(IF(#REF!="S",VLOOKUP('Raw Data'!A6748,References!#REF!,2,FALSE),(VLOOKUP($S6748,References!$B$3:$C$8,2,FALSE))),"")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6"/>
        <v>0</v>
      </c>
      <c r="T6749" s="98">
        <f t="shared" si="277"/>
        <v>0</v>
      </c>
      <c r="U6749" s="99" t="str">
        <f>IFERROR(IF(#REF!="S",VLOOKUP('Raw Data'!A6749,References!#REF!,2,FALSE),(VLOOKUP($S6749,References!$B$3:$C$8,2,FALSE))),"")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6"/>
        <v>0</v>
      </c>
      <c r="T6750" s="98">
        <f t="shared" si="277"/>
        <v>0</v>
      </c>
      <c r="U6750" s="99" t="str">
        <f>IFERROR(IF(#REF!="S",VLOOKUP('Raw Data'!A6750,References!#REF!,2,FALSE),(VLOOKUP($S6750,References!$B$3:$C$8,2,FALSE))),"")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6"/>
        <v>0</v>
      </c>
      <c r="T6751" s="98">
        <f t="shared" si="277"/>
        <v>0</v>
      </c>
      <c r="U6751" s="99" t="str">
        <f>IFERROR(IF(#REF!="S",VLOOKUP('Raw Data'!A6751,References!#REF!,2,FALSE),(VLOOKUP($S6751,References!$B$3:$C$8,2,FALSE))),"")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6"/>
        <v>0</v>
      </c>
      <c r="T6752" s="98">
        <f t="shared" si="277"/>
        <v>0</v>
      </c>
      <c r="U6752" s="99" t="str">
        <f>IFERROR(IF(#REF!="S",VLOOKUP('Raw Data'!A6752,References!#REF!,2,FALSE),(VLOOKUP($S6752,References!$B$3:$C$8,2,FALSE))),"")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6"/>
        <v>0</v>
      </c>
      <c r="T6753" s="98">
        <f t="shared" si="277"/>
        <v>0</v>
      </c>
      <c r="U6753" s="99" t="str">
        <f>IFERROR(IF(#REF!="S",VLOOKUP('Raw Data'!A6753,References!#REF!,2,FALSE),(VLOOKUP($S6753,References!$B$3:$C$8,2,FALSE))),"")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6"/>
        <v>0</v>
      </c>
      <c r="T6754" s="98">
        <f t="shared" si="277"/>
        <v>0</v>
      </c>
      <c r="U6754" s="99" t="str">
        <f>IFERROR(IF(#REF!="S",VLOOKUP('Raw Data'!A6754,References!#REF!,2,FALSE),(VLOOKUP($S6754,References!$B$3:$C$8,2,FALSE))),"")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6"/>
        <v>0</v>
      </c>
      <c r="T6755" s="98">
        <f t="shared" si="277"/>
        <v>0</v>
      </c>
      <c r="U6755" s="99" t="str">
        <f>IFERROR(IF(#REF!="S",VLOOKUP('Raw Data'!A6755,References!#REF!,2,FALSE),(VLOOKUP($S6755,References!$B$3:$C$8,2,FALSE))),"")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6"/>
        <v>0</v>
      </c>
      <c r="T6756" s="98">
        <f t="shared" si="277"/>
        <v>0</v>
      </c>
      <c r="U6756" s="99" t="str">
        <f>IFERROR(IF(#REF!="S",VLOOKUP('Raw Data'!A6756,References!#REF!,2,FALSE),(VLOOKUP($S6756,References!$B$3:$C$8,2,FALSE))),"")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6"/>
        <v>0</v>
      </c>
      <c r="T6757" s="98">
        <f t="shared" si="277"/>
        <v>0</v>
      </c>
      <c r="U6757" s="99" t="str">
        <f>IFERROR(IF(#REF!="S",VLOOKUP('Raw Data'!A6757,References!#REF!,2,FALSE),(VLOOKUP($S6757,References!$B$3:$C$8,2,FALSE))),"")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6"/>
        <v>0</v>
      </c>
      <c r="T6758" s="98">
        <f t="shared" si="277"/>
        <v>0</v>
      </c>
      <c r="U6758" s="99" t="str">
        <f>IFERROR(IF(#REF!="S",VLOOKUP('Raw Data'!A6758,References!#REF!,2,FALSE),(VLOOKUP($S6758,References!$B$3:$C$8,2,FALSE))),"")</f>
        <v/>
      </c>
      <c r="W6758" s="66" t="str">
        <f>IFERROR(VLOOKUP($O6758,'Customer List'!$A$1:$J$488,10,FALSE),"")</f>
        <v/>
      </c>
    </row>
    <row r="6759" spans="18:23">
      <c r="R6759" s="97">
        <f t="shared" si="276"/>
        <v>0</v>
      </c>
      <c r="T6759" s="98">
        <f t="shared" si="277"/>
        <v>0</v>
      </c>
      <c r="U6759" s="99" t="str">
        <f>IFERROR(IF(#REF!="S",VLOOKUP('Raw Data'!A6759,References!#REF!,2,FALSE),(VLOOKUP($S6759,References!$B$3:$C$8,2,FALSE))),"")</f>
        <v/>
      </c>
      <c r="W6759" s="66" t="str">
        <f>IFERROR(VLOOKUP($O6759,'Customer List'!$A$1:$J$488,10,FALSE),"")</f>
        <v/>
      </c>
    </row>
    <row r="6760" spans="18:23">
      <c r="R6760" s="97">
        <f t="shared" ref="R6760:R6823" si="278">L6760-K6760</f>
        <v>0</v>
      </c>
      <c r="T6760" s="98">
        <f t="shared" si="277"/>
        <v>0</v>
      </c>
      <c r="U6760" s="99" t="str">
        <f>IFERROR(IF(#REF!="S",VLOOKUP('Raw Data'!A6760,References!#REF!,2,FALSE),(VLOOKUP($S6760,References!$B$3:$C$8,2,FALSE))),"")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78"/>
        <v>0</v>
      </c>
      <c r="T6761" s="98">
        <f t="shared" si="277"/>
        <v>0</v>
      </c>
      <c r="U6761" s="99" t="str">
        <f>IFERROR(IF(#REF!="S",VLOOKUP('Raw Data'!A6761,References!#REF!,2,FALSE),(VLOOKUP($S6761,References!$B$3:$C$8,2,FALSE))),"")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78"/>
        <v>0</v>
      </c>
      <c r="T6762" s="98">
        <f t="shared" si="277"/>
        <v>0</v>
      </c>
      <c r="U6762" s="99" t="str">
        <f>IFERROR(IF(#REF!="S",VLOOKUP('Raw Data'!A6762,References!#REF!,2,FALSE),(VLOOKUP($S6762,References!$B$3:$C$8,2,FALSE))),"")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78"/>
        <v>0</v>
      </c>
      <c r="T6763" s="98">
        <f t="shared" si="277"/>
        <v>0</v>
      </c>
      <c r="U6763" s="99" t="str">
        <f>IFERROR(IF(#REF!="S",VLOOKUP('Raw Data'!A6763,References!#REF!,2,FALSE),(VLOOKUP($S6763,References!$B$3:$C$8,2,FALSE))),"")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78"/>
        <v>0</v>
      </c>
      <c r="T6764" s="98">
        <f t="shared" si="277"/>
        <v>0</v>
      </c>
      <c r="U6764" s="99" t="str">
        <f>IFERROR(IF(#REF!="S",VLOOKUP('Raw Data'!A6764,References!#REF!,2,FALSE),(VLOOKUP($S6764,References!$B$3:$C$8,2,FALSE))),"")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78"/>
        <v>0</v>
      </c>
      <c r="T6765" s="98">
        <f t="shared" si="277"/>
        <v>0</v>
      </c>
      <c r="U6765" s="99" t="str">
        <f>IFERROR(IF(#REF!="S",VLOOKUP('Raw Data'!A6765,References!#REF!,2,FALSE),(VLOOKUP($S6765,References!$B$3:$C$8,2,FALSE))),"")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78"/>
        <v>0</v>
      </c>
      <c r="T6766" s="98">
        <f t="shared" si="277"/>
        <v>0</v>
      </c>
      <c r="U6766" s="99" t="str">
        <f>IFERROR(IF(#REF!="S",VLOOKUP('Raw Data'!A6766,References!#REF!,2,FALSE),(VLOOKUP($S6766,References!$B$3:$C$8,2,FALSE))),"")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78"/>
        <v>0</v>
      </c>
      <c r="T6767" s="98">
        <f t="shared" si="277"/>
        <v>0</v>
      </c>
      <c r="U6767" s="99" t="str">
        <f>IFERROR(IF(#REF!="S",VLOOKUP('Raw Data'!A6767,References!#REF!,2,FALSE),(VLOOKUP($S6767,References!$B$3:$C$8,2,FALSE))),"")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78"/>
        <v>0</v>
      </c>
      <c r="T6768" s="98">
        <f t="shared" si="277"/>
        <v>0</v>
      </c>
      <c r="U6768" s="99" t="str">
        <f>IFERROR(IF(#REF!="S",VLOOKUP('Raw Data'!A6768,References!#REF!,2,FALSE),(VLOOKUP($S6768,References!$B$3:$C$8,2,FALSE))),"")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78"/>
        <v>0</v>
      </c>
      <c r="T6769" s="98">
        <f t="shared" si="277"/>
        <v>0</v>
      </c>
      <c r="U6769" s="99" t="str">
        <f>IFERROR(IF(#REF!="S",VLOOKUP('Raw Data'!A6769,References!#REF!,2,FALSE),(VLOOKUP($S6769,References!$B$3:$C$8,2,FALSE))),"")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78"/>
        <v>0</v>
      </c>
      <c r="T6770" s="98">
        <f t="shared" si="277"/>
        <v>0</v>
      </c>
      <c r="U6770" s="99" t="str">
        <f>IFERROR(IF(#REF!="S",VLOOKUP('Raw Data'!A6770,References!#REF!,2,FALSE),(VLOOKUP($S6770,References!$B$3:$C$8,2,FALSE))),"")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78"/>
        <v>0</v>
      </c>
      <c r="T6771" s="98">
        <f t="shared" si="277"/>
        <v>0</v>
      </c>
      <c r="U6771" s="99" t="str">
        <f>IFERROR(IF(#REF!="S",VLOOKUP('Raw Data'!A6771,References!#REF!,2,FALSE),(VLOOKUP($S6771,References!$B$3:$C$8,2,FALSE))),"")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78"/>
        <v>0</v>
      </c>
      <c r="T6772" s="98">
        <f t="shared" si="277"/>
        <v>0</v>
      </c>
      <c r="U6772" s="99" t="str">
        <f>IFERROR(IF(#REF!="S",VLOOKUP('Raw Data'!A6772,References!#REF!,2,FALSE),(VLOOKUP($S6772,References!$B$3:$C$8,2,FALSE))),"")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78"/>
        <v>0</v>
      </c>
      <c r="T6773" s="98">
        <f t="shared" si="277"/>
        <v>0</v>
      </c>
      <c r="U6773" s="99" t="str">
        <f>IFERROR(IF(#REF!="S",VLOOKUP('Raw Data'!A6773,References!#REF!,2,FALSE),(VLOOKUP($S6773,References!$B$3:$C$8,2,FALSE))),"")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78"/>
        <v>0</v>
      </c>
      <c r="T6774" s="98">
        <f t="shared" si="277"/>
        <v>0</v>
      </c>
      <c r="U6774" s="99" t="str">
        <f>IFERROR(IF(#REF!="S",VLOOKUP('Raw Data'!A6774,References!#REF!,2,FALSE),(VLOOKUP($S6774,References!$B$3:$C$8,2,FALSE))),"")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78"/>
        <v>0</v>
      </c>
      <c r="T6775" s="98">
        <f t="shared" si="277"/>
        <v>0</v>
      </c>
      <c r="U6775" s="99" t="str">
        <f>IFERROR(IF(#REF!="S",VLOOKUP('Raw Data'!A6775,References!#REF!,2,FALSE),(VLOOKUP($S6775,References!$B$3:$C$8,2,FALSE))),"")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78"/>
        <v>0</v>
      </c>
      <c r="T6776" s="98">
        <f t="shared" si="277"/>
        <v>0</v>
      </c>
      <c r="U6776" s="99" t="str">
        <f>IFERROR(IF(#REF!="S",VLOOKUP('Raw Data'!A6776,References!#REF!,2,FALSE),(VLOOKUP($S6776,References!$B$3:$C$8,2,FALSE))),"")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78"/>
        <v>0</v>
      </c>
      <c r="T6777" s="98">
        <f t="shared" si="277"/>
        <v>0</v>
      </c>
      <c r="U6777" s="99" t="str">
        <f>IFERROR(IF(#REF!="S",VLOOKUP('Raw Data'!A6777,References!#REF!,2,FALSE),(VLOOKUP($S6777,References!$B$3:$C$8,2,FALSE))),"")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78"/>
        <v>0</v>
      </c>
      <c r="T6778" s="98">
        <f t="shared" si="277"/>
        <v>0</v>
      </c>
      <c r="U6778" s="99" t="str">
        <f>IFERROR(IF(#REF!="S",VLOOKUP('Raw Data'!A6778,References!#REF!,2,FALSE),(VLOOKUP($S6778,References!$B$3:$C$8,2,FALSE))),"")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78"/>
        <v>0</v>
      </c>
      <c r="T6779" s="98">
        <f t="shared" si="277"/>
        <v>0</v>
      </c>
      <c r="U6779" s="99" t="str">
        <f>IFERROR(IF(#REF!="S",VLOOKUP('Raw Data'!A6779,References!#REF!,2,FALSE),(VLOOKUP($S6779,References!$B$3:$C$8,2,FALSE))),"")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78"/>
        <v>0</v>
      </c>
      <c r="T6780" s="98">
        <f t="shared" si="277"/>
        <v>0</v>
      </c>
      <c r="U6780" s="99" t="str">
        <f>IFERROR(IF(#REF!="S",VLOOKUP('Raw Data'!A6780,References!#REF!,2,FALSE),(VLOOKUP($S6780,References!$B$3:$C$8,2,FALSE))),"")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78"/>
        <v>0</v>
      </c>
      <c r="T6781" s="98">
        <f t="shared" si="277"/>
        <v>0</v>
      </c>
      <c r="U6781" s="99" t="str">
        <f>IFERROR(IF(#REF!="S",VLOOKUP('Raw Data'!A6781,References!#REF!,2,FALSE),(VLOOKUP($S6781,References!$B$3:$C$8,2,FALSE))),"")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78"/>
        <v>0</v>
      </c>
      <c r="T6782" s="98">
        <f t="shared" si="277"/>
        <v>0</v>
      </c>
      <c r="U6782" s="99" t="str">
        <f>IFERROR(IF(#REF!="S",VLOOKUP('Raw Data'!A6782,References!#REF!,2,FALSE),(VLOOKUP($S6782,References!$B$3:$C$8,2,FALSE))),"")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78"/>
        <v>0</v>
      </c>
      <c r="T6783" s="98">
        <f t="shared" si="277"/>
        <v>0</v>
      </c>
      <c r="U6783" s="99" t="str">
        <f>IFERROR(IF(#REF!="S",VLOOKUP('Raw Data'!A6783,References!#REF!,2,FALSE),(VLOOKUP($S6783,References!$B$3:$C$8,2,FALSE))),"")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78"/>
        <v>0</v>
      </c>
      <c r="T6784" s="98">
        <f t="shared" si="277"/>
        <v>0</v>
      </c>
      <c r="U6784" s="99" t="str">
        <f>IFERROR(IF(#REF!="S",VLOOKUP('Raw Data'!A6784,References!#REF!,2,FALSE),(VLOOKUP($S6784,References!$B$3:$C$8,2,FALSE))),"")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78"/>
        <v>0</v>
      </c>
      <c r="T6785" s="98">
        <f t="shared" si="277"/>
        <v>0</v>
      </c>
      <c r="U6785" s="99" t="str">
        <f>IFERROR(IF(#REF!="S",VLOOKUP('Raw Data'!A6785,References!#REF!,2,FALSE),(VLOOKUP($S6785,References!$B$3:$C$8,2,FALSE))),"")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78"/>
        <v>0</v>
      </c>
      <c r="T6786" s="98">
        <f t="shared" si="277"/>
        <v>0</v>
      </c>
      <c r="U6786" s="99" t="str">
        <f>IFERROR(IF(#REF!="S",VLOOKUP('Raw Data'!A6786,References!#REF!,2,FALSE),(VLOOKUP($S6786,References!$B$3:$C$8,2,FALSE))),"")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78"/>
        <v>0</v>
      </c>
      <c r="T6787" s="98">
        <f t="shared" si="277"/>
        <v>0</v>
      </c>
      <c r="U6787" s="99" t="str">
        <f>IFERROR(IF(#REF!="S",VLOOKUP('Raw Data'!A6787,References!#REF!,2,FALSE),(VLOOKUP($S6787,References!$B$3:$C$8,2,FALSE))),"")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78"/>
        <v>0</v>
      </c>
      <c r="T6788" s="98">
        <f t="shared" si="277"/>
        <v>0</v>
      </c>
      <c r="U6788" s="99" t="str">
        <f>IFERROR(IF(#REF!="S",VLOOKUP('Raw Data'!A6788,References!#REF!,2,FALSE),(VLOOKUP($S6788,References!$B$3:$C$8,2,FALSE))),"")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78"/>
        <v>0</v>
      </c>
      <c r="T6789" s="98">
        <f t="shared" si="277"/>
        <v>0</v>
      </c>
      <c r="U6789" s="99" t="str">
        <f>IFERROR(IF(#REF!="S",VLOOKUP('Raw Data'!A6789,References!#REF!,2,FALSE),(VLOOKUP($S6789,References!$B$3:$C$8,2,FALSE))),"")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78"/>
        <v>0</v>
      </c>
      <c r="T6790" s="98">
        <f t="shared" si="277"/>
        <v>0</v>
      </c>
      <c r="U6790" s="99" t="str">
        <f>IFERROR(IF(#REF!="S",VLOOKUP('Raw Data'!A6790,References!#REF!,2,FALSE),(VLOOKUP($S6790,References!$B$3:$C$8,2,FALSE))),"")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78"/>
        <v>0</v>
      </c>
      <c r="T6791" s="98">
        <f t="shared" si="277"/>
        <v>0</v>
      </c>
      <c r="U6791" s="99" t="str">
        <f>IFERROR(IF(#REF!="S",VLOOKUP('Raw Data'!A6791,References!#REF!,2,FALSE),(VLOOKUP($S6791,References!$B$3:$C$8,2,FALSE))),"")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78"/>
        <v>0</v>
      </c>
      <c r="T6792" s="98">
        <f t="shared" si="277"/>
        <v>0</v>
      </c>
      <c r="U6792" s="99" t="str">
        <f>IFERROR(IF(#REF!="S",VLOOKUP('Raw Data'!A6792,References!#REF!,2,FALSE),(VLOOKUP($S6792,References!$B$3:$C$8,2,FALSE))),"")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78"/>
        <v>0</v>
      </c>
      <c r="T6793" s="98">
        <f t="shared" si="277"/>
        <v>0</v>
      </c>
      <c r="U6793" s="99" t="str">
        <f>IFERROR(IF(#REF!="S",VLOOKUP('Raw Data'!A6793,References!#REF!,2,FALSE),(VLOOKUP($S6793,References!$B$3:$C$8,2,FALSE))),"")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78"/>
        <v>0</v>
      </c>
      <c r="T6794" s="98">
        <f t="shared" si="277"/>
        <v>0</v>
      </c>
      <c r="U6794" s="99" t="str">
        <f>IFERROR(IF(#REF!="S",VLOOKUP('Raw Data'!A6794,References!#REF!,2,FALSE),(VLOOKUP($S6794,References!$B$3:$C$8,2,FALSE))),"")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78"/>
        <v>0</v>
      </c>
      <c r="T6795" s="98">
        <f t="shared" si="277"/>
        <v>0</v>
      </c>
      <c r="U6795" s="99" t="str">
        <f>IFERROR(IF(#REF!="S",VLOOKUP('Raw Data'!A6795,References!#REF!,2,FALSE),(VLOOKUP($S6795,References!$B$3:$C$8,2,FALSE))),"")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78"/>
        <v>0</v>
      </c>
      <c r="T6796" s="98">
        <f t="shared" si="277"/>
        <v>0</v>
      </c>
      <c r="U6796" s="99" t="str">
        <f>IFERROR(IF(#REF!="S",VLOOKUP('Raw Data'!A6796,References!#REF!,2,FALSE),(VLOOKUP($S6796,References!$B$3:$C$8,2,FALSE))),"")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78"/>
        <v>0</v>
      </c>
      <c r="T6797" s="98">
        <f t="shared" si="277"/>
        <v>0</v>
      </c>
      <c r="U6797" s="99" t="str">
        <f>IFERROR(IF(#REF!="S",VLOOKUP('Raw Data'!A6797,References!#REF!,2,FALSE),(VLOOKUP($S6797,References!$B$3:$C$8,2,FALSE))),"")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78"/>
        <v>0</v>
      </c>
      <c r="T6798" s="98">
        <f t="shared" si="277"/>
        <v>0</v>
      </c>
      <c r="U6798" s="99" t="str">
        <f>IFERROR(IF(#REF!="S",VLOOKUP('Raw Data'!A6798,References!#REF!,2,FALSE),(VLOOKUP($S6798,References!$B$3:$C$8,2,FALSE))),"")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78"/>
        <v>0</v>
      </c>
      <c r="T6799" s="98">
        <f t="shared" si="277"/>
        <v>0</v>
      </c>
      <c r="U6799" s="99" t="str">
        <f>IFERROR(IF(#REF!="S",VLOOKUP('Raw Data'!A6799,References!#REF!,2,FALSE),(VLOOKUP($S6799,References!$B$3:$C$8,2,FALSE))),"")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78"/>
        <v>0</v>
      </c>
      <c r="T6800" s="98">
        <f t="shared" ref="T6800:T6863" si="279">IF(S6800="50 - Cleaning Fee",1,HOUR($R6800)+MINUTE(R6800)/60)</f>
        <v>0</v>
      </c>
      <c r="U6800" s="99" t="str">
        <f>IFERROR(IF(#REF!="S",VLOOKUP('Raw Data'!A6800,References!#REF!,2,FALSE),(VLOOKUP($S6800,References!$B$3:$C$8,2,FALSE))),"")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78"/>
        <v>0</v>
      </c>
      <c r="T6801" s="98">
        <f t="shared" si="279"/>
        <v>0</v>
      </c>
      <c r="U6801" s="99" t="str">
        <f>IFERROR(IF(#REF!="S",VLOOKUP('Raw Data'!A6801,References!#REF!,2,FALSE),(VLOOKUP($S6801,References!$B$3:$C$8,2,FALSE))),"")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78"/>
        <v>0</v>
      </c>
      <c r="T6802" s="98">
        <f t="shared" si="279"/>
        <v>0</v>
      </c>
      <c r="U6802" s="99" t="str">
        <f>IFERROR(IF(#REF!="S",VLOOKUP('Raw Data'!A6802,References!#REF!,2,FALSE),(VLOOKUP($S6802,References!$B$3:$C$8,2,FALSE))),"")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78"/>
        <v>0</v>
      </c>
      <c r="T6803" s="98">
        <f t="shared" si="279"/>
        <v>0</v>
      </c>
      <c r="U6803" s="99" t="str">
        <f>IFERROR(IF(#REF!="S",VLOOKUP('Raw Data'!A6803,References!#REF!,2,FALSE),(VLOOKUP($S6803,References!$B$3:$C$8,2,FALSE))),"")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78"/>
        <v>0</v>
      </c>
      <c r="T6804" s="98">
        <f t="shared" si="279"/>
        <v>0</v>
      </c>
      <c r="U6804" s="99" t="str">
        <f>IFERROR(IF(#REF!="S",VLOOKUP('Raw Data'!A6804,References!#REF!,2,FALSE),(VLOOKUP($S6804,References!$B$3:$C$8,2,FALSE))),"")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78"/>
        <v>0</v>
      </c>
      <c r="T6805" s="98">
        <f t="shared" si="279"/>
        <v>0</v>
      </c>
      <c r="U6805" s="99" t="str">
        <f>IFERROR(IF(#REF!="S",VLOOKUP('Raw Data'!A6805,References!#REF!,2,FALSE),(VLOOKUP($S6805,References!$B$3:$C$8,2,FALSE))),"")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78"/>
        <v>0</v>
      </c>
      <c r="T6806" s="98">
        <f t="shared" si="279"/>
        <v>0</v>
      </c>
      <c r="U6806" s="99" t="str">
        <f>IFERROR(IF(#REF!="S",VLOOKUP('Raw Data'!A6806,References!#REF!,2,FALSE),(VLOOKUP($S6806,References!$B$3:$C$8,2,FALSE))),"")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78"/>
        <v>0</v>
      </c>
      <c r="T6807" s="98">
        <f t="shared" si="279"/>
        <v>0</v>
      </c>
      <c r="U6807" s="99" t="str">
        <f>IFERROR(IF(#REF!="S",VLOOKUP('Raw Data'!A6807,References!#REF!,2,FALSE),(VLOOKUP($S6807,References!$B$3:$C$8,2,FALSE))),"")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78"/>
        <v>0</v>
      </c>
      <c r="T6808" s="98">
        <f t="shared" si="279"/>
        <v>0</v>
      </c>
      <c r="U6808" s="99" t="str">
        <f>IFERROR(IF(#REF!="S",VLOOKUP('Raw Data'!A6808,References!#REF!,2,FALSE),(VLOOKUP($S6808,References!$B$3:$C$8,2,FALSE))),"")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78"/>
        <v>0</v>
      </c>
      <c r="T6809" s="98">
        <f t="shared" si="279"/>
        <v>0</v>
      </c>
      <c r="U6809" s="99" t="str">
        <f>IFERROR(IF(#REF!="S",VLOOKUP('Raw Data'!A6809,References!#REF!,2,FALSE),(VLOOKUP($S6809,References!$B$3:$C$8,2,FALSE))),"")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78"/>
        <v>0</v>
      </c>
      <c r="T6810" s="98">
        <f t="shared" si="279"/>
        <v>0</v>
      </c>
      <c r="U6810" s="99" t="str">
        <f>IFERROR(IF(#REF!="S",VLOOKUP('Raw Data'!A6810,References!#REF!,2,FALSE),(VLOOKUP($S6810,References!$B$3:$C$8,2,FALSE))),"")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78"/>
        <v>0</v>
      </c>
      <c r="T6811" s="98">
        <f t="shared" si="279"/>
        <v>0</v>
      </c>
      <c r="U6811" s="99" t="str">
        <f>IFERROR(IF(#REF!="S",VLOOKUP('Raw Data'!A6811,References!#REF!,2,FALSE),(VLOOKUP($S6811,References!$B$3:$C$8,2,FALSE))),"")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78"/>
        <v>0</v>
      </c>
      <c r="T6812" s="98">
        <f t="shared" si="279"/>
        <v>0</v>
      </c>
      <c r="U6812" s="99" t="str">
        <f>IFERROR(IF(#REF!="S",VLOOKUP('Raw Data'!A6812,References!#REF!,2,FALSE),(VLOOKUP($S6812,References!$B$3:$C$8,2,FALSE))),"")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78"/>
        <v>0</v>
      </c>
      <c r="T6813" s="98">
        <f t="shared" si="279"/>
        <v>0</v>
      </c>
      <c r="U6813" s="99" t="str">
        <f>IFERROR(IF(#REF!="S",VLOOKUP('Raw Data'!A6813,References!#REF!,2,FALSE),(VLOOKUP($S6813,References!$B$3:$C$8,2,FALSE))),"")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78"/>
        <v>0</v>
      </c>
      <c r="T6814" s="98">
        <f t="shared" si="279"/>
        <v>0</v>
      </c>
      <c r="U6814" s="99" t="str">
        <f>IFERROR(IF(#REF!="S",VLOOKUP('Raw Data'!A6814,References!#REF!,2,FALSE),(VLOOKUP($S6814,References!$B$3:$C$8,2,FALSE))),"")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78"/>
        <v>0</v>
      </c>
      <c r="T6815" s="98">
        <f t="shared" si="279"/>
        <v>0</v>
      </c>
      <c r="U6815" s="99" t="str">
        <f>IFERROR(IF(#REF!="S",VLOOKUP('Raw Data'!A6815,References!#REF!,2,FALSE),(VLOOKUP($S6815,References!$B$3:$C$8,2,FALSE))),"")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78"/>
        <v>0</v>
      </c>
      <c r="T6816" s="98">
        <f t="shared" si="279"/>
        <v>0</v>
      </c>
      <c r="U6816" s="99" t="str">
        <f>IFERROR(IF(#REF!="S",VLOOKUP('Raw Data'!A6816,References!#REF!,2,FALSE),(VLOOKUP($S6816,References!$B$3:$C$8,2,FALSE))),"")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78"/>
        <v>0</v>
      </c>
      <c r="T6817" s="98">
        <f t="shared" si="279"/>
        <v>0</v>
      </c>
      <c r="U6817" s="99" t="str">
        <f>IFERROR(IF(#REF!="S",VLOOKUP('Raw Data'!A6817,References!#REF!,2,FALSE),(VLOOKUP($S6817,References!$B$3:$C$8,2,FALSE))),"")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78"/>
        <v>0</v>
      </c>
      <c r="T6818" s="98">
        <f t="shared" si="279"/>
        <v>0</v>
      </c>
      <c r="U6818" s="99" t="str">
        <f>IFERROR(IF(#REF!="S",VLOOKUP('Raw Data'!A6818,References!#REF!,2,FALSE),(VLOOKUP($S6818,References!$B$3:$C$8,2,FALSE))),"")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78"/>
        <v>0</v>
      </c>
      <c r="T6819" s="98">
        <f t="shared" si="279"/>
        <v>0</v>
      </c>
      <c r="U6819" s="99" t="str">
        <f>IFERROR(IF(#REF!="S",VLOOKUP('Raw Data'!A6819,References!#REF!,2,FALSE),(VLOOKUP($S6819,References!$B$3:$C$8,2,FALSE))),"")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78"/>
        <v>0</v>
      </c>
      <c r="T6820" s="98">
        <f t="shared" si="279"/>
        <v>0</v>
      </c>
      <c r="U6820" s="99" t="str">
        <f>IFERROR(IF(#REF!="S",VLOOKUP('Raw Data'!A6820,References!#REF!,2,FALSE),(VLOOKUP($S6820,References!$B$3:$C$8,2,FALSE))),"")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78"/>
        <v>0</v>
      </c>
      <c r="T6821" s="98">
        <f t="shared" si="279"/>
        <v>0</v>
      </c>
      <c r="U6821" s="99" t="str">
        <f>IFERROR(IF(#REF!="S",VLOOKUP('Raw Data'!A6821,References!#REF!,2,FALSE),(VLOOKUP($S6821,References!$B$3:$C$8,2,FALSE))),"")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78"/>
        <v>0</v>
      </c>
      <c r="T6822" s="98">
        <f t="shared" si="279"/>
        <v>0</v>
      </c>
      <c r="U6822" s="99" t="str">
        <f>IFERROR(IF(#REF!="S",VLOOKUP('Raw Data'!A6822,References!#REF!,2,FALSE),(VLOOKUP($S6822,References!$B$3:$C$8,2,FALSE))),"")</f>
        <v/>
      </c>
      <c r="W6822" s="66" t="str">
        <f>IFERROR(VLOOKUP($O6822,'Customer List'!$A$1:$J$488,10,FALSE),"")</f>
        <v/>
      </c>
    </row>
    <row r="6823" spans="18:23">
      <c r="R6823" s="97">
        <f t="shared" si="278"/>
        <v>0</v>
      </c>
      <c r="T6823" s="98">
        <f t="shared" si="279"/>
        <v>0</v>
      </c>
      <c r="U6823" s="99" t="str">
        <f>IFERROR(IF(#REF!="S",VLOOKUP('Raw Data'!A6823,References!#REF!,2,FALSE),(VLOOKUP($S6823,References!$B$3:$C$8,2,FALSE))),"")</f>
        <v/>
      </c>
      <c r="W6823" s="66" t="str">
        <f>IFERROR(VLOOKUP($O6823,'Customer List'!$A$1:$J$488,10,FALSE),"")</f>
        <v/>
      </c>
    </row>
    <row r="6824" spans="18:23">
      <c r="R6824" s="97">
        <f t="shared" ref="R6824:R6887" si="280">L6824-K6824</f>
        <v>0</v>
      </c>
      <c r="T6824" s="98">
        <f t="shared" si="279"/>
        <v>0</v>
      </c>
      <c r="U6824" s="99" t="str">
        <f>IFERROR(IF(#REF!="S",VLOOKUP('Raw Data'!A6824,References!#REF!,2,FALSE),(VLOOKUP($S6824,References!$B$3:$C$8,2,FALSE))),"")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0"/>
        <v>0</v>
      </c>
      <c r="T6825" s="98">
        <f t="shared" si="279"/>
        <v>0</v>
      </c>
      <c r="U6825" s="99" t="str">
        <f>IFERROR(IF(#REF!="S",VLOOKUP('Raw Data'!A6825,References!#REF!,2,FALSE),(VLOOKUP($S6825,References!$B$3:$C$8,2,FALSE))),"")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0"/>
        <v>0</v>
      </c>
      <c r="T6826" s="98">
        <f t="shared" si="279"/>
        <v>0</v>
      </c>
      <c r="U6826" s="99" t="str">
        <f>IFERROR(IF(#REF!="S",VLOOKUP('Raw Data'!A6826,References!#REF!,2,FALSE),(VLOOKUP($S6826,References!$B$3:$C$8,2,FALSE))),"")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0"/>
        <v>0</v>
      </c>
      <c r="T6827" s="98">
        <f t="shared" si="279"/>
        <v>0</v>
      </c>
      <c r="U6827" s="99" t="str">
        <f>IFERROR(IF(#REF!="S",VLOOKUP('Raw Data'!A6827,References!#REF!,2,FALSE),(VLOOKUP($S6827,References!$B$3:$C$8,2,FALSE))),"")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0"/>
        <v>0</v>
      </c>
      <c r="T6828" s="98">
        <f t="shared" si="279"/>
        <v>0</v>
      </c>
      <c r="U6828" s="99" t="str">
        <f>IFERROR(IF(#REF!="S",VLOOKUP('Raw Data'!A6828,References!#REF!,2,FALSE),(VLOOKUP($S6828,References!$B$3:$C$8,2,FALSE))),"")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0"/>
        <v>0</v>
      </c>
      <c r="T6829" s="98">
        <f t="shared" si="279"/>
        <v>0</v>
      </c>
      <c r="U6829" s="99" t="str">
        <f>IFERROR(IF(#REF!="S",VLOOKUP('Raw Data'!A6829,References!#REF!,2,FALSE),(VLOOKUP($S6829,References!$B$3:$C$8,2,FALSE))),"")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0"/>
        <v>0</v>
      </c>
      <c r="T6830" s="98">
        <f t="shared" si="279"/>
        <v>0</v>
      </c>
      <c r="U6830" s="99" t="str">
        <f>IFERROR(IF(#REF!="S",VLOOKUP('Raw Data'!A6830,References!#REF!,2,FALSE),(VLOOKUP($S6830,References!$B$3:$C$8,2,FALSE))),"")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0"/>
        <v>0</v>
      </c>
      <c r="T6831" s="98">
        <f t="shared" si="279"/>
        <v>0</v>
      </c>
      <c r="U6831" s="99" t="str">
        <f>IFERROR(IF(#REF!="S",VLOOKUP('Raw Data'!A6831,References!#REF!,2,FALSE),(VLOOKUP($S6831,References!$B$3:$C$8,2,FALSE))),"")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0"/>
        <v>0</v>
      </c>
      <c r="T6832" s="98">
        <f t="shared" si="279"/>
        <v>0</v>
      </c>
      <c r="U6832" s="99" t="str">
        <f>IFERROR(IF(#REF!="S",VLOOKUP('Raw Data'!A6832,References!#REF!,2,FALSE),(VLOOKUP($S6832,References!$B$3:$C$8,2,FALSE))),"")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0"/>
        <v>0</v>
      </c>
      <c r="T6833" s="98">
        <f t="shared" si="279"/>
        <v>0</v>
      </c>
      <c r="U6833" s="99" t="str">
        <f>IFERROR(IF(#REF!="S",VLOOKUP('Raw Data'!A6833,References!#REF!,2,FALSE),(VLOOKUP($S6833,References!$B$3:$C$8,2,FALSE))),"")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0"/>
        <v>0</v>
      </c>
      <c r="T6834" s="98">
        <f t="shared" si="279"/>
        <v>0</v>
      </c>
      <c r="U6834" s="99" t="str">
        <f>IFERROR(IF(#REF!="S",VLOOKUP('Raw Data'!A6834,References!#REF!,2,FALSE),(VLOOKUP($S6834,References!$B$3:$C$8,2,FALSE))),"")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0"/>
        <v>0</v>
      </c>
      <c r="T6835" s="98">
        <f t="shared" si="279"/>
        <v>0</v>
      </c>
      <c r="U6835" s="99" t="str">
        <f>IFERROR(IF(#REF!="S",VLOOKUP('Raw Data'!A6835,References!#REF!,2,FALSE),(VLOOKUP($S6835,References!$B$3:$C$8,2,FALSE))),"")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0"/>
        <v>0</v>
      </c>
      <c r="T6836" s="98">
        <f t="shared" si="279"/>
        <v>0</v>
      </c>
      <c r="U6836" s="99" t="str">
        <f>IFERROR(IF(#REF!="S",VLOOKUP('Raw Data'!A6836,References!#REF!,2,FALSE),(VLOOKUP($S6836,References!$B$3:$C$8,2,FALSE))),"")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0"/>
        <v>0</v>
      </c>
      <c r="T6837" s="98">
        <f t="shared" si="279"/>
        <v>0</v>
      </c>
      <c r="U6837" s="99" t="str">
        <f>IFERROR(IF(#REF!="S",VLOOKUP('Raw Data'!A6837,References!#REF!,2,FALSE),(VLOOKUP($S6837,References!$B$3:$C$8,2,FALSE))),"")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0"/>
        <v>0</v>
      </c>
      <c r="T6838" s="98">
        <f t="shared" si="279"/>
        <v>0</v>
      </c>
      <c r="U6838" s="99" t="str">
        <f>IFERROR(IF(#REF!="S",VLOOKUP('Raw Data'!A6838,References!#REF!,2,FALSE),(VLOOKUP($S6838,References!$B$3:$C$8,2,FALSE))),"")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0"/>
        <v>0</v>
      </c>
      <c r="T6839" s="98">
        <f t="shared" si="279"/>
        <v>0</v>
      </c>
      <c r="U6839" s="99" t="str">
        <f>IFERROR(IF(#REF!="S",VLOOKUP('Raw Data'!A6839,References!#REF!,2,FALSE),(VLOOKUP($S6839,References!$B$3:$C$8,2,FALSE))),"")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0"/>
        <v>0</v>
      </c>
      <c r="T6840" s="98">
        <f t="shared" si="279"/>
        <v>0</v>
      </c>
      <c r="U6840" s="99" t="str">
        <f>IFERROR(IF(#REF!="S",VLOOKUP('Raw Data'!A6840,References!#REF!,2,FALSE),(VLOOKUP($S6840,References!$B$3:$C$8,2,FALSE))),"")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0"/>
        <v>0</v>
      </c>
      <c r="T6841" s="98">
        <f t="shared" si="279"/>
        <v>0</v>
      </c>
      <c r="U6841" s="99" t="str">
        <f>IFERROR(IF(#REF!="S",VLOOKUP('Raw Data'!A6841,References!#REF!,2,FALSE),(VLOOKUP($S6841,References!$B$3:$C$8,2,FALSE))),"")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0"/>
        <v>0</v>
      </c>
      <c r="T6842" s="98">
        <f t="shared" si="279"/>
        <v>0</v>
      </c>
      <c r="U6842" s="99" t="str">
        <f>IFERROR(IF(#REF!="S",VLOOKUP('Raw Data'!A6842,References!#REF!,2,FALSE),(VLOOKUP($S6842,References!$B$3:$C$8,2,FALSE))),"")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0"/>
        <v>0</v>
      </c>
      <c r="T6843" s="98">
        <f t="shared" si="279"/>
        <v>0</v>
      </c>
      <c r="U6843" s="99" t="str">
        <f>IFERROR(IF(#REF!="S",VLOOKUP('Raw Data'!A6843,References!#REF!,2,FALSE),(VLOOKUP($S6843,References!$B$3:$C$8,2,FALSE))),"")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0"/>
        <v>0</v>
      </c>
      <c r="T6844" s="98">
        <f t="shared" si="279"/>
        <v>0</v>
      </c>
      <c r="U6844" s="99" t="str">
        <f>IFERROR(IF(#REF!="S",VLOOKUP('Raw Data'!A6844,References!#REF!,2,FALSE),(VLOOKUP($S6844,References!$B$3:$C$8,2,FALSE))),"")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0"/>
        <v>0</v>
      </c>
      <c r="T6845" s="98">
        <f t="shared" si="279"/>
        <v>0</v>
      </c>
      <c r="U6845" s="99" t="str">
        <f>IFERROR(IF(#REF!="S",VLOOKUP('Raw Data'!A6845,References!#REF!,2,FALSE),(VLOOKUP($S6845,References!$B$3:$C$8,2,FALSE))),"")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0"/>
        <v>0</v>
      </c>
      <c r="T6846" s="98">
        <f t="shared" si="279"/>
        <v>0</v>
      </c>
      <c r="U6846" s="99" t="str">
        <f>IFERROR(IF(#REF!="S",VLOOKUP('Raw Data'!A6846,References!#REF!,2,FALSE),(VLOOKUP($S6846,References!$B$3:$C$8,2,FALSE))),"")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0"/>
        <v>0</v>
      </c>
      <c r="T6847" s="98">
        <f t="shared" si="279"/>
        <v>0</v>
      </c>
      <c r="U6847" s="99" t="str">
        <f>IFERROR(IF(#REF!="S",VLOOKUP('Raw Data'!A6847,References!#REF!,2,FALSE),(VLOOKUP($S6847,References!$B$3:$C$8,2,FALSE))),"")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0"/>
        <v>0</v>
      </c>
      <c r="T6848" s="98">
        <f t="shared" si="279"/>
        <v>0</v>
      </c>
      <c r="U6848" s="99" t="str">
        <f>IFERROR(IF(#REF!="S",VLOOKUP('Raw Data'!A6848,References!#REF!,2,FALSE),(VLOOKUP($S6848,References!$B$3:$C$8,2,FALSE))),"")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0"/>
        <v>0</v>
      </c>
      <c r="T6849" s="98">
        <f t="shared" si="279"/>
        <v>0</v>
      </c>
      <c r="U6849" s="99" t="str">
        <f>IFERROR(IF(#REF!="S",VLOOKUP('Raw Data'!A6849,References!#REF!,2,FALSE),(VLOOKUP($S6849,References!$B$3:$C$8,2,FALSE))),"")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0"/>
        <v>0</v>
      </c>
      <c r="T6850" s="98">
        <f t="shared" si="279"/>
        <v>0</v>
      </c>
      <c r="U6850" s="99" t="str">
        <f>IFERROR(IF(#REF!="S",VLOOKUP('Raw Data'!A6850,References!#REF!,2,FALSE),(VLOOKUP($S6850,References!$B$3:$C$8,2,FALSE))),"")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0"/>
        <v>0</v>
      </c>
      <c r="T6851" s="98">
        <f t="shared" si="279"/>
        <v>0</v>
      </c>
      <c r="U6851" s="99" t="str">
        <f>IFERROR(IF(#REF!="S",VLOOKUP('Raw Data'!A6851,References!#REF!,2,FALSE),(VLOOKUP($S6851,References!$B$3:$C$8,2,FALSE))),"")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0"/>
        <v>0</v>
      </c>
      <c r="T6852" s="98">
        <f t="shared" si="279"/>
        <v>0</v>
      </c>
      <c r="U6852" s="99" t="str">
        <f>IFERROR(IF(#REF!="S",VLOOKUP('Raw Data'!A6852,References!#REF!,2,FALSE),(VLOOKUP($S6852,References!$B$3:$C$8,2,FALSE))),"")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0"/>
        <v>0</v>
      </c>
      <c r="T6853" s="98">
        <f t="shared" si="279"/>
        <v>0</v>
      </c>
      <c r="U6853" s="99" t="str">
        <f>IFERROR(IF(#REF!="S",VLOOKUP('Raw Data'!A6853,References!#REF!,2,FALSE),(VLOOKUP($S6853,References!$B$3:$C$8,2,FALSE))),"")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0"/>
        <v>0</v>
      </c>
      <c r="T6854" s="98">
        <f t="shared" si="279"/>
        <v>0</v>
      </c>
      <c r="U6854" s="99" t="str">
        <f>IFERROR(IF(#REF!="S",VLOOKUP('Raw Data'!A6854,References!#REF!,2,FALSE),(VLOOKUP($S6854,References!$B$3:$C$8,2,FALSE))),"")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0"/>
        <v>0</v>
      </c>
      <c r="T6855" s="98">
        <f t="shared" si="279"/>
        <v>0</v>
      </c>
      <c r="U6855" s="99" t="str">
        <f>IFERROR(IF(#REF!="S",VLOOKUP('Raw Data'!A6855,References!#REF!,2,FALSE),(VLOOKUP($S6855,References!$B$3:$C$8,2,FALSE))),"")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0"/>
        <v>0</v>
      </c>
      <c r="T6856" s="98">
        <f t="shared" si="279"/>
        <v>0</v>
      </c>
      <c r="U6856" s="99" t="str">
        <f>IFERROR(IF(#REF!="S",VLOOKUP('Raw Data'!A6856,References!#REF!,2,FALSE),(VLOOKUP($S6856,References!$B$3:$C$8,2,FALSE))),"")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0"/>
        <v>0</v>
      </c>
      <c r="T6857" s="98">
        <f t="shared" si="279"/>
        <v>0</v>
      </c>
      <c r="U6857" s="99" t="str">
        <f>IFERROR(IF(#REF!="S",VLOOKUP('Raw Data'!A6857,References!#REF!,2,FALSE),(VLOOKUP($S6857,References!$B$3:$C$8,2,FALSE))),"")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0"/>
        <v>0</v>
      </c>
      <c r="T6858" s="98">
        <f t="shared" si="279"/>
        <v>0</v>
      </c>
      <c r="U6858" s="99" t="str">
        <f>IFERROR(IF(#REF!="S",VLOOKUP('Raw Data'!A6858,References!#REF!,2,FALSE),(VLOOKUP($S6858,References!$B$3:$C$8,2,FALSE))),"")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0"/>
        <v>0</v>
      </c>
      <c r="T6859" s="98">
        <f t="shared" si="279"/>
        <v>0</v>
      </c>
      <c r="U6859" s="99" t="str">
        <f>IFERROR(IF(#REF!="S",VLOOKUP('Raw Data'!A6859,References!#REF!,2,FALSE),(VLOOKUP($S6859,References!$B$3:$C$8,2,FALSE))),"")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0"/>
        <v>0</v>
      </c>
      <c r="T6860" s="98">
        <f t="shared" si="279"/>
        <v>0</v>
      </c>
      <c r="U6860" s="99" t="str">
        <f>IFERROR(IF(#REF!="S",VLOOKUP('Raw Data'!A6860,References!#REF!,2,FALSE),(VLOOKUP($S6860,References!$B$3:$C$8,2,FALSE))),"")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0"/>
        <v>0</v>
      </c>
      <c r="T6861" s="98">
        <f t="shared" si="279"/>
        <v>0</v>
      </c>
      <c r="U6861" s="99" t="str">
        <f>IFERROR(IF(#REF!="S",VLOOKUP('Raw Data'!A6861,References!#REF!,2,FALSE),(VLOOKUP($S6861,References!$B$3:$C$8,2,FALSE))),"")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0"/>
        <v>0</v>
      </c>
      <c r="T6862" s="98">
        <f t="shared" si="279"/>
        <v>0</v>
      </c>
      <c r="U6862" s="99" t="str">
        <f>IFERROR(IF(#REF!="S",VLOOKUP('Raw Data'!A6862,References!#REF!,2,FALSE),(VLOOKUP($S6862,References!$B$3:$C$8,2,FALSE))),"")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0"/>
        <v>0</v>
      </c>
      <c r="T6863" s="98">
        <f t="shared" si="279"/>
        <v>0</v>
      </c>
      <c r="U6863" s="99" t="str">
        <f>IFERROR(IF(#REF!="S",VLOOKUP('Raw Data'!A6863,References!#REF!,2,FALSE),(VLOOKUP($S6863,References!$B$3:$C$8,2,FALSE))),"")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0"/>
        <v>0</v>
      </c>
      <c r="T6864" s="98">
        <f t="shared" ref="T6864:T6927" si="281">IF(S6864="50 - Cleaning Fee",1,HOUR($R6864)+MINUTE(R6864)/60)</f>
        <v>0</v>
      </c>
      <c r="U6864" s="99" t="str">
        <f>IFERROR(IF(#REF!="S",VLOOKUP('Raw Data'!A6864,References!#REF!,2,FALSE),(VLOOKUP($S6864,References!$B$3:$C$8,2,FALSE))),"")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0"/>
        <v>0</v>
      </c>
      <c r="T6865" s="98">
        <f t="shared" si="281"/>
        <v>0</v>
      </c>
      <c r="U6865" s="99" t="str">
        <f>IFERROR(IF(#REF!="S",VLOOKUP('Raw Data'!A6865,References!#REF!,2,FALSE),(VLOOKUP($S6865,References!$B$3:$C$8,2,FALSE))),"")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0"/>
        <v>0</v>
      </c>
      <c r="T6866" s="98">
        <f t="shared" si="281"/>
        <v>0</v>
      </c>
      <c r="U6866" s="99" t="str">
        <f>IFERROR(IF(#REF!="S",VLOOKUP('Raw Data'!A6866,References!#REF!,2,FALSE),(VLOOKUP($S6866,References!$B$3:$C$8,2,FALSE))),"")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0"/>
        <v>0</v>
      </c>
      <c r="T6867" s="98">
        <f t="shared" si="281"/>
        <v>0</v>
      </c>
      <c r="U6867" s="99" t="str">
        <f>IFERROR(IF(#REF!="S",VLOOKUP('Raw Data'!A6867,References!#REF!,2,FALSE),(VLOOKUP($S6867,References!$B$3:$C$8,2,FALSE))),"")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0"/>
        <v>0</v>
      </c>
      <c r="T6868" s="98">
        <f t="shared" si="281"/>
        <v>0</v>
      </c>
      <c r="U6868" s="99" t="str">
        <f>IFERROR(IF(#REF!="S",VLOOKUP('Raw Data'!A6868,References!#REF!,2,FALSE),(VLOOKUP($S6868,References!$B$3:$C$8,2,FALSE))),"")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0"/>
        <v>0</v>
      </c>
      <c r="T6869" s="98">
        <f t="shared" si="281"/>
        <v>0</v>
      </c>
      <c r="U6869" s="99" t="str">
        <f>IFERROR(IF(#REF!="S",VLOOKUP('Raw Data'!A6869,References!#REF!,2,FALSE),(VLOOKUP($S6869,References!$B$3:$C$8,2,FALSE))),"")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0"/>
        <v>0</v>
      </c>
      <c r="T6870" s="98">
        <f t="shared" si="281"/>
        <v>0</v>
      </c>
      <c r="U6870" s="99" t="str">
        <f>IFERROR(IF(#REF!="S",VLOOKUP('Raw Data'!A6870,References!#REF!,2,FALSE),(VLOOKUP($S6870,References!$B$3:$C$8,2,FALSE))),"")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0"/>
        <v>0</v>
      </c>
      <c r="T6871" s="98">
        <f t="shared" si="281"/>
        <v>0</v>
      </c>
      <c r="U6871" s="99" t="str">
        <f>IFERROR(IF(#REF!="S",VLOOKUP('Raw Data'!A6871,References!#REF!,2,FALSE),(VLOOKUP($S6871,References!$B$3:$C$8,2,FALSE))),"")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0"/>
        <v>0</v>
      </c>
      <c r="T6872" s="98">
        <f t="shared" si="281"/>
        <v>0</v>
      </c>
      <c r="U6872" s="99" t="str">
        <f>IFERROR(IF(#REF!="S",VLOOKUP('Raw Data'!A6872,References!#REF!,2,FALSE),(VLOOKUP($S6872,References!$B$3:$C$8,2,FALSE))),"")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0"/>
        <v>0</v>
      </c>
      <c r="T6873" s="98">
        <f t="shared" si="281"/>
        <v>0</v>
      </c>
      <c r="U6873" s="99" t="str">
        <f>IFERROR(IF(#REF!="S",VLOOKUP('Raw Data'!A6873,References!#REF!,2,FALSE),(VLOOKUP($S6873,References!$B$3:$C$8,2,FALSE))),"")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0"/>
        <v>0</v>
      </c>
      <c r="T6874" s="98">
        <f t="shared" si="281"/>
        <v>0</v>
      </c>
      <c r="U6874" s="99" t="str">
        <f>IFERROR(IF(#REF!="S",VLOOKUP('Raw Data'!A6874,References!#REF!,2,FALSE),(VLOOKUP($S6874,References!$B$3:$C$8,2,FALSE))),"")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0"/>
        <v>0</v>
      </c>
      <c r="T6875" s="98">
        <f t="shared" si="281"/>
        <v>0</v>
      </c>
      <c r="U6875" s="99" t="str">
        <f>IFERROR(IF(#REF!="S",VLOOKUP('Raw Data'!A6875,References!#REF!,2,FALSE),(VLOOKUP($S6875,References!$B$3:$C$8,2,FALSE))),"")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0"/>
        <v>0</v>
      </c>
      <c r="T6876" s="98">
        <f t="shared" si="281"/>
        <v>0</v>
      </c>
      <c r="U6876" s="99" t="str">
        <f>IFERROR(IF(#REF!="S",VLOOKUP('Raw Data'!A6876,References!#REF!,2,FALSE),(VLOOKUP($S6876,References!$B$3:$C$8,2,FALSE))),"")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0"/>
        <v>0</v>
      </c>
      <c r="T6877" s="98">
        <f t="shared" si="281"/>
        <v>0</v>
      </c>
      <c r="U6877" s="99" t="str">
        <f>IFERROR(IF(#REF!="S",VLOOKUP('Raw Data'!A6877,References!#REF!,2,FALSE),(VLOOKUP($S6877,References!$B$3:$C$8,2,FALSE))),"")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0"/>
        <v>0</v>
      </c>
      <c r="T6878" s="98">
        <f t="shared" si="281"/>
        <v>0</v>
      </c>
      <c r="U6878" s="99" t="str">
        <f>IFERROR(IF(#REF!="S",VLOOKUP('Raw Data'!A6878,References!#REF!,2,FALSE),(VLOOKUP($S6878,References!$B$3:$C$8,2,FALSE))),"")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0"/>
        <v>0</v>
      </c>
      <c r="T6879" s="98">
        <f t="shared" si="281"/>
        <v>0</v>
      </c>
      <c r="U6879" s="99" t="str">
        <f>IFERROR(IF(#REF!="S",VLOOKUP('Raw Data'!A6879,References!#REF!,2,FALSE),(VLOOKUP($S6879,References!$B$3:$C$8,2,FALSE))),"")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0"/>
        <v>0</v>
      </c>
      <c r="T6880" s="98">
        <f t="shared" si="281"/>
        <v>0</v>
      </c>
      <c r="U6880" s="99" t="str">
        <f>IFERROR(IF(#REF!="S",VLOOKUP('Raw Data'!A6880,References!#REF!,2,FALSE),(VLOOKUP($S6880,References!$B$3:$C$8,2,FALSE))),"")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0"/>
        <v>0</v>
      </c>
      <c r="T6881" s="98">
        <f t="shared" si="281"/>
        <v>0</v>
      </c>
      <c r="U6881" s="99" t="str">
        <f>IFERROR(IF(#REF!="S",VLOOKUP('Raw Data'!A6881,References!#REF!,2,FALSE),(VLOOKUP($S6881,References!$B$3:$C$8,2,FALSE))),"")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0"/>
        <v>0</v>
      </c>
      <c r="T6882" s="98">
        <f t="shared" si="281"/>
        <v>0</v>
      </c>
      <c r="U6882" s="99" t="str">
        <f>IFERROR(IF(#REF!="S",VLOOKUP('Raw Data'!A6882,References!#REF!,2,FALSE),(VLOOKUP($S6882,References!$B$3:$C$8,2,FALSE))),"")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0"/>
        <v>0</v>
      </c>
      <c r="T6883" s="98">
        <f t="shared" si="281"/>
        <v>0</v>
      </c>
      <c r="U6883" s="99" t="str">
        <f>IFERROR(IF(#REF!="S",VLOOKUP('Raw Data'!A6883,References!#REF!,2,FALSE),(VLOOKUP($S6883,References!$B$3:$C$8,2,FALSE))),"")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0"/>
        <v>0</v>
      </c>
      <c r="T6884" s="98">
        <f t="shared" si="281"/>
        <v>0</v>
      </c>
      <c r="U6884" s="99" t="str">
        <f>IFERROR(IF(#REF!="S",VLOOKUP('Raw Data'!A6884,References!#REF!,2,FALSE),(VLOOKUP($S6884,References!$B$3:$C$8,2,FALSE))),"")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0"/>
        <v>0</v>
      </c>
      <c r="T6885" s="98">
        <f t="shared" si="281"/>
        <v>0</v>
      </c>
      <c r="U6885" s="99" t="str">
        <f>IFERROR(IF(#REF!="S",VLOOKUP('Raw Data'!A6885,References!#REF!,2,FALSE),(VLOOKUP($S6885,References!$B$3:$C$8,2,FALSE))),"")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0"/>
        <v>0</v>
      </c>
      <c r="T6886" s="98">
        <f t="shared" si="281"/>
        <v>0</v>
      </c>
      <c r="U6886" s="99" t="str">
        <f>IFERROR(IF(#REF!="S",VLOOKUP('Raw Data'!A6886,References!#REF!,2,FALSE),(VLOOKUP($S6886,References!$B$3:$C$8,2,FALSE))),"")</f>
        <v/>
      </c>
      <c r="W6886" s="66" t="str">
        <f>IFERROR(VLOOKUP($O6886,'Customer List'!$A$1:$J$488,10,FALSE),"")</f>
        <v/>
      </c>
    </row>
    <row r="6887" spans="18:23">
      <c r="R6887" s="97">
        <f t="shared" si="280"/>
        <v>0</v>
      </c>
      <c r="T6887" s="98">
        <f t="shared" si="281"/>
        <v>0</v>
      </c>
      <c r="U6887" s="99" t="str">
        <f>IFERROR(IF(#REF!="S",VLOOKUP('Raw Data'!A6887,References!#REF!,2,FALSE),(VLOOKUP($S6887,References!$B$3:$C$8,2,FALSE))),"")</f>
        <v/>
      </c>
      <c r="W6887" s="66" t="str">
        <f>IFERROR(VLOOKUP($O6887,'Customer List'!$A$1:$J$488,10,FALSE),"")</f>
        <v/>
      </c>
    </row>
    <row r="6888" spans="18:23">
      <c r="R6888" s="97">
        <f t="shared" ref="R6888:R6951" si="282">L6888-K6888</f>
        <v>0</v>
      </c>
      <c r="T6888" s="98">
        <f t="shared" si="281"/>
        <v>0</v>
      </c>
      <c r="U6888" s="99" t="str">
        <f>IFERROR(IF(#REF!="S",VLOOKUP('Raw Data'!A6888,References!#REF!,2,FALSE),(VLOOKUP($S6888,References!$B$3:$C$8,2,FALSE))),"")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2"/>
        <v>0</v>
      </c>
      <c r="T6889" s="98">
        <f t="shared" si="281"/>
        <v>0</v>
      </c>
      <c r="U6889" s="99" t="str">
        <f>IFERROR(IF(#REF!="S",VLOOKUP('Raw Data'!A6889,References!#REF!,2,FALSE),(VLOOKUP($S6889,References!$B$3:$C$8,2,FALSE))),"")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2"/>
        <v>0</v>
      </c>
      <c r="T6890" s="98">
        <f t="shared" si="281"/>
        <v>0</v>
      </c>
      <c r="U6890" s="99" t="str">
        <f>IFERROR(IF(#REF!="S",VLOOKUP('Raw Data'!A6890,References!#REF!,2,FALSE),(VLOOKUP($S6890,References!$B$3:$C$8,2,FALSE))),"")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2"/>
        <v>0</v>
      </c>
      <c r="T6891" s="98">
        <f t="shared" si="281"/>
        <v>0</v>
      </c>
      <c r="U6891" s="99" t="str">
        <f>IFERROR(IF(#REF!="S",VLOOKUP('Raw Data'!A6891,References!#REF!,2,FALSE),(VLOOKUP($S6891,References!$B$3:$C$8,2,FALSE))),"")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2"/>
        <v>0</v>
      </c>
      <c r="T6892" s="98">
        <f t="shared" si="281"/>
        <v>0</v>
      </c>
      <c r="U6892" s="99" t="str">
        <f>IFERROR(IF(#REF!="S",VLOOKUP('Raw Data'!A6892,References!#REF!,2,FALSE),(VLOOKUP($S6892,References!$B$3:$C$8,2,FALSE))),"")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2"/>
        <v>0</v>
      </c>
      <c r="T6893" s="98">
        <f t="shared" si="281"/>
        <v>0</v>
      </c>
      <c r="U6893" s="99" t="str">
        <f>IFERROR(IF(#REF!="S",VLOOKUP('Raw Data'!A6893,References!#REF!,2,FALSE),(VLOOKUP($S6893,References!$B$3:$C$8,2,FALSE))),"")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2"/>
        <v>0</v>
      </c>
      <c r="T6894" s="98">
        <f t="shared" si="281"/>
        <v>0</v>
      </c>
      <c r="U6894" s="99" t="str">
        <f>IFERROR(IF(#REF!="S",VLOOKUP('Raw Data'!A6894,References!#REF!,2,FALSE),(VLOOKUP($S6894,References!$B$3:$C$8,2,FALSE))),"")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2"/>
        <v>0</v>
      </c>
      <c r="T6895" s="98">
        <f t="shared" si="281"/>
        <v>0</v>
      </c>
      <c r="U6895" s="99" t="str">
        <f>IFERROR(IF(#REF!="S",VLOOKUP('Raw Data'!A6895,References!#REF!,2,FALSE),(VLOOKUP($S6895,References!$B$3:$C$8,2,FALSE))),"")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2"/>
        <v>0</v>
      </c>
      <c r="T6896" s="98">
        <f t="shared" si="281"/>
        <v>0</v>
      </c>
      <c r="U6896" s="99" t="str">
        <f>IFERROR(IF(#REF!="S",VLOOKUP('Raw Data'!A6896,References!#REF!,2,FALSE),(VLOOKUP($S6896,References!$B$3:$C$8,2,FALSE))),"")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2"/>
        <v>0</v>
      </c>
      <c r="T6897" s="98">
        <f t="shared" si="281"/>
        <v>0</v>
      </c>
      <c r="U6897" s="99" t="str">
        <f>IFERROR(IF(#REF!="S",VLOOKUP('Raw Data'!A6897,References!#REF!,2,FALSE),(VLOOKUP($S6897,References!$B$3:$C$8,2,FALSE))),"")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2"/>
        <v>0</v>
      </c>
      <c r="T6898" s="98">
        <f t="shared" si="281"/>
        <v>0</v>
      </c>
      <c r="U6898" s="99" t="str">
        <f>IFERROR(IF(#REF!="S",VLOOKUP('Raw Data'!A6898,References!#REF!,2,FALSE),(VLOOKUP($S6898,References!$B$3:$C$8,2,FALSE))),"")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2"/>
        <v>0</v>
      </c>
      <c r="T6899" s="98">
        <f t="shared" si="281"/>
        <v>0</v>
      </c>
      <c r="U6899" s="99" t="str">
        <f>IFERROR(IF(#REF!="S",VLOOKUP('Raw Data'!A6899,References!#REF!,2,FALSE),(VLOOKUP($S6899,References!$B$3:$C$8,2,FALSE))),"")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2"/>
        <v>0</v>
      </c>
      <c r="T6900" s="98">
        <f t="shared" si="281"/>
        <v>0</v>
      </c>
      <c r="U6900" s="99" t="str">
        <f>IFERROR(IF(#REF!="S",VLOOKUP('Raw Data'!A6900,References!#REF!,2,FALSE),(VLOOKUP($S6900,References!$B$3:$C$8,2,FALSE))),"")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2"/>
        <v>0</v>
      </c>
      <c r="T6901" s="98">
        <f t="shared" si="281"/>
        <v>0</v>
      </c>
      <c r="U6901" s="99" t="str">
        <f>IFERROR(IF(#REF!="S",VLOOKUP('Raw Data'!A6901,References!#REF!,2,FALSE),(VLOOKUP($S6901,References!$B$3:$C$8,2,FALSE))),"")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2"/>
        <v>0</v>
      </c>
      <c r="T6902" s="98">
        <f t="shared" si="281"/>
        <v>0</v>
      </c>
      <c r="U6902" s="99" t="str">
        <f>IFERROR(IF(#REF!="S",VLOOKUP('Raw Data'!A6902,References!#REF!,2,FALSE),(VLOOKUP($S6902,References!$B$3:$C$8,2,FALSE))),"")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2"/>
        <v>0</v>
      </c>
      <c r="T6903" s="98">
        <f t="shared" si="281"/>
        <v>0</v>
      </c>
      <c r="U6903" s="99" t="str">
        <f>IFERROR(IF(#REF!="S",VLOOKUP('Raw Data'!A6903,References!#REF!,2,FALSE),(VLOOKUP($S6903,References!$B$3:$C$8,2,FALSE))),"")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2"/>
        <v>0</v>
      </c>
      <c r="T6904" s="98">
        <f t="shared" si="281"/>
        <v>0</v>
      </c>
      <c r="U6904" s="99" t="str">
        <f>IFERROR(IF(#REF!="S",VLOOKUP('Raw Data'!A6904,References!#REF!,2,FALSE),(VLOOKUP($S6904,References!$B$3:$C$8,2,FALSE))),"")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2"/>
        <v>0</v>
      </c>
      <c r="T6905" s="98">
        <f t="shared" si="281"/>
        <v>0</v>
      </c>
      <c r="U6905" s="99" t="str">
        <f>IFERROR(IF(#REF!="S",VLOOKUP('Raw Data'!A6905,References!#REF!,2,FALSE),(VLOOKUP($S6905,References!$B$3:$C$8,2,FALSE))),"")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2"/>
        <v>0</v>
      </c>
      <c r="T6906" s="98">
        <f t="shared" si="281"/>
        <v>0</v>
      </c>
      <c r="U6906" s="99" t="str">
        <f>IFERROR(IF(#REF!="S",VLOOKUP('Raw Data'!A6906,References!#REF!,2,FALSE),(VLOOKUP($S6906,References!$B$3:$C$8,2,FALSE))),"")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2"/>
        <v>0</v>
      </c>
      <c r="T6907" s="98">
        <f t="shared" si="281"/>
        <v>0</v>
      </c>
      <c r="U6907" s="99" t="str">
        <f>IFERROR(IF(#REF!="S",VLOOKUP('Raw Data'!A6907,References!#REF!,2,FALSE),(VLOOKUP($S6907,References!$B$3:$C$8,2,FALSE))),"")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2"/>
        <v>0</v>
      </c>
      <c r="T6908" s="98">
        <f t="shared" si="281"/>
        <v>0</v>
      </c>
      <c r="U6908" s="99" t="str">
        <f>IFERROR(IF(#REF!="S",VLOOKUP('Raw Data'!A6908,References!#REF!,2,FALSE),(VLOOKUP($S6908,References!$B$3:$C$8,2,FALSE))),"")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2"/>
        <v>0</v>
      </c>
      <c r="T6909" s="98">
        <f t="shared" si="281"/>
        <v>0</v>
      </c>
      <c r="U6909" s="99" t="str">
        <f>IFERROR(IF(#REF!="S",VLOOKUP('Raw Data'!A6909,References!#REF!,2,FALSE),(VLOOKUP($S6909,References!$B$3:$C$8,2,FALSE))),"")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2"/>
        <v>0</v>
      </c>
      <c r="T6910" s="98">
        <f t="shared" si="281"/>
        <v>0</v>
      </c>
      <c r="U6910" s="99" t="str">
        <f>IFERROR(IF(#REF!="S",VLOOKUP('Raw Data'!A6910,References!#REF!,2,FALSE),(VLOOKUP($S6910,References!$B$3:$C$8,2,FALSE))),"")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2"/>
        <v>0</v>
      </c>
      <c r="T6911" s="98">
        <f t="shared" si="281"/>
        <v>0</v>
      </c>
      <c r="U6911" s="99" t="str">
        <f>IFERROR(IF(#REF!="S",VLOOKUP('Raw Data'!A6911,References!#REF!,2,FALSE),(VLOOKUP($S6911,References!$B$3:$C$8,2,FALSE))),"")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2"/>
        <v>0</v>
      </c>
      <c r="T6912" s="98">
        <f t="shared" si="281"/>
        <v>0</v>
      </c>
      <c r="U6912" s="99" t="str">
        <f>IFERROR(IF(#REF!="S",VLOOKUP('Raw Data'!A6912,References!#REF!,2,FALSE),(VLOOKUP($S6912,References!$B$3:$C$8,2,FALSE))),"")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2"/>
        <v>0</v>
      </c>
      <c r="T6913" s="98">
        <f t="shared" si="281"/>
        <v>0</v>
      </c>
      <c r="U6913" s="99" t="str">
        <f>IFERROR(IF(#REF!="S",VLOOKUP('Raw Data'!A6913,References!#REF!,2,FALSE),(VLOOKUP($S6913,References!$B$3:$C$8,2,FALSE))),"")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2"/>
        <v>0</v>
      </c>
      <c r="T6914" s="98">
        <f t="shared" si="281"/>
        <v>0</v>
      </c>
      <c r="U6914" s="99" t="str">
        <f>IFERROR(IF(#REF!="S",VLOOKUP('Raw Data'!A6914,References!#REF!,2,FALSE),(VLOOKUP($S6914,References!$B$3:$C$8,2,FALSE))),"")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2"/>
        <v>0</v>
      </c>
      <c r="T6915" s="98">
        <f t="shared" si="281"/>
        <v>0</v>
      </c>
      <c r="U6915" s="99" t="str">
        <f>IFERROR(IF(#REF!="S",VLOOKUP('Raw Data'!A6915,References!#REF!,2,FALSE),(VLOOKUP($S6915,References!$B$3:$C$8,2,FALSE))),"")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2"/>
        <v>0</v>
      </c>
      <c r="T6916" s="98">
        <f t="shared" si="281"/>
        <v>0</v>
      </c>
      <c r="U6916" s="99" t="str">
        <f>IFERROR(IF(#REF!="S",VLOOKUP('Raw Data'!A6916,References!#REF!,2,FALSE),(VLOOKUP($S6916,References!$B$3:$C$8,2,FALSE))),"")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2"/>
        <v>0</v>
      </c>
      <c r="T6917" s="98">
        <f t="shared" si="281"/>
        <v>0</v>
      </c>
      <c r="U6917" s="99" t="str">
        <f>IFERROR(IF(#REF!="S",VLOOKUP('Raw Data'!A6917,References!#REF!,2,FALSE),(VLOOKUP($S6917,References!$B$3:$C$8,2,FALSE))),"")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2"/>
        <v>0</v>
      </c>
      <c r="T6918" s="98">
        <f t="shared" si="281"/>
        <v>0</v>
      </c>
      <c r="U6918" s="99" t="str">
        <f>IFERROR(IF(#REF!="S",VLOOKUP('Raw Data'!A6918,References!#REF!,2,FALSE),(VLOOKUP($S6918,References!$B$3:$C$8,2,FALSE))),"")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2"/>
        <v>0</v>
      </c>
      <c r="T6919" s="98">
        <f t="shared" si="281"/>
        <v>0</v>
      </c>
      <c r="U6919" s="99" t="str">
        <f>IFERROR(IF(#REF!="S",VLOOKUP('Raw Data'!A6919,References!#REF!,2,FALSE),(VLOOKUP($S6919,References!$B$3:$C$8,2,FALSE))),"")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2"/>
        <v>0</v>
      </c>
      <c r="T6920" s="98">
        <f t="shared" si="281"/>
        <v>0</v>
      </c>
      <c r="U6920" s="99" t="str">
        <f>IFERROR(IF(#REF!="S",VLOOKUP('Raw Data'!A6920,References!#REF!,2,FALSE),(VLOOKUP($S6920,References!$B$3:$C$8,2,FALSE))),"")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2"/>
        <v>0</v>
      </c>
      <c r="T6921" s="98">
        <f t="shared" si="281"/>
        <v>0</v>
      </c>
      <c r="U6921" s="99" t="str">
        <f>IFERROR(IF(#REF!="S",VLOOKUP('Raw Data'!A6921,References!#REF!,2,FALSE),(VLOOKUP($S6921,References!$B$3:$C$8,2,FALSE))),"")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2"/>
        <v>0</v>
      </c>
      <c r="T6922" s="98">
        <f t="shared" si="281"/>
        <v>0</v>
      </c>
      <c r="U6922" s="99" t="str">
        <f>IFERROR(IF(#REF!="S",VLOOKUP('Raw Data'!A6922,References!#REF!,2,FALSE),(VLOOKUP($S6922,References!$B$3:$C$8,2,FALSE))),"")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2"/>
        <v>0</v>
      </c>
      <c r="T6923" s="98">
        <f t="shared" si="281"/>
        <v>0</v>
      </c>
      <c r="U6923" s="99" t="str">
        <f>IFERROR(IF(#REF!="S",VLOOKUP('Raw Data'!A6923,References!#REF!,2,FALSE),(VLOOKUP($S6923,References!$B$3:$C$8,2,FALSE))),"")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2"/>
        <v>0</v>
      </c>
      <c r="T6924" s="98">
        <f t="shared" si="281"/>
        <v>0</v>
      </c>
      <c r="U6924" s="99" t="str">
        <f>IFERROR(IF(#REF!="S",VLOOKUP('Raw Data'!A6924,References!#REF!,2,FALSE),(VLOOKUP($S6924,References!$B$3:$C$8,2,FALSE))),"")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2"/>
        <v>0</v>
      </c>
      <c r="T6925" s="98">
        <f t="shared" si="281"/>
        <v>0</v>
      </c>
      <c r="U6925" s="99" t="str">
        <f>IFERROR(IF(#REF!="S",VLOOKUP('Raw Data'!A6925,References!#REF!,2,FALSE),(VLOOKUP($S6925,References!$B$3:$C$8,2,FALSE))),"")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2"/>
        <v>0</v>
      </c>
      <c r="T6926" s="98">
        <f t="shared" si="281"/>
        <v>0</v>
      </c>
      <c r="U6926" s="99" t="str">
        <f>IFERROR(IF(#REF!="S",VLOOKUP('Raw Data'!A6926,References!#REF!,2,FALSE),(VLOOKUP($S6926,References!$B$3:$C$8,2,FALSE))),"")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2"/>
        <v>0</v>
      </c>
      <c r="T6927" s="98">
        <f t="shared" si="281"/>
        <v>0</v>
      </c>
      <c r="U6927" s="99" t="str">
        <f>IFERROR(IF(#REF!="S",VLOOKUP('Raw Data'!A6927,References!#REF!,2,FALSE),(VLOOKUP($S6927,References!$B$3:$C$8,2,FALSE))),"")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2"/>
        <v>0</v>
      </c>
      <c r="T6928" s="98">
        <f t="shared" ref="T6928:T6991" si="283">IF(S6928="50 - Cleaning Fee",1,HOUR($R6928)+MINUTE(R6928)/60)</f>
        <v>0</v>
      </c>
      <c r="U6928" s="99" t="str">
        <f>IFERROR(IF(#REF!="S",VLOOKUP('Raw Data'!A6928,References!#REF!,2,FALSE),(VLOOKUP($S6928,References!$B$3:$C$8,2,FALSE))),"")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2"/>
        <v>0</v>
      </c>
      <c r="T6929" s="98">
        <f t="shared" si="283"/>
        <v>0</v>
      </c>
      <c r="U6929" s="99" t="str">
        <f>IFERROR(IF(#REF!="S",VLOOKUP('Raw Data'!A6929,References!#REF!,2,FALSE),(VLOOKUP($S6929,References!$B$3:$C$8,2,FALSE))),"")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2"/>
        <v>0</v>
      </c>
      <c r="T6930" s="98">
        <f t="shared" si="283"/>
        <v>0</v>
      </c>
      <c r="U6930" s="99" t="str">
        <f>IFERROR(IF(#REF!="S",VLOOKUP('Raw Data'!A6930,References!#REF!,2,FALSE),(VLOOKUP($S6930,References!$B$3:$C$8,2,FALSE))),"")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2"/>
        <v>0</v>
      </c>
      <c r="T6931" s="98">
        <f t="shared" si="283"/>
        <v>0</v>
      </c>
      <c r="U6931" s="99" t="str">
        <f>IFERROR(IF(#REF!="S",VLOOKUP('Raw Data'!A6931,References!#REF!,2,FALSE),(VLOOKUP($S6931,References!$B$3:$C$8,2,FALSE))),"")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2"/>
        <v>0</v>
      </c>
      <c r="T6932" s="98">
        <f t="shared" si="283"/>
        <v>0</v>
      </c>
      <c r="U6932" s="99" t="str">
        <f>IFERROR(IF(#REF!="S",VLOOKUP('Raw Data'!A6932,References!#REF!,2,FALSE),(VLOOKUP($S6932,References!$B$3:$C$8,2,FALSE))),"")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2"/>
        <v>0</v>
      </c>
      <c r="T6933" s="98">
        <f t="shared" si="283"/>
        <v>0</v>
      </c>
      <c r="U6933" s="99" t="str">
        <f>IFERROR(IF(#REF!="S",VLOOKUP('Raw Data'!A6933,References!#REF!,2,FALSE),(VLOOKUP($S6933,References!$B$3:$C$8,2,FALSE))),"")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2"/>
        <v>0</v>
      </c>
      <c r="T6934" s="98">
        <f t="shared" si="283"/>
        <v>0</v>
      </c>
      <c r="U6934" s="99" t="str">
        <f>IFERROR(IF(#REF!="S",VLOOKUP('Raw Data'!A6934,References!#REF!,2,FALSE),(VLOOKUP($S6934,References!$B$3:$C$8,2,FALSE))),"")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2"/>
        <v>0</v>
      </c>
      <c r="T6935" s="98">
        <f t="shared" si="283"/>
        <v>0</v>
      </c>
      <c r="U6935" s="99" t="str">
        <f>IFERROR(IF(#REF!="S",VLOOKUP('Raw Data'!A6935,References!#REF!,2,FALSE),(VLOOKUP($S6935,References!$B$3:$C$8,2,FALSE))),"")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2"/>
        <v>0</v>
      </c>
      <c r="T6936" s="98">
        <f t="shared" si="283"/>
        <v>0</v>
      </c>
      <c r="U6936" s="99" t="str">
        <f>IFERROR(IF(#REF!="S",VLOOKUP('Raw Data'!A6936,References!#REF!,2,FALSE),(VLOOKUP($S6936,References!$B$3:$C$8,2,FALSE))),"")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2"/>
        <v>0</v>
      </c>
      <c r="T6937" s="98">
        <f t="shared" si="283"/>
        <v>0</v>
      </c>
      <c r="U6937" s="99" t="str">
        <f>IFERROR(IF(#REF!="S",VLOOKUP('Raw Data'!A6937,References!#REF!,2,FALSE),(VLOOKUP($S6937,References!$B$3:$C$8,2,FALSE))),"")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2"/>
        <v>0</v>
      </c>
      <c r="T6938" s="98">
        <f t="shared" si="283"/>
        <v>0</v>
      </c>
      <c r="U6938" s="99" t="str">
        <f>IFERROR(IF(#REF!="S",VLOOKUP('Raw Data'!A6938,References!#REF!,2,FALSE),(VLOOKUP($S6938,References!$B$3:$C$8,2,FALSE))),"")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2"/>
        <v>0</v>
      </c>
      <c r="T6939" s="98">
        <f t="shared" si="283"/>
        <v>0</v>
      </c>
      <c r="U6939" s="99" t="str">
        <f>IFERROR(IF(#REF!="S",VLOOKUP('Raw Data'!A6939,References!#REF!,2,FALSE),(VLOOKUP($S6939,References!$B$3:$C$8,2,FALSE))),"")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2"/>
        <v>0</v>
      </c>
      <c r="T6940" s="98">
        <f t="shared" si="283"/>
        <v>0</v>
      </c>
      <c r="U6940" s="99" t="str">
        <f>IFERROR(IF(#REF!="S",VLOOKUP('Raw Data'!A6940,References!#REF!,2,FALSE),(VLOOKUP($S6940,References!$B$3:$C$8,2,FALSE))),"")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2"/>
        <v>0</v>
      </c>
      <c r="T6941" s="98">
        <f t="shared" si="283"/>
        <v>0</v>
      </c>
      <c r="U6941" s="99" t="str">
        <f>IFERROR(IF(#REF!="S",VLOOKUP('Raw Data'!A6941,References!#REF!,2,FALSE),(VLOOKUP($S6941,References!$B$3:$C$8,2,FALSE))),"")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2"/>
        <v>0</v>
      </c>
      <c r="T6942" s="98">
        <f t="shared" si="283"/>
        <v>0</v>
      </c>
      <c r="U6942" s="99" t="str">
        <f>IFERROR(IF(#REF!="S",VLOOKUP('Raw Data'!A6942,References!#REF!,2,FALSE),(VLOOKUP($S6942,References!$B$3:$C$8,2,FALSE))),"")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2"/>
        <v>0</v>
      </c>
      <c r="T6943" s="98">
        <f t="shared" si="283"/>
        <v>0</v>
      </c>
      <c r="U6943" s="99" t="str">
        <f>IFERROR(IF(#REF!="S",VLOOKUP('Raw Data'!A6943,References!#REF!,2,FALSE),(VLOOKUP($S6943,References!$B$3:$C$8,2,FALSE))),"")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2"/>
        <v>0</v>
      </c>
      <c r="T6944" s="98">
        <f t="shared" si="283"/>
        <v>0</v>
      </c>
      <c r="U6944" s="99" t="str">
        <f>IFERROR(IF(#REF!="S",VLOOKUP('Raw Data'!A6944,References!#REF!,2,FALSE),(VLOOKUP($S6944,References!$B$3:$C$8,2,FALSE))),"")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2"/>
        <v>0</v>
      </c>
      <c r="T6945" s="98">
        <f t="shared" si="283"/>
        <v>0</v>
      </c>
      <c r="U6945" s="99" t="str">
        <f>IFERROR(IF(#REF!="S",VLOOKUP('Raw Data'!A6945,References!#REF!,2,FALSE),(VLOOKUP($S6945,References!$B$3:$C$8,2,FALSE))),"")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2"/>
        <v>0</v>
      </c>
      <c r="T6946" s="98">
        <f t="shared" si="283"/>
        <v>0</v>
      </c>
      <c r="U6946" s="99" t="str">
        <f>IFERROR(IF(#REF!="S",VLOOKUP('Raw Data'!A6946,References!#REF!,2,FALSE),(VLOOKUP($S6946,References!$B$3:$C$8,2,FALSE))),"")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2"/>
        <v>0</v>
      </c>
      <c r="T6947" s="98">
        <f t="shared" si="283"/>
        <v>0</v>
      </c>
      <c r="U6947" s="99" t="str">
        <f>IFERROR(IF(#REF!="S",VLOOKUP('Raw Data'!A6947,References!#REF!,2,FALSE),(VLOOKUP($S6947,References!$B$3:$C$8,2,FALSE))),"")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2"/>
        <v>0</v>
      </c>
      <c r="T6948" s="98">
        <f t="shared" si="283"/>
        <v>0</v>
      </c>
      <c r="U6948" s="99" t="str">
        <f>IFERROR(IF(#REF!="S",VLOOKUP('Raw Data'!A6948,References!#REF!,2,FALSE),(VLOOKUP($S6948,References!$B$3:$C$8,2,FALSE))),"")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2"/>
        <v>0</v>
      </c>
      <c r="T6949" s="98">
        <f t="shared" si="283"/>
        <v>0</v>
      </c>
      <c r="U6949" s="99" t="str">
        <f>IFERROR(IF(#REF!="S",VLOOKUP('Raw Data'!A6949,References!#REF!,2,FALSE),(VLOOKUP($S6949,References!$B$3:$C$8,2,FALSE))),"")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2"/>
        <v>0</v>
      </c>
      <c r="T6950" s="98">
        <f t="shared" si="283"/>
        <v>0</v>
      </c>
      <c r="U6950" s="99" t="str">
        <f>IFERROR(IF(#REF!="S",VLOOKUP('Raw Data'!A6950,References!#REF!,2,FALSE),(VLOOKUP($S6950,References!$B$3:$C$8,2,FALSE))),"")</f>
        <v/>
      </c>
      <c r="W6950" s="66" t="str">
        <f>IFERROR(VLOOKUP($O6950,'Customer List'!$A$1:$J$488,10,FALSE),"")</f>
        <v/>
      </c>
    </row>
    <row r="6951" spans="18:23">
      <c r="R6951" s="97">
        <f t="shared" si="282"/>
        <v>0</v>
      </c>
      <c r="T6951" s="98">
        <f t="shared" si="283"/>
        <v>0</v>
      </c>
      <c r="U6951" s="99" t="str">
        <f>IFERROR(IF(#REF!="S",VLOOKUP('Raw Data'!A6951,References!#REF!,2,FALSE),(VLOOKUP($S6951,References!$B$3:$C$8,2,FALSE))),"")</f>
        <v/>
      </c>
      <c r="W6951" s="66" t="str">
        <f>IFERROR(VLOOKUP($O6951,'Customer List'!$A$1:$J$488,10,FALSE),"")</f>
        <v/>
      </c>
    </row>
    <row r="6952" spans="18:23">
      <c r="R6952" s="97">
        <f t="shared" ref="R6952:R7015" si="284">L6952-K6952</f>
        <v>0</v>
      </c>
      <c r="T6952" s="98">
        <f t="shared" si="283"/>
        <v>0</v>
      </c>
      <c r="U6952" s="99" t="str">
        <f>IFERROR(IF(#REF!="S",VLOOKUP('Raw Data'!A6952,References!#REF!,2,FALSE),(VLOOKUP($S6952,References!$B$3:$C$8,2,FALSE))),"")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4"/>
        <v>0</v>
      </c>
      <c r="T6953" s="98">
        <f t="shared" si="283"/>
        <v>0</v>
      </c>
      <c r="U6953" s="99" t="str">
        <f>IFERROR(IF(#REF!="S",VLOOKUP('Raw Data'!A6953,References!#REF!,2,FALSE),(VLOOKUP($S6953,References!$B$3:$C$8,2,FALSE))),"")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4"/>
        <v>0</v>
      </c>
      <c r="T6954" s="98">
        <f t="shared" si="283"/>
        <v>0</v>
      </c>
      <c r="U6954" s="99" t="str">
        <f>IFERROR(IF(#REF!="S",VLOOKUP('Raw Data'!A6954,References!#REF!,2,FALSE),(VLOOKUP($S6954,References!$B$3:$C$8,2,FALSE))),"")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4"/>
        <v>0</v>
      </c>
      <c r="T6955" s="98">
        <f t="shared" si="283"/>
        <v>0</v>
      </c>
      <c r="U6955" s="99" t="str">
        <f>IFERROR(IF(#REF!="S",VLOOKUP('Raw Data'!A6955,References!#REF!,2,FALSE),(VLOOKUP($S6955,References!$B$3:$C$8,2,FALSE))),"")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4"/>
        <v>0</v>
      </c>
      <c r="T6956" s="98">
        <f t="shared" si="283"/>
        <v>0</v>
      </c>
      <c r="U6956" s="99" t="str">
        <f>IFERROR(IF(#REF!="S",VLOOKUP('Raw Data'!A6956,References!#REF!,2,FALSE),(VLOOKUP($S6956,References!$B$3:$C$8,2,FALSE))),"")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4"/>
        <v>0</v>
      </c>
      <c r="T6957" s="98">
        <f t="shared" si="283"/>
        <v>0</v>
      </c>
      <c r="U6957" s="99" t="str">
        <f>IFERROR(IF(#REF!="S",VLOOKUP('Raw Data'!A6957,References!#REF!,2,FALSE),(VLOOKUP($S6957,References!$B$3:$C$8,2,FALSE))),"")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4"/>
        <v>0</v>
      </c>
      <c r="T6958" s="98">
        <f t="shared" si="283"/>
        <v>0</v>
      </c>
      <c r="U6958" s="99" t="str">
        <f>IFERROR(IF(#REF!="S",VLOOKUP('Raw Data'!A6958,References!#REF!,2,FALSE),(VLOOKUP($S6958,References!$B$3:$C$8,2,FALSE))),"")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4"/>
        <v>0</v>
      </c>
      <c r="T6959" s="98">
        <f t="shared" si="283"/>
        <v>0</v>
      </c>
      <c r="U6959" s="99" t="str">
        <f>IFERROR(IF(#REF!="S",VLOOKUP('Raw Data'!A6959,References!#REF!,2,FALSE),(VLOOKUP($S6959,References!$B$3:$C$8,2,FALSE))),"")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4"/>
        <v>0</v>
      </c>
      <c r="T6960" s="98">
        <f t="shared" si="283"/>
        <v>0</v>
      </c>
      <c r="U6960" s="99" t="str">
        <f>IFERROR(IF(#REF!="S",VLOOKUP('Raw Data'!A6960,References!#REF!,2,FALSE),(VLOOKUP($S6960,References!$B$3:$C$8,2,FALSE))),"")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4"/>
        <v>0</v>
      </c>
      <c r="T6961" s="98">
        <f t="shared" si="283"/>
        <v>0</v>
      </c>
      <c r="U6961" s="99" t="str">
        <f>IFERROR(IF(#REF!="S",VLOOKUP('Raw Data'!A6961,References!#REF!,2,FALSE),(VLOOKUP($S6961,References!$B$3:$C$8,2,FALSE))),"")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4"/>
        <v>0</v>
      </c>
      <c r="T6962" s="98">
        <f t="shared" si="283"/>
        <v>0</v>
      </c>
      <c r="U6962" s="99" t="str">
        <f>IFERROR(IF(#REF!="S",VLOOKUP('Raw Data'!A6962,References!#REF!,2,FALSE),(VLOOKUP($S6962,References!$B$3:$C$8,2,FALSE))),"")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4"/>
        <v>0</v>
      </c>
      <c r="T6963" s="98">
        <f t="shared" si="283"/>
        <v>0</v>
      </c>
      <c r="U6963" s="99" t="str">
        <f>IFERROR(IF(#REF!="S",VLOOKUP('Raw Data'!A6963,References!#REF!,2,FALSE),(VLOOKUP($S6963,References!$B$3:$C$8,2,FALSE))),"")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4"/>
        <v>0</v>
      </c>
      <c r="T6964" s="98">
        <f t="shared" si="283"/>
        <v>0</v>
      </c>
      <c r="U6964" s="99" t="str">
        <f>IFERROR(IF(#REF!="S",VLOOKUP('Raw Data'!A6964,References!#REF!,2,FALSE),(VLOOKUP($S6964,References!$B$3:$C$8,2,FALSE))),"")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4"/>
        <v>0</v>
      </c>
      <c r="T6965" s="98">
        <f t="shared" si="283"/>
        <v>0</v>
      </c>
      <c r="U6965" s="99" t="str">
        <f>IFERROR(IF(#REF!="S",VLOOKUP('Raw Data'!A6965,References!#REF!,2,FALSE),(VLOOKUP($S6965,References!$B$3:$C$8,2,FALSE))),"")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4"/>
        <v>0</v>
      </c>
      <c r="T6966" s="98">
        <f t="shared" si="283"/>
        <v>0</v>
      </c>
      <c r="U6966" s="99" t="str">
        <f>IFERROR(IF(#REF!="S",VLOOKUP('Raw Data'!A6966,References!#REF!,2,FALSE),(VLOOKUP($S6966,References!$B$3:$C$8,2,FALSE))),"")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4"/>
        <v>0</v>
      </c>
      <c r="T6967" s="98">
        <f t="shared" si="283"/>
        <v>0</v>
      </c>
      <c r="U6967" s="99" t="str">
        <f>IFERROR(IF(#REF!="S",VLOOKUP('Raw Data'!A6967,References!#REF!,2,FALSE),(VLOOKUP($S6967,References!$B$3:$C$8,2,FALSE))),"")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4"/>
        <v>0</v>
      </c>
      <c r="T6968" s="98">
        <f t="shared" si="283"/>
        <v>0</v>
      </c>
      <c r="U6968" s="99" t="str">
        <f>IFERROR(IF(#REF!="S",VLOOKUP('Raw Data'!A6968,References!#REF!,2,FALSE),(VLOOKUP($S6968,References!$B$3:$C$8,2,FALSE))),"")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4"/>
        <v>0</v>
      </c>
      <c r="T6969" s="98">
        <f t="shared" si="283"/>
        <v>0</v>
      </c>
      <c r="U6969" s="99" t="str">
        <f>IFERROR(IF(#REF!="S",VLOOKUP('Raw Data'!A6969,References!#REF!,2,FALSE),(VLOOKUP($S6969,References!$B$3:$C$8,2,FALSE))),"")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4"/>
        <v>0</v>
      </c>
      <c r="T6970" s="98">
        <f t="shared" si="283"/>
        <v>0</v>
      </c>
      <c r="U6970" s="99" t="str">
        <f>IFERROR(IF(#REF!="S",VLOOKUP('Raw Data'!A6970,References!#REF!,2,FALSE),(VLOOKUP($S6970,References!$B$3:$C$8,2,FALSE))),"")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4"/>
        <v>0</v>
      </c>
      <c r="T6971" s="98">
        <f t="shared" si="283"/>
        <v>0</v>
      </c>
      <c r="U6971" s="99" t="str">
        <f>IFERROR(IF(#REF!="S",VLOOKUP('Raw Data'!A6971,References!#REF!,2,FALSE),(VLOOKUP($S6971,References!$B$3:$C$8,2,FALSE))),"")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4"/>
        <v>0</v>
      </c>
      <c r="T6972" s="98">
        <f t="shared" si="283"/>
        <v>0</v>
      </c>
      <c r="U6972" s="99" t="str">
        <f>IFERROR(IF(#REF!="S",VLOOKUP('Raw Data'!A6972,References!#REF!,2,FALSE),(VLOOKUP($S6972,References!$B$3:$C$8,2,FALSE))),"")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4"/>
        <v>0</v>
      </c>
      <c r="T6973" s="98">
        <f t="shared" si="283"/>
        <v>0</v>
      </c>
      <c r="U6973" s="99" t="str">
        <f>IFERROR(IF(#REF!="S",VLOOKUP('Raw Data'!A6973,References!#REF!,2,FALSE),(VLOOKUP($S6973,References!$B$3:$C$8,2,FALSE))),"")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4"/>
        <v>0</v>
      </c>
      <c r="T6974" s="98">
        <f t="shared" si="283"/>
        <v>0</v>
      </c>
      <c r="U6974" s="99" t="str">
        <f>IFERROR(IF(#REF!="S",VLOOKUP('Raw Data'!A6974,References!#REF!,2,FALSE),(VLOOKUP($S6974,References!$B$3:$C$8,2,FALSE))),"")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4"/>
        <v>0</v>
      </c>
      <c r="T6975" s="98">
        <f t="shared" si="283"/>
        <v>0</v>
      </c>
      <c r="U6975" s="99" t="str">
        <f>IFERROR(IF(#REF!="S",VLOOKUP('Raw Data'!A6975,References!#REF!,2,FALSE),(VLOOKUP($S6975,References!$B$3:$C$8,2,FALSE))),"")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4"/>
        <v>0</v>
      </c>
      <c r="T6976" s="98">
        <f t="shared" si="283"/>
        <v>0</v>
      </c>
      <c r="U6976" s="99" t="str">
        <f>IFERROR(IF(#REF!="S",VLOOKUP('Raw Data'!A6976,References!#REF!,2,FALSE),(VLOOKUP($S6976,References!$B$3:$C$8,2,FALSE))),"")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4"/>
        <v>0</v>
      </c>
      <c r="T6977" s="98">
        <f t="shared" si="283"/>
        <v>0</v>
      </c>
      <c r="U6977" s="99" t="str">
        <f>IFERROR(IF(#REF!="S",VLOOKUP('Raw Data'!A6977,References!#REF!,2,FALSE),(VLOOKUP($S6977,References!$B$3:$C$8,2,FALSE))),"")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4"/>
        <v>0</v>
      </c>
      <c r="T6978" s="98">
        <f t="shared" si="283"/>
        <v>0</v>
      </c>
      <c r="U6978" s="99" t="str">
        <f>IFERROR(IF(#REF!="S",VLOOKUP('Raw Data'!A6978,References!#REF!,2,FALSE),(VLOOKUP($S6978,References!$B$3:$C$8,2,FALSE))),"")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4"/>
        <v>0</v>
      </c>
      <c r="T6979" s="98">
        <f t="shared" si="283"/>
        <v>0</v>
      </c>
      <c r="U6979" s="99" t="str">
        <f>IFERROR(IF(#REF!="S",VLOOKUP('Raw Data'!A6979,References!#REF!,2,FALSE),(VLOOKUP($S6979,References!$B$3:$C$8,2,FALSE))),"")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4"/>
        <v>0</v>
      </c>
      <c r="T6980" s="98">
        <f t="shared" si="283"/>
        <v>0</v>
      </c>
      <c r="U6980" s="99" t="str">
        <f>IFERROR(IF(#REF!="S",VLOOKUP('Raw Data'!A6980,References!#REF!,2,FALSE),(VLOOKUP($S6980,References!$B$3:$C$8,2,FALSE))),"")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4"/>
        <v>0</v>
      </c>
      <c r="T6981" s="98">
        <f t="shared" si="283"/>
        <v>0</v>
      </c>
      <c r="U6981" s="99" t="str">
        <f>IFERROR(IF(#REF!="S",VLOOKUP('Raw Data'!A6981,References!#REF!,2,FALSE),(VLOOKUP($S6981,References!$B$3:$C$8,2,FALSE))),"")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4"/>
        <v>0</v>
      </c>
      <c r="T6982" s="98">
        <f t="shared" si="283"/>
        <v>0</v>
      </c>
      <c r="U6982" s="99" t="str">
        <f>IFERROR(IF(#REF!="S",VLOOKUP('Raw Data'!A6982,References!#REF!,2,FALSE),(VLOOKUP($S6982,References!$B$3:$C$8,2,FALSE))),"")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4"/>
        <v>0</v>
      </c>
      <c r="T6983" s="98">
        <f t="shared" si="283"/>
        <v>0</v>
      </c>
      <c r="U6983" s="99" t="str">
        <f>IFERROR(IF(#REF!="S",VLOOKUP('Raw Data'!A6983,References!#REF!,2,FALSE),(VLOOKUP($S6983,References!$B$3:$C$8,2,FALSE))),"")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4"/>
        <v>0</v>
      </c>
      <c r="T6984" s="98">
        <f t="shared" si="283"/>
        <v>0</v>
      </c>
      <c r="U6984" s="99" t="str">
        <f>IFERROR(IF(#REF!="S",VLOOKUP('Raw Data'!A6984,References!#REF!,2,FALSE),(VLOOKUP($S6984,References!$B$3:$C$8,2,FALSE))),"")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4"/>
        <v>0</v>
      </c>
      <c r="T6985" s="98">
        <f t="shared" si="283"/>
        <v>0</v>
      </c>
      <c r="U6985" s="99" t="str">
        <f>IFERROR(IF(#REF!="S",VLOOKUP('Raw Data'!A6985,References!#REF!,2,FALSE),(VLOOKUP($S6985,References!$B$3:$C$8,2,FALSE))),"")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4"/>
        <v>0</v>
      </c>
      <c r="T6986" s="98">
        <f t="shared" si="283"/>
        <v>0</v>
      </c>
      <c r="U6986" s="99" t="str">
        <f>IFERROR(IF(#REF!="S",VLOOKUP('Raw Data'!A6986,References!#REF!,2,FALSE),(VLOOKUP($S6986,References!$B$3:$C$8,2,FALSE))),"")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4"/>
        <v>0</v>
      </c>
      <c r="T6987" s="98">
        <f t="shared" si="283"/>
        <v>0</v>
      </c>
      <c r="U6987" s="99" t="str">
        <f>IFERROR(IF(#REF!="S",VLOOKUP('Raw Data'!A6987,References!#REF!,2,FALSE),(VLOOKUP($S6987,References!$B$3:$C$8,2,FALSE))),"")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4"/>
        <v>0</v>
      </c>
      <c r="T6988" s="98">
        <f t="shared" si="283"/>
        <v>0</v>
      </c>
      <c r="U6988" s="99" t="str">
        <f>IFERROR(IF(#REF!="S",VLOOKUP('Raw Data'!A6988,References!#REF!,2,FALSE),(VLOOKUP($S6988,References!$B$3:$C$8,2,FALSE))),"")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4"/>
        <v>0</v>
      </c>
      <c r="T6989" s="98">
        <f t="shared" si="283"/>
        <v>0</v>
      </c>
      <c r="U6989" s="99" t="str">
        <f>IFERROR(IF(#REF!="S",VLOOKUP('Raw Data'!A6989,References!#REF!,2,FALSE),(VLOOKUP($S6989,References!$B$3:$C$8,2,FALSE))),"")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4"/>
        <v>0</v>
      </c>
      <c r="T6990" s="98">
        <f t="shared" si="283"/>
        <v>0</v>
      </c>
      <c r="U6990" s="99" t="str">
        <f>IFERROR(IF(#REF!="S",VLOOKUP('Raw Data'!A6990,References!#REF!,2,FALSE),(VLOOKUP($S6990,References!$B$3:$C$8,2,FALSE))),"")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4"/>
        <v>0</v>
      </c>
      <c r="T6991" s="98">
        <f t="shared" si="283"/>
        <v>0</v>
      </c>
      <c r="U6991" s="99" t="str">
        <f>IFERROR(IF(#REF!="S",VLOOKUP('Raw Data'!A6991,References!#REF!,2,FALSE),(VLOOKUP($S6991,References!$B$3:$C$8,2,FALSE))),"")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4"/>
        <v>0</v>
      </c>
      <c r="T6992" s="98">
        <f t="shared" ref="T6992:T7055" si="285">IF(S6992="50 - Cleaning Fee",1,HOUR($R6992)+MINUTE(R6992)/60)</f>
        <v>0</v>
      </c>
      <c r="U6992" s="99" t="str">
        <f>IFERROR(IF(#REF!="S",VLOOKUP('Raw Data'!A6992,References!#REF!,2,FALSE),(VLOOKUP($S6992,References!$B$3:$C$8,2,FALSE))),"")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4"/>
        <v>0</v>
      </c>
      <c r="T6993" s="98">
        <f t="shared" si="285"/>
        <v>0</v>
      </c>
      <c r="U6993" s="99" t="str">
        <f>IFERROR(IF(#REF!="S",VLOOKUP('Raw Data'!A6993,References!#REF!,2,FALSE),(VLOOKUP($S6993,References!$B$3:$C$8,2,FALSE))),"")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4"/>
        <v>0</v>
      </c>
      <c r="T6994" s="98">
        <f t="shared" si="285"/>
        <v>0</v>
      </c>
      <c r="U6994" s="99" t="str">
        <f>IFERROR(IF(#REF!="S",VLOOKUP('Raw Data'!A6994,References!#REF!,2,FALSE),(VLOOKUP($S6994,References!$B$3:$C$8,2,FALSE))),"")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4"/>
        <v>0</v>
      </c>
      <c r="T6995" s="98">
        <f t="shared" si="285"/>
        <v>0</v>
      </c>
      <c r="U6995" s="99" t="str">
        <f>IFERROR(IF(#REF!="S",VLOOKUP('Raw Data'!A6995,References!#REF!,2,FALSE),(VLOOKUP($S6995,References!$B$3:$C$8,2,FALSE))),"")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4"/>
        <v>0</v>
      </c>
      <c r="T6996" s="98">
        <f t="shared" si="285"/>
        <v>0</v>
      </c>
      <c r="U6996" s="99" t="str">
        <f>IFERROR(IF(#REF!="S",VLOOKUP('Raw Data'!A6996,References!#REF!,2,FALSE),(VLOOKUP($S6996,References!$B$3:$C$8,2,FALSE))),"")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4"/>
        <v>0</v>
      </c>
      <c r="T6997" s="98">
        <f t="shared" si="285"/>
        <v>0</v>
      </c>
      <c r="U6997" s="99" t="str">
        <f>IFERROR(IF(#REF!="S",VLOOKUP('Raw Data'!A6997,References!#REF!,2,FALSE),(VLOOKUP($S6997,References!$B$3:$C$8,2,FALSE))),"")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4"/>
        <v>0</v>
      </c>
      <c r="T6998" s="98">
        <f t="shared" si="285"/>
        <v>0</v>
      </c>
      <c r="U6998" s="99" t="str">
        <f>IFERROR(IF(#REF!="S",VLOOKUP('Raw Data'!A6998,References!#REF!,2,FALSE),(VLOOKUP($S6998,References!$B$3:$C$8,2,FALSE))),"")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4"/>
        <v>0</v>
      </c>
      <c r="T6999" s="98">
        <f t="shared" si="285"/>
        <v>0</v>
      </c>
      <c r="U6999" s="99" t="str">
        <f>IFERROR(IF(#REF!="S",VLOOKUP('Raw Data'!A6999,References!#REF!,2,FALSE),(VLOOKUP($S6999,References!$B$3:$C$8,2,FALSE))),"")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4"/>
        <v>0</v>
      </c>
      <c r="T7000" s="98">
        <f t="shared" si="285"/>
        <v>0</v>
      </c>
      <c r="U7000" s="99" t="str">
        <f>IFERROR(IF(#REF!="S",VLOOKUP('Raw Data'!A7000,References!#REF!,2,FALSE),(VLOOKUP($S7000,References!$B$3:$C$8,2,FALSE))),"")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4"/>
        <v>0</v>
      </c>
      <c r="T7001" s="98">
        <f t="shared" si="285"/>
        <v>0</v>
      </c>
      <c r="U7001" s="99" t="str">
        <f>IFERROR(IF(#REF!="S",VLOOKUP('Raw Data'!A7001,References!#REF!,2,FALSE),(VLOOKUP($S7001,References!$B$3:$C$8,2,FALSE))),"")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4"/>
        <v>0</v>
      </c>
      <c r="T7002" s="98">
        <f t="shared" si="285"/>
        <v>0</v>
      </c>
      <c r="U7002" s="99" t="str">
        <f>IFERROR(IF(#REF!="S",VLOOKUP('Raw Data'!A7002,References!#REF!,2,FALSE),(VLOOKUP($S7002,References!$B$3:$C$8,2,FALSE))),"")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4"/>
        <v>0</v>
      </c>
      <c r="T7003" s="98">
        <f t="shared" si="285"/>
        <v>0</v>
      </c>
      <c r="U7003" s="99" t="str">
        <f>IFERROR(IF(#REF!="S",VLOOKUP('Raw Data'!A7003,References!#REF!,2,FALSE),(VLOOKUP($S7003,References!$B$3:$C$8,2,FALSE))),"")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4"/>
        <v>0</v>
      </c>
      <c r="T7004" s="98">
        <f t="shared" si="285"/>
        <v>0</v>
      </c>
      <c r="U7004" s="99" t="str">
        <f>IFERROR(IF(#REF!="S",VLOOKUP('Raw Data'!A7004,References!#REF!,2,FALSE),(VLOOKUP($S7004,References!$B$3:$C$8,2,FALSE))),"")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4"/>
        <v>0</v>
      </c>
      <c r="T7005" s="98">
        <f t="shared" si="285"/>
        <v>0</v>
      </c>
      <c r="U7005" s="99" t="str">
        <f>IFERROR(IF(#REF!="S",VLOOKUP('Raw Data'!A7005,References!#REF!,2,FALSE),(VLOOKUP($S7005,References!$B$3:$C$8,2,FALSE))),"")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4"/>
        <v>0</v>
      </c>
      <c r="T7006" s="98">
        <f t="shared" si="285"/>
        <v>0</v>
      </c>
      <c r="U7006" s="99" t="str">
        <f>IFERROR(IF(#REF!="S",VLOOKUP('Raw Data'!A7006,References!#REF!,2,FALSE),(VLOOKUP($S7006,References!$B$3:$C$8,2,FALSE))),"")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4"/>
        <v>0</v>
      </c>
      <c r="T7007" s="98">
        <f t="shared" si="285"/>
        <v>0</v>
      </c>
      <c r="U7007" s="99" t="str">
        <f>IFERROR(IF(#REF!="S",VLOOKUP('Raw Data'!A7007,References!#REF!,2,FALSE),(VLOOKUP($S7007,References!$B$3:$C$8,2,FALSE))),"")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4"/>
        <v>0</v>
      </c>
      <c r="T7008" s="98">
        <f t="shared" si="285"/>
        <v>0</v>
      </c>
      <c r="U7008" s="99" t="str">
        <f>IFERROR(IF(#REF!="S",VLOOKUP('Raw Data'!A7008,References!#REF!,2,FALSE),(VLOOKUP($S7008,References!$B$3:$C$8,2,FALSE))),"")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4"/>
        <v>0</v>
      </c>
      <c r="T7009" s="98">
        <f t="shared" si="285"/>
        <v>0</v>
      </c>
      <c r="U7009" s="99" t="str">
        <f>IFERROR(IF(#REF!="S",VLOOKUP('Raw Data'!A7009,References!#REF!,2,FALSE),(VLOOKUP($S7009,References!$B$3:$C$8,2,FALSE))),"")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4"/>
        <v>0</v>
      </c>
      <c r="T7010" s="98">
        <f t="shared" si="285"/>
        <v>0</v>
      </c>
      <c r="U7010" s="99" t="str">
        <f>IFERROR(IF(#REF!="S",VLOOKUP('Raw Data'!A7010,References!#REF!,2,FALSE),(VLOOKUP($S7010,References!$B$3:$C$8,2,FALSE))),"")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4"/>
        <v>0</v>
      </c>
      <c r="T7011" s="98">
        <f t="shared" si="285"/>
        <v>0</v>
      </c>
      <c r="U7011" s="99" t="str">
        <f>IFERROR(IF(#REF!="S",VLOOKUP('Raw Data'!A7011,References!#REF!,2,FALSE),(VLOOKUP($S7011,References!$B$3:$C$8,2,FALSE))),"")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4"/>
        <v>0</v>
      </c>
      <c r="T7012" s="98">
        <f t="shared" si="285"/>
        <v>0</v>
      </c>
      <c r="U7012" s="99" t="str">
        <f>IFERROR(IF(#REF!="S",VLOOKUP('Raw Data'!A7012,References!#REF!,2,FALSE),(VLOOKUP($S7012,References!$B$3:$C$8,2,FALSE))),"")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4"/>
        <v>0</v>
      </c>
      <c r="T7013" s="98">
        <f t="shared" si="285"/>
        <v>0</v>
      </c>
      <c r="U7013" s="99" t="str">
        <f>IFERROR(IF(#REF!="S",VLOOKUP('Raw Data'!A7013,References!#REF!,2,FALSE),(VLOOKUP($S7013,References!$B$3:$C$8,2,FALSE))),"")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4"/>
        <v>0</v>
      </c>
      <c r="T7014" s="98">
        <f t="shared" si="285"/>
        <v>0</v>
      </c>
      <c r="U7014" s="99" t="str">
        <f>IFERROR(IF(#REF!="S",VLOOKUP('Raw Data'!A7014,References!#REF!,2,FALSE),(VLOOKUP($S7014,References!$B$3:$C$8,2,FALSE))),"")</f>
        <v/>
      </c>
      <c r="W7014" s="66" t="str">
        <f>IFERROR(VLOOKUP($O7014,'Customer List'!$A$1:$J$488,10,FALSE),"")</f>
        <v/>
      </c>
    </row>
    <row r="7015" spans="18:23">
      <c r="R7015" s="97">
        <f t="shared" si="284"/>
        <v>0</v>
      </c>
      <c r="T7015" s="98">
        <f t="shared" si="285"/>
        <v>0</v>
      </c>
      <c r="U7015" s="99" t="str">
        <f>IFERROR(IF(#REF!="S",VLOOKUP('Raw Data'!A7015,References!#REF!,2,FALSE),(VLOOKUP($S7015,References!$B$3:$C$8,2,FALSE))),"")</f>
        <v/>
      </c>
      <c r="W7015" s="66" t="str">
        <f>IFERROR(VLOOKUP($O7015,'Customer List'!$A$1:$J$488,10,FALSE),"")</f>
        <v/>
      </c>
    </row>
    <row r="7016" spans="18:23">
      <c r="R7016" s="97">
        <f t="shared" ref="R7016:R7079" si="286">L7016-K7016</f>
        <v>0</v>
      </c>
      <c r="T7016" s="98">
        <f t="shared" si="285"/>
        <v>0</v>
      </c>
      <c r="U7016" s="99" t="str">
        <f>IFERROR(IF(#REF!="S",VLOOKUP('Raw Data'!A7016,References!#REF!,2,FALSE),(VLOOKUP($S7016,References!$B$3:$C$8,2,FALSE))),"")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6"/>
        <v>0</v>
      </c>
      <c r="T7017" s="98">
        <f t="shared" si="285"/>
        <v>0</v>
      </c>
      <c r="U7017" s="99" t="str">
        <f>IFERROR(IF(#REF!="S",VLOOKUP('Raw Data'!A7017,References!#REF!,2,FALSE),(VLOOKUP($S7017,References!$B$3:$C$8,2,FALSE))),"")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6"/>
        <v>0</v>
      </c>
      <c r="T7018" s="98">
        <f t="shared" si="285"/>
        <v>0</v>
      </c>
      <c r="U7018" s="99" t="str">
        <f>IFERROR(IF(#REF!="S",VLOOKUP('Raw Data'!A7018,References!#REF!,2,FALSE),(VLOOKUP($S7018,References!$B$3:$C$8,2,FALSE))),"")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6"/>
        <v>0</v>
      </c>
      <c r="T7019" s="98">
        <f t="shared" si="285"/>
        <v>0</v>
      </c>
      <c r="U7019" s="99" t="str">
        <f>IFERROR(IF(#REF!="S",VLOOKUP('Raw Data'!A7019,References!#REF!,2,FALSE),(VLOOKUP($S7019,References!$B$3:$C$8,2,FALSE))),"")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6"/>
        <v>0</v>
      </c>
      <c r="T7020" s="98">
        <f t="shared" si="285"/>
        <v>0</v>
      </c>
      <c r="U7020" s="99" t="str">
        <f>IFERROR(IF(#REF!="S",VLOOKUP('Raw Data'!A7020,References!#REF!,2,FALSE),(VLOOKUP($S7020,References!$B$3:$C$8,2,FALSE))),"")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6"/>
        <v>0</v>
      </c>
      <c r="T7021" s="98">
        <f t="shared" si="285"/>
        <v>0</v>
      </c>
      <c r="U7021" s="99" t="str">
        <f>IFERROR(IF(#REF!="S",VLOOKUP('Raw Data'!A7021,References!#REF!,2,FALSE),(VLOOKUP($S7021,References!$B$3:$C$8,2,FALSE))),"")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6"/>
        <v>0</v>
      </c>
      <c r="T7022" s="98">
        <f t="shared" si="285"/>
        <v>0</v>
      </c>
      <c r="U7022" s="99" t="str">
        <f>IFERROR(IF(#REF!="S",VLOOKUP('Raw Data'!A7022,References!#REF!,2,FALSE),(VLOOKUP($S7022,References!$B$3:$C$8,2,FALSE))),"")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6"/>
        <v>0</v>
      </c>
      <c r="T7023" s="98">
        <f t="shared" si="285"/>
        <v>0</v>
      </c>
      <c r="U7023" s="99" t="str">
        <f>IFERROR(IF(#REF!="S",VLOOKUP('Raw Data'!A7023,References!#REF!,2,FALSE),(VLOOKUP($S7023,References!$B$3:$C$8,2,FALSE))),"")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6"/>
        <v>0</v>
      </c>
      <c r="T7024" s="98">
        <f t="shared" si="285"/>
        <v>0</v>
      </c>
      <c r="U7024" s="99" t="str">
        <f>IFERROR(IF(#REF!="S",VLOOKUP('Raw Data'!A7024,References!#REF!,2,FALSE),(VLOOKUP($S7024,References!$B$3:$C$8,2,FALSE))),"")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6"/>
        <v>0</v>
      </c>
      <c r="T7025" s="98">
        <f t="shared" si="285"/>
        <v>0</v>
      </c>
      <c r="U7025" s="99" t="str">
        <f>IFERROR(IF(#REF!="S",VLOOKUP('Raw Data'!A7025,References!#REF!,2,FALSE),(VLOOKUP($S7025,References!$B$3:$C$8,2,FALSE))),"")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6"/>
        <v>0</v>
      </c>
      <c r="T7026" s="98">
        <f t="shared" si="285"/>
        <v>0</v>
      </c>
      <c r="U7026" s="99" t="str">
        <f>IFERROR(IF(#REF!="S",VLOOKUP('Raw Data'!A7026,References!#REF!,2,FALSE),(VLOOKUP($S7026,References!$B$3:$C$8,2,FALSE))),"")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6"/>
        <v>0</v>
      </c>
      <c r="T7027" s="98">
        <f t="shared" si="285"/>
        <v>0</v>
      </c>
      <c r="U7027" s="99" t="str">
        <f>IFERROR(IF(#REF!="S",VLOOKUP('Raw Data'!A7027,References!#REF!,2,FALSE),(VLOOKUP($S7027,References!$B$3:$C$8,2,FALSE))),"")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6"/>
        <v>0</v>
      </c>
      <c r="T7028" s="98">
        <f t="shared" si="285"/>
        <v>0</v>
      </c>
      <c r="U7028" s="99" t="str">
        <f>IFERROR(IF(#REF!="S",VLOOKUP('Raw Data'!A7028,References!#REF!,2,FALSE),(VLOOKUP($S7028,References!$B$3:$C$8,2,FALSE))),"")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6"/>
        <v>0</v>
      </c>
      <c r="T7029" s="98">
        <f t="shared" si="285"/>
        <v>0</v>
      </c>
      <c r="U7029" s="99" t="str">
        <f>IFERROR(IF(#REF!="S",VLOOKUP('Raw Data'!A7029,References!#REF!,2,FALSE),(VLOOKUP($S7029,References!$B$3:$C$8,2,FALSE))),"")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6"/>
        <v>0</v>
      </c>
      <c r="T7030" s="98">
        <f t="shared" si="285"/>
        <v>0</v>
      </c>
      <c r="U7030" s="99" t="str">
        <f>IFERROR(IF(#REF!="S",VLOOKUP('Raw Data'!A7030,References!#REF!,2,FALSE),(VLOOKUP($S7030,References!$B$3:$C$8,2,FALSE))),"")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6"/>
        <v>0</v>
      </c>
      <c r="T7031" s="98">
        <f t="shared" si="285"/>
        <v>0</v>
      </c>
      <c r="U7031" s="99" t="str">
        <f>IFERROR(IF(#REF!="S",VLOOKUP('Raw Data'!A7031,References!#REF!,2,FALSE),(VLOOKUP($S7031,References!$B$3:$C$8,2,FALSE))),"")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6"/>
        <v>0</v>
      </c>
      <c r="T7032" s="98">
        <f t="shared" si="285"/>
        <v>0</v>
      </c>
      <c r="U7032" s="99" t="str">
        <f>IFERROR(IF(#REF!="S",VLOOKUP('Raw Data'!A7032,References!#REF!,2,FALSE),(VLOOKUP($S7032,References!$B$3:$C$8,2,FALSE))),"")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6"/>
        <v>0</v>
      </c>
      <c r="T7033" s="98">
        <f t="shared" si="285"/>
        <v>0</v>
      </c>
      <c r="U7033" s="99" t="str">
        <f>IFERROR(IF(#REF!="S",VLOOKUP('Raw Data'!A7033,References!#REF!,2,FALSE),(VLOOKUP($S7033,References!$B$3:$C$8,2,FALSE))),"")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6"/>
        <v>0</v>
      </c>
      <c r="T7034" s="98">
        <f t="shared" si="285"/>
        <v>0</v>
      </c>
      <c r="U7034" s="99" t="str">
        <f>IFERROR(IF(#REF!="S",VLOOKUP('Raw Data'!A7034,References!#REF!,2,FALSE),(VLOOKUP($S7034,References!$B$3:$C$8,2,FALSE))),"")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6"/>
        <v>0</v>
      </c>
      <c r="T7035" s="98">
        <f t="shared" si="285"/>
        <v>0</v>
      </c>
      <c r="U7035" s="99" t="str">
        <f>IFERROR(IF(#REF!="S",VLOOKUP('Raw Data'!A7035,References!#REF!,2,FALSE),(VLOOKUP($S7035,References!$B$3:$C$8,2,FALSE))),"")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6"/>
        <v>0</v>
      </c>
      <c r="T7036" s="98">
        <f t="shared" si="285"/>
        <v>0</v>
      </c>
      <c r="U7036" s="99" t="str">
        <f>IFERROR(IF(#REF!="S",VLOOKUP('Raw Data'!A7036,References!#REF!,2,FALSE),(VLOOKUP($S7036,References!$B$3:$C$8,2,FALSE))),"")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6"/>
        <v>0</v>
      </c>
      <c r="T7037" s="98">
        <f t="shared" si="285"/>
        <v>0</v>
      </c>
      <c r="U7037" s="99" t="str">
        <f>IFERROR(IF(#REF!="S",VLOOKUP('Raw Data'!A7037,References!#REF!,2,FALSE),(VLOOKUP($S7037,References!$B$3:$C$8,2,FALSE))),"")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6"/>
        <v>0</v>
      </c>
      <c r="T7038" s="98">
        <f t="shared" si="285"/>
        <v>0</v>
      </c>
      <c r="U7038" s="99" t="str">
        <f>IFERROR(IF(#REF!="S",VLOOKUP('Raw Data'!A7038,References!#REF!,2,FALSE),(VLOOKUP($S7038,References!$B$3:$C$8,2,FALSE))),"")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6"/>
        <v>0</v>
      </c>
      <c r="T7039" s="98">
        <f t="shared" si="285"/>
        <v>0</v>
      </c>
      <c r="U7039" s="99" t="str">
        <f>IFERROR(IF(#REF!="S",VLOOKUP('Raw Data'!A7039,References!#REF!,2,FALSE),(VLOOKUP($S7039,References!$B$3:$C$8,2,FALSE))),"")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6"/>
        <v>0</v>
      </c>
      <c r="T7040" s="98">
        <f t="shared" si="285"/>
        <v>0</v>
      </c>
      <c r="U7040" s="99" t="str">
        <f>IFERROR(IF(#REF!="S",VLOOKUP('Raw Data'!A7040,References!#REF!,2,FALSE),(VLOOKUP($S7040,References!$B$3:$C$8,2,FALSE))),"")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6"/>
        <v>0</v>
      </c>
      <c r="T7041" s="98">
        <f t="shared" si="285"/>
        <v>0</v>
      </c>
      <c r="U7041" s="99" t="str">
        <f>IFERROR(IF(#REF!="S",VLOOKUP('Raw Data'!A7041,References!#REF!,2,FALSE),(VLOOKUP($S7041,References!$B$3:$C$8,2,FALSE))),"")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6"/>
        <v>0</v>
      </c>
      <c r="T7042" s="98">
        <f t="shared" si="285"/>
        <v>0</v>
      </c>
      <c r="U7042" s="99" t="str">
        <f>IFERROR(IF(#REF!="S",VLOOKUP('Raw Data'!A7042,References!#REF!,2,FALSE),(VLOOKUP($S7042,References!$B$3:$C$8,2,FALSE))),"")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6"/>
        <v>0</v>
      </c>
      <c r="T7043" s="98">
        <f t="shared" si="285"/>
        <v>0</v>
      </c>
      <c r="U7043" s="99" t="str">
        <f>IFERROR(IF(#REF!="S",VLOOKUP('Raw Data'!A7043,References!#REF!,2,FALSE),(VLOOKUP($S7043,References!$B$3:$C$8,2,FALSE))),"")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6"/>
        <v>0</v>
      </c>
      <c r="T7044" s="98">
        <f t="shared" si="285"/>
        <v>0</v>
      </c>
      <c r="U7044" s="99" t="str">
        <f>IFERROR(IF(#REF!="S",VLOOKUP('Raw Data'!A7044,References!#REF!,2,FALSE),(VLOOKUP($S7044,References!$B$3:$C$8,2,FALSE))),"")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6"/>
        <v>0</v>
      </c>
      <c r="T7045" s="98">
        <f t="shared" si="285"/>
        <v>0</v>
      </c>
      <c r="U7045" s="99" t="str">
        <f>IFERROR(IF(#REF!="S",VLOOKUP('Raw Data'!A7045,References!#REF!,2,FALSE),(VLOOKUP($S7045,References!$B$3:$C$8,2,FALSE))),"")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6"/>
        <v>0</v>
      </c>
      <c r="T7046" s="98">
        <f t="shared" si="285"/>
        <v>0</v>
      </c>
      <c r="U7046" s="99" t="str">
        <f>IFERROR(IF(#REF!="S",VLOOKUP('Raw Data'!A7046,References!#REF!,2,FALSE),(VLOOKUP($S7046,References!$B$3:$C$8,2,FALSE))),"")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6"/>
        <v>0</v>
      </c>
      <c r="T7047" s="98">
        <f t="shared" si="285"/>
        <v>0</v>
      </c>
      <c r="U7047" s="99" t="str">
        <f>IFERROR(IF(#REF!="S",VLOOKUP('Raw Data'!A7047,References!#REF!,2,FALSE),(VLOOKUP($S7047,References!$B$3:$C$8,2,FALSE))),"")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6"/>
        <v>0</v>
      </c>
      <c r="T7048" s="98">
        <f t="shared" si="285"/>
        <v>0</v>
      </c>
      <c r="U7048" s="99" t="str">
        <f>IFERROR(IF(#REF!="S",VLOOKUP('Raw Data'!A7048,References!#REF!,2,FALSE),(VLOOKUP($S7048,References!$B$3:$C$8,2,FALSE))),"")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6"/>
        <v>0</v>
      </c>
      <c r="T7049" s="98">
        <f t="shared" si="285"/>
        <v>0</v>
      </c>
      <c r="U7049" s="99" t="str">
        <f>IFERROR(IF(#REF!="S",VLOOKUP('Raw Data'!A7049,References!#REF!,2,FALSE),(VLOOKUP($S7049,References!$B$3:$C$8,2,FALSE))),"")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6"/>
        <v>0</v>
      </c>
      <c r="T7050" s="98">
        <f t="shared" si="285"/>
        <v>0</v>
      </c>
      <c r="U7050" s="99" t="str">
        <f>IFERROR(IF(#REF!="S",VLOOKUP('Raw Data'!A7050,References!#REF!,2,FALSE),(VLOOKUP($S7050,References!$B$3:$C$8,2,FALSE))),"")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6"/>
        <v>0</v>
      </c>
      <c r="T7051" s="98">
        <f t="shared" si="285"/>
        <v>0</v>
      </c>
      <c r="U7051" s="99" t="str">
        <f>IFERROR(IF(#REF!="S",VLOOKUP('Raw Data'!A7051,References!#REF!,2,FALSE),(VLOOKUP($S7051,References!$B$3:$C$8,2,FALSE))),"")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6"/>
        <v>0</v>
      </c>
      <c r="T7052" s="98">
        <f t="shared" si="285"/>
        <v>0</v>
      </c>
      <c r="U7052" s="99" t="str">
        <f>IFERROR(IF(#REF!="S",VLOOKUP('Raw Data'!A7052,References!#REF!,2,FALSE),(VLOOKUP($S7052,References!$B$3:$C$8,2,FALSE))),"")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6"/>
        <v>0</v>
      </c>
      <c r="T7053" s="98">
        <f t="shared" si="285"/>
        <v>0</v>
      </c>
      <c r="U7053" s="99" t="str">
        <f>IFERROR(IF(#REF!="S",VLOOKUP('Raw Data'!A7053,References!#REF!,2,FALSE),(VLOOKUP($S7053,References!$B$3:$C$8,2,FALSE))),"")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6"/>
        <v>0</v>
      </c>
      <c r="T7054" s="98">
        <f t="shared" si="285"/>
        <v>0</v>
      </c>
      <c r="U7054" s="99" t="str">
        <f>IFERROR(IF(#REF!="S",VLOOKUP('Raw Data'!A7054,References!#REF!,2,FALSE),(VLOOKUP($S7054,References!$B$3:$C$8,2,FALSE))),"")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6"/>
        <v>0</v>
      </c>
      <c r="T7055" s="98">
        <f t="shared" si="285"/>
        <v>0</v>
      </c>
      <c r="U7055" s="99" t="str">
        <f>IFERROR(IF(#REF!="S",VLOOKUP('Raw Data'!A7055,References!#REF!,2,FALSE),(VLOOKUP($S7055,References!$B$3:$C$8,2,FALSE))),"")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6"/>
        <v>0</v>
      </c>
      <c r="T7056" s="98">
        <f t="shared" ref="T7056:T7119" si="287">IF(S7056="50 - Cleaning Fee",1,HOUR($R7056)+MINUTE(R7056)/60)</f>
        <v>0</v>
      </c>
      <c r="U7056" s="99" t="str">
        <f>IFERROR(IF(#REF!="S",VLOOKUP('Raw Data'!A7056,References!#REF!,2,FALSE),(VLOOKUP($S7056,References!$B$3:$C$8,2,FALSE))),"")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6"/>
        <v>0</v>
      </c>
      <c r="T7057" s="98">
        <f t="shared" si="287"/>
        <v>0</v>
      </c>
      <c r="U7057" s="99" t="str">
        <f>IFERROR(IF(#REF!="S",VLOOKUP('Raw Data'!A7057,References!#REF!,2,FALSE),(VLOOKUP($S7057,References!$B$3:$C$8,2,FALSE))),"")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6"/>
        <v>0</v>
      </c>
      <c r="T7058" s="98">
        <f t="shared" si="287"/>
        <v>0</v>
      </c>
      <c r="U7058" s="99" t="str">
        <f>IFERROR(IF(#REF!="S",VLOOKUP('Raw Data'!A7058,References!#REF!,2,FALSE),(VLOOKUP($S7058,References!$B$3:$C$8,2,FALSE))),"")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6"/>
        <v>0</v>
      </c>
      <c r="T7059" s="98">
        <f t="shared" si="287"/>
        <v>0</v>
      </c>
      <c r="U7059" s="99" t="str">
        <f>IFERROR(IF(#REF!="S",VLOOKUP('Raw Data'!A7059,References!#REF!,2,FALSE),(VLOOKUP($S7059,References!$B$3:$C$8,2,FALSE))),"")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6"/>
        <v>0</v>
      </c>
      <c r="T7060" s="98">
        <f t="shared" si="287"/>
        <v>0</v>
      </c>
      <c r="U7060" s="99" t="str">
        <f>IFERROR(IF(#REF!="S",VLOOKUP('Raw Data'!A7060,References!#REF!,2,FALSE),(VLOOKUP($S7060,References!$B$3:$C$8,2,FALSE))),"")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6"/>
        <v>0</v>
      </c>
      <c r="T7061" s="98">
        <f t="shared" si="287"/>
        <v>0</v>
      </c>
      <c r="U7061" s="99" t="str">
        <f>IFERROR(IF(#REF!="S",VLOOKUP('Raw Data'!A7061,References!#REF!,2,FALSE),(VLOOKUP($S7061,References!$B$3:$C$8,2,FALSE))),"")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6"/>
        <v>0</v>
      </c>
      <c r="T7062" s="98">
        <f t="shared" si="287"/>
        <v>0</v>
      </c>
      <c r="U7062" s="99" t="str">
        <f>IFERROR(IF(#REF!="S",VLOOKUP('Raw Data'!A7062,References!#REF!,2,FALSE),(VLOOKUP($S7062,References!$B$3:$C$8,2,FALSE))),"")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6"/>
        <v>0</v>
      </c>
      <c r="T7063" s="98">
        <f t="shared" si="287"/>
        <v>0</v>
      </c>
      <c r="U7063" s="99" t="str">
        <f>IFERROR(IF(#REF!="S",VLOOKUP('Raw Data'!A7063,References!#REF!,2,FALSE),(VLOOKUP($S7063,References!$B$3:$C$8,2,FALSE))),"")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6"/>
        <v>0</v>
      </c>
      <c r="T7064" s="98">
        <f t="shared" si="287"/>
        <v>0</v>
      </c>
      <c r="U7064" s="99" t="str">
        <f>IFERROR(IF(#REF!="S",VLOOKUP('Raw Data'!A7064,References!#REF!,2,FALSE),(VLOOKUP($S7064,References!$B$3:$C$8,2,FALSE))),"")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6"/>
        <v>0</v>
      </c>
      <c r="T7065" s="98">
        <f t="shared" si="287"/>
        <v>0</v>
      </c>
      <c r="U7065" s="99" t="str">
        <f>IFERROR(IF(#REF!="S",VLOOKUP('Raw Data'!A7065,References!#REF!,2,FALSE),(VLOOKUP($S7065,References!$B$3:$C$8,2,FALSE))),"")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6"/>
        <v>0</v>
      </c>
      <c r="T7066" s="98">
        <f t="shared" si="287"/>
        <v>0</v>
      </c>
      <c r="U7066" s="99" t="str">
        <f>IFERROR(IF(#REF!="S",VLOOKUP('Raw Data'!A7066,References!#REF!,2,FALSE),(VLOOKUP($S7066,References!$B$3:$C$8,2,FALSE))),"")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6"/>
        <v>0</v>
      </c>
      <c r="T7067" s="98">
        <f t="shared" si="287"/>
        <v>0</v>
      </c>
      <c r="U7067" s="99" t="str">
        <f>IFERROR(IF(#REF!="S",VLOOKUP('Raw Data'!A7067,References!#REF!,2,FALSE),(VLOOKUP($S7067,References!$B$3:$C$8,2,FALSE))),"")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6"/>
        <v>0</v>
      </c>
      <c r="T7068" s="98">
        <f t="shared" si="287"/>
        <v>0</v>
      </c>
      <c r="U7068" s="99" t="str">
        <f>IFERROR(IF(#REF!="S",VLOOKUP('Raw Data'!A7068,References!#REF!,2,FALSE),(VLOOKUP($S7068,References!$B$3:$C$8,2,FALSE))),"")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6"/>
        <v>0</v>
      </c>
      <c r="T7069" s="98">
        <f t="shared" si="287"/>
        <v>0</v>
      </c>
      <c r="U7069" s="99" t="str">
        <f>IFERROR(IF(#REF!="S",VLOOKUP('Raw Data'!A7069,References!#REF!,2,FALSE),(VLOOKUP($S7069,References!$B$3:$C$8,2,FALSE))),"")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6"/>
        <v>0</v>
      </c>
      <c r="T7070" s="98">
        <f t="shared" si="287"/>
        <v>0</v>
      </c>
      <c r="U7070" s="99" t="str">
        <f>IFERROR(IF(#REF!="S",VLOOKUP('Raw Data'!A7070,References!#REF!,2,FALSE),(VLOOKUP($S7070,References!$B$3:$C$8,2,FALSE))),"")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6"/>
        <v>0</v>
      </c>
      <c r="T7071" s="98">
        <f t="shared" si="287"/>
        <v>0</v>
      </c>
      <c r="U7071" s="99" t="str">
        <f>IFERROR(IF(#REF!="S",VLOOKUP('Raw Data'!A7071,References!#REF!,2,FALSE),(VLOOKUP($S7071,References!$B$3:$C$8,2,FALSE))),"")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6"/>
        <v>0</v>
      </c>
      <c r="T7072" s="98">
        <f t="shared" si="287"/>
        <v>0</v>
      </c>
      <c r="U7072" s="99" t="str">
        <f>IFERROR(IF(#REF!="S",VLOOKUP('Raw Data'!A7072,References!#REF!,2,FALSE),(VLOOKUP($S7072,References!$B$3:$C$8,2,FALSE))),"")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6"/>
        <v>0</v>
      </c>
      <c r="T7073" s="98">
        <f t="shared" si="287"/>
        <v>0</v>
      </c>
      <c r="U7073" s="99" t="str">
        <f>IFERROR(IF(#REF!="S",VLOOKUP('Raw Data'!A7073,References!#REF!,2,FALSE),(VLOOKUP($S7073,References!$B$3:$C$8,2,FALSE))),"")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6"/>
        <v>0</v>
      </c>
      <c r="T7074" s="98">
        <f t="shared" si="287"/>
        <v>0</v>
      </c>
      <c r="U7074" s="99" t="str">
        <f>IFERROR(IF(#REF!="S",VLOOKUP('Raw Data'!A7074,References!#REF!,2,FALSE),(VLOOKUP($S7074,References!$B$3:$C$8,2,FALSE))),"")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6"/>
        <v>0</v>
      </c>
      <c r="T7075" s="98">
        <f t="shared" si="287"/>
        <v>0</v>
      </c>
      <c r="U7075" s="99" t="str">
        <f>IFERROR(IF(#REF!="S",VLOOKUP('Raw Data'!A7075,References!#REF!,2,FALSE),(VLOOKUP($S7075,References!$B$3:$C$8,2,FALSE))),"")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6"/>
        <v>0</v>
      </c>
      <c r="T7076" s="98">
        <f t="shared" si="287"/>
        <v>0</v>
      </c>
      <c r="U7076" s="99" t="str">
        <f>IFERROR(IF(#REF!="S",VLOOKUP('Raw Data'!A7076,References!#REF!,2,FALSE),(VLOOKUP($S7076,References!$B$3:$C$8,2,FALSE))),"")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6"/>
        <v>0</v>
      </c>
      <c r="T7077" s="98">
        <f t="shared" si="287"/>
        <v>0</v>
      </c>
      <c r="U7077" s="99" t="str">
        <f>IFERROR(IF(#REF!="S",VLOOKUP('Raw Data'!A7077,References!#REF!,2,FALSE),(VLOOKUP($S7077,References!$B$3:$C$8,2,FALSE))),"")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6"/>
        <v>0</v>
      </c>
      <c r="T7078" s="98">
        <f t="shared" si="287"/>
        <v>0</v>
      </c>
      <c r="U7078" s="99" t="str">
        <f>IFERROR(IF(#REF!="S",VLOOKUP('Raw Data'!A7078,References!#REF!,2,FALSE),(VLOOKUP($S7078,References!$B$3:$C$8,2,FALSE))),"")</f>
        <v/>
      </c>
      <c r="W7078" s="66" t="str">
        <f>IFERROR(VLOOKUP($O7078,'Customer List'!$A$1:$J$488,10,FALSE),"")</f>
        <v/>
      </c>
    </row>
    <row r="7079" spans="18:23">
      <c r="R7079" s="97">
        <f t="shared" si="286"/>
        <v>0</v>
      </c>
      <c r="T7079" s="98">
        <f t="shared" si="287"/>
        <v>0</v>
      </c>
      <c r="U7079" s="99" t="str">
        <f>IFERROR(IF(#REF!="S",VLOOKUP('Raw Data'!A7079,References!#REF!,2,FALSE),(VLOOKUP($S7079,References!$B$3:$C$8,2,FALSE))),"")</f>
        <v/>
      </c>
      <c r="W7079" s="66" t="str">
        <f>IFERROR(VLOOKUP($O7079,'Customer List'!$A$1:$J$488,10,FALSE),"")</f>
        <v/>
      </c>
    </row>
    <row r="7080" spans="18:23">
      <c r="R7080" s="97">
        <f t="shared" ref="R7080:R7143" si="288">L7080-K7080</f>
        <v>0</v>
      </c>
      <c r="T7080" s="98">
        <f t="shared" si="287"/>
        <v>0</v>
      </c>
      <c r="U7080" s="99" t="str">
        <f>IFERROR(IF(#REF!="S",VLOOKUP('Raw Data'!A7080,References!#REF!,2,FALSE),(VLOOKUP($S7080,References!$B$3:$C$8,2,FALSE))),"")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88"/>
        <v>0</v>
      </c>
      <c r="T7081" s="98">
        <f t="shared" si="287"/>
        <v>0</v>
      </c>
      <c r="U7081" s="99" t="str">
        <f>IFERROR(IF(#REF!="S",VLOOKUP('Raw Data'!A7081,References!#REF!,2,FALSE),(VLOOKUP($S7081,References!$B$3:$C$8,2,FALSE))),"")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88"/>
        <v>0</v>
      </c>
      <c r="T7082" s="98">
        <f t="shared" si="287"/>
        <v>0</v>
      </c>
      <c r="U7082" s="99" t="str">
        <f>IFERROR(IF(#REF!="S",VLOOKUP('Raw Data'!A7082,References!#REF!,2,FALSE),(VLOOKUP($S7082,References!$B$3:$C$8,2,FALSE))),"")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88"/>
        <v>0</v>
      </c>
      <c r="T7083" s="98">
        <f t="shared" si="287"/>
        <v>0</v>
      </c>
      <c r="U7083" s="99" t="str">
        <f>IFERROR(IF(#REF!="S",VLOOKUP('Raw Data'!A7083,References!#REF!,2,FALSE),(VLOOKUP($S7083,References!$B$3:$C$8,2,FALSE))),"")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88"/>
        <v>0</v>
      </c>
      <c r="T7084" s="98">
        <f t="shared" si="287"/>
        <v>0</v>
      </c>
      <c r="U7084" s="99" t="str">
        <f>IFERROR(IF(#REF!="S",VLOOKUP('Raw Data'!A7084,References!#REF!,2,FALSE),(VLOOKUP($S7084,References!$B$3:$C$8,2,FALSE))),"")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88"/>
        <v>0</v>
      </c>
      <c r="T7085" s="98">
        <f t="shared" si="287"/>
        <v>0</v>
      </c>
      <c r="U7085" s="99" t="str">
        <f>IFERROR(IF(#REF!="S",VLOOKUP('Raw Data'!A7085,References!#REF!,2,FALSE),(VLOOKUP($S7085,References!$B$3:$C$8,2,FALSE))),"")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88"/>
        <v>0</v>
      </c>
      <c r="T7086" s="98">
        <f t="shared" si="287"/>
        <v>0</v>
      </c>
      <c r="U7086" s="99" t="str">
        <f>IFERROR(IF(#REF!="S",VLOOKUP('Raw Data'!A7086,References!#REF!,2,FALSE),(VLOOKUP($S7086,References!$B$3:$C$8,2,FALSE))),"")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88"/>
        <v>0</v>
      </c>
      <c r="T7087" s="98">
        <f t="shared" si="287"/>
        <v>0</v>
      </c>
      <c r="U7087" s="99" t="str">
        <f>IFERROR(IF(#REF!="S",VLOOKUP('Raw Data'!A7087,References!#REF!,2,FALSE),(VLOOKUP($S7087,References!$B$3:$C$8,2,FALSE))),"")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88"/>
        <v>0</v>
      </c>
      <c r="T7088" s="98">
        <f t="shared" si="287"/>
        <v>0</v>
      </c>
      <c r="U7088" s="99" t="str">
        <f>IFERROR(IF(#REF!="S",VLOOKUP('Raw Data'!A7088,References!#REF!,2,FALSE),(VLOOKUP($S7088,References!$B$3:$C$8,2,FALSE))),"")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88"/>
        <v>0</v>
      </c>
      <c r="T7089" s="98">
        <f t="shared" si="287"/>
        <v>0</v>
      </c>
      <c r="U7089" s="99" t="str">
        <f>IFERROR(IF(#REF!="S",VLOOKUP('Raw Data'!A7089,References!#REF!,2,FALSE),(VLOOKUP($S7089,References!$B$3:$C$8,2,FALSE))),"")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88"/>
        <v>0</v>
      </c>
      <c r="T7090" s="98">
        <f t="shared" si="287"/>
        <v>0</v>
      </c>
      <c r="U7090" s="99" t="str">
        <f>IFERROR(IF(#REF!="S",VLOOKUP('Raw Data'!A7090,References!#REF!,2,FALSE),(VLOOKUP($S7090,References!$B$3:$C$8,2,FALSE))),"")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88"/>
        <v>0</v>
      </c>
      <c r="T7091" s="98">
        <f t="shared" si="287"/>
        <v>0</v>
      </c>
      <c r="U7091" s="99" t="str">
        <f>IFERROR(IF(#REF!="S",VLOOKUP('Raw Data'!A7091,References!#REF!,2,FALSE),(VLOOKUP($S7091,References!$B$3:$C$8,2,FALSE))),"")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88"/>
        <v>0</v>
      </c>
      <c r="T7092" s="98">
        <f t="shared" si="287"/>
        <v>0</v>
      </c>
      <c r="U7092" s="99" t="str">
        <f>IFERROR(IF(#REF!="S",VLOOKUP('Raw Data'!A7092,References!#REF!,2,FALSE),(VLOOKUP($S7092,References!$B$3:$C$8,2,FALSE))),"")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88"/>
        <v>0</v>
      </c>
      <c r="T7093" s="98">
        <f t="shared" si="287"/>
        <v>0</v>
      </c>
      <c r="U7093" s="99" t="str">
        <f>IFERROR(IF(#REF!="S",VLOOKUP('Raw Data'!A7093,References!#REF!,2,FALSE),(VLOOKUP($S7093,References!$B$3:$C$8,2,FALSE))),"")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88"/>
        <v>0</v>
      </c>
      <c r="T7094" s="98">
        <f t="shared" si="287"/>
        <v>0</v>
      </c>
      <c r="U7094" s="99" t="str">
        <f>IFERROR(IF(#REF!="S",VLOOKUP('Raw Data'!A7094,References!#REF!,2,FALSE),(VLOOKUP($S7094,References!$B$3:$C$8,2,FALSE))),"")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88"/>
        <v>0</v>
      </c>
      <c r="T7095" s="98">
        <f t="shared" si="287"/>
        <v>0</v>
      </c>
      <c r="U7095" s="99" t="str">
        <f>IFERROR(IF(#REF!="S",VLOOKUP('Raw Data'!A7095,References!#REF!,2,FALSE),(VLOOKUP($S7095,References!$B$3:$C$8,2,FALSE))),"")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88"/>
        <v>0</v>
      </c>
      <c r="T7096" s="98">
        <f t="shared" si="287"/>
        <v>0</v>
      </c>
      <c r="U7096" s="99" t="str">
        <f>IFERROR(IF(#REF!="S",VLOOKUP('Raw Data'!A7096,References!#REF!,2,FALSE),(VLOOKUP($S7096,References!$B$3:$C$8,2,FALSE))),"")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88"/>
        <v>0</v>
      </c>
      <c r="T7097" s="98">
        <f t="shared" si="287"/>
        <v>0</v>
      </c>
      <c r="U7097" s="99" t="str">
        <f>IFERROR(IF(#REF!="S",VLOOKUP('Raw Data'!A7097,References!#REF!,2,FALSE),(VLOOKUP($S7097,References!$B$3:$C$8,2,FALSE))),"")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88"/>
        <v>0</v>
      </c>
      <c r="T7098" s="98">
        <f t="shared" si="287"/>
        <v>0</v>
      </c>
      <c r="U7098" s="99" t="str">
        <f>IFERROR(IF(#REF!="S",VLOOKUP('Raw Data'!A7098,References!#REF!,2,FALSE),(VLOOKUP($S7098,References!$B$3:$C$8,2,FALSE))),"")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88"/>
        <v>0</v>
      </c>
      <c r="T7099" s="98">
        <f t="shared" si="287"/>
        <v>0</v>
      </c>
      <c r="U7099" s="99" t="str">
        <f>IFERROR(IF(#REF!="S",VLOOKUP('Raw Data'!A7099,References!#REF!,2,FALSE),(VLOOKUP($S7099,References!$B$3:$C$8,2,FALSE))),"")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88"/>
        <v>0</v>
      </c>
      <c r="T7100" s="98">
        <f t="shared" si="287"/>
        <v>0</v>
      </c>
      <c r="U7100" s="99" t="str">
        <f>IFERROR(IF(#REF!="S",VLOOKUP('Raw Data'!A7100,References!#REF!,2,FALSE),(VLOOKUP($S7100,References!$B$3:$C$8,2,FALSE))),"")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88"/>
        <v>0</v>
      </c>
      <c r="T7101" s="98">
        <f t="shared" si="287"/>
        <v>0</v>
      </c>
      <c r="U7101" s="99" t="str">
        <f>IFERROR(IF(#REF!="S",VLOOKUP('Raw Data'!A7101,References!#REF!,2,FALSE),(VLOOKUP($S7101,References!$B$3:$C$8,2,FALSE))),"")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88"/>
        <v>0</v>
      </c>
      <c r="T7102" s="98">
        <f t="shared" si="287"/>
        <v>0</v>
      </c>
      <c r="U7102" s="99" t="str">
        <f>IFERROR(IF(#REF!="S",VLOOKUP('Raw Data'!A7102,References!#REF!,2,FALSE),(VLOOKUP($S7102,References!$B$3:$C$8,2,FALSE))),"")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88"/>
        <v>0</v>
      </c>
      <c r="T7103" s="98">
        <f t="shared" si="287"/>
        <v>0</v>
      </c>
      <c r="U7103" s="99" t="str">
        <f>IFERROR(IF(#REF!="S",VLOOKUP('Raw Data'!A7103,References!#REF!,2,FALSE),(VLOOKUP($S7103,References!$B$3:$C$8,2,FALSE))),"")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88"/>
        <v>0</v>
      </c>
      <c r="T7104" s="98">
        <f t="shared" si="287"/>
        <v>0</v>
      </c>
      <c r="U7104" s="99" t="str">
        <f>IFERROR(IF(#REF!="S",VLOOKUP('Raw Data'!A7104,References!#REF!,2,FALSE),(VLOOKUP($S7104,References!$B$3:$C$8,2,FALSE))),"")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88"/>
        <v>0</v>
      </c>
      <c r="T7105" s="98">
        <f t="shared" si="287"/>
        <v>0</v>
      </c>
      <c r="U7105" s="99" t="str">
        <f>IFERROR(IF(#REF!="S",VLOOKUP('Raw Data'!A7105,References!#REF!,2,FALSE),(VLOOKUP($S7105,References!$B$3:$C$8,2,FALSE))),"")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88"/>
        <v>0</v>
      </c>
      <c r="T7106" s="98">
        <f t="shared" si="287"/>
        <v>0</v>
      </c>
      <c r="U7106" s="99" t="str">
        <f>IFERROR(IF(#REF!="S",VLOOKUP('Raw Data'!A7106,References!#REF!,2,FALSE),(VLOOKUP($S7106,References!$B$3:$C$8,2,FALSE))),"")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88"/>
        <v>0</v>
      </c>
      <c r="T7107" s="98">
        <f t="shared" si="287"/>
        <v>0</v>
      </c>
      <c r="U7107" s="99" t="str">
        <f>IFERROR(IF(#REF!="S",VLOOKUP('Raw Data'!A7107,References!#REF!,2,FALSE),(VLOOKUP($S7107,References!$B$3:$C$8,2,FALSE))),"")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88"/>
        <v>0</v>
      </c>
      <c r="T7108" s="98">
        <f t="shared" si="287"/>
        <v>0</v>
      </c>
      <c r="U7108" s="99" t="str">
        <f>IFERROR(IF(#REF!="S",VLOOKUP('Raw Data'!A7108,References!#REF!,2,FALSE),(VLOOKUP($S7108,References!$B$3:$C$8,2,FALSE))),"")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88"/>
        <v>0</v>
      </c>
      <c r="T7109" s="98">
        <f t="shared" si="287"/>
        <v>0</v>
      </c>
      <c r="U7109" s="99" t="str">
        <f>IFERROR(IF(#REF!="S",VLOOKUP('Raw Data'!A7109,References!#REF!,2,FALSE),(VLOOKUP($S7109,References!$B$3:$C$8,2,FALSE))),"")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88"/>
        <v>0</v>
      </c>
      <c r="T7110" s="98">
        <f t="shared" si="287"/>
        <v>0</v>
      </c>
      <c r="U7110" s="99" t="str">
        <f>IFERROR(IF(#REF!="S",VLOOKUP('Raw Data'!A7110,References!#REF!,2,FALSE),(VLOOKUP($S7110,References!$B$3:$C$8,2,FALSE))),"")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88"/>
        <v>0</v>
      </c>
      <c r="T7111" s="98">
        <f t="shared" si="287"/>
        <v>0</v>
      </c>
      <c r="U7111" s="99" t="str">
        <f>IFERROR(IF(#REF!="S",VLOOKUP('Raw Data'!A7111,References!#REF!,2,FALSE),(VLOOKUP($S7111,References!$B$3:$C$8,2,FALSE))),"")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88"/>
        <v>0</v>
      </c>
      <c r="T7112" s="98">
        <f t="shared" si="287"/>
        <v>0</v>
      </c>
      <c r="U7112" s="99" t="str">
        <f>IFERROR(IF(#REF!="S",VLOOKUP('Raw Data'!A7112,References!#REF!,2,FALSE),(VLOOKUP($S7112,References!$B$3:$C$8,2,FALSE))),"")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88"/>
        <v>0</v>
      </c>
      <c r="T7113" s="98">
        <f t="shared" si="287"/>
        <v>0</v>
      </c>
      <c r="U7113" s="99" t="str">
        <f>IFERROR(IF(#REF!="S",VLOOKUP('Raw Data'!A7113,References!#REF!,2,FALSE),(VLOOKUP($S7113,References!$B$3:$C$8,2,FALSE))),"")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88"/>
        <v>0</v>
      </c>
      <c r="T7114" s="98">
        <f t="shared" si="287"/>
        <v>0</v>
      </c>
      <c r="U7114" s="99" t="str">
        <f>IFERROR(IF(#REF!="S",VLOOKUP('Raw Data'!A7114,References!#REF!,2,FALSE),(VLOOKUP($S7114,References!$B$3:$C$8,2,FALSE))),"")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88"/>
        <v>0</v>
      </c>
      <c r="T7115" s="98">
        <f t="shared" si="287"/>
        <v>0</v>
      </c>
      <c r="U7115" s="99" t="str">
        <f>IFERROR(IF(#REF!="S",VLOOKUP('Raw Data'!A7115,References!#REF!,2,FALSE),(VLOOKUP($S7115,References!$B$3:$C$8,2,FALSE))),"")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88"/>
        <v>0</v>
      </c>
      <c r="T7116" s="98">
        <f t="shared" si="287"/>
        <v>0</v>
      </c>
      <c r="U7116" s="99" t="str">
        <f>IFERROR(IF(#REF!="S",VLOOKUP('Raw Data'!A7116,References!#REF!,2,FALSE),(VLOOKUP($S7116,References!$B$3:$C$8,2,FALSE))),"")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88"/>
        <v>0</v>
      </c>
      <c r="T7117" s="98">
        <f t="shared" si="287"/>
        <v>0</v>
      </c>
      <c r="U7117" s="99" t="str">
        <f>IFERROR(IF(#REF!="S",VLOOKUP('Raw Data'!A7117,References!#REF!,2,FALSE),(VLOOKUP($S7117,References!$B$3:$C$8,2,FALSE))),"")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88"/>
        <v>0</v>
      </c>
      <c r="T7118" s="98">
        <f t="shared" si="287"/>
        <v>0</v>
      </c>
      <c r="U7118" s="99" t="str">
        <f>IFERROR(IF(#REF!="S",VLOOKUP('Raw Data'!A7118,References!#REF!,2,FALSE),(VLOOKUP($S7118,References!$B$3:$C$8,2,FALSE))),"")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88"/>
        <v>0</v>
      </c>
      <c r="T7119" s="98">
        <f t="shared" si="287"/>
        <v>0</v>
      </c>
      <c r="U7119" s="99" t="str">
        <f>IFERROR(IF(#REF!="S",VLOOKUP('Raw Data'!A7119,References!#REF!,2,FALSE),(VLOOKUP($S7119,References!$B$3:$C$8,2,FALSE))),"")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88"/>
        <v>0</v>
      </c>
      <c r="T7120" s="98">
        <f t="shared" ref="T7120:T7183" si="289">IF(S7120="50 - Cleaning Fee",1,HOUR($R7120)+MINUTE(R7120)/60)</f>
        <v>0</v>
      </c>
      <c r="U7120" s="99" t="str">
        <f>IFERROR(IF(#REF!="S",VLOOKUP('Raw Data'!A7120,References!#REF!,2,FALSE),(VLOOKUP($S7120,References!$B$3:$C$8,2,FALSE))),"")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88"/>
        <v>0</v>
      </c>
      <c r="T7121" s="98">
        <f t="shared" si="289"/>
        <v>0</v>
      </c>
      <c r="U7121" s="99" t="str">
        <f>IFERROR(IF(#REF!="S",VLOOKUP('Raw Data'!A7121,References!#REF!,2,FALSE),(VLOOKUP($S7121,References!$B$3:$C$8,2,FALSE))),"")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88"/>
        <v>0</v>
      </c>
      <c r="T7122" s="98">
        <f t="shared" si="289"/>
        <v>0</v>
      </c>
      <c r="U7122" s="99" t="str">
        <f>IFERROR(IF(#REF!="S",VLOOKUP('Raw Data'!A7122,References!#REF!,2,FALSE),(VLOOKUP($S7122,References!$B$3:$C$8,2,FALSE))),"")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88"/>
        <v>0</v>
      </c>
      <c r="T7123" s="98">
        <f t="shared" si="289"/>
        <v>0</v>
      </c>
      <c r="U7123" s="99" t="str">
        <f>IFERROR(IF(#REF!="S",VLOOKUP('Raw Data'!A7123,References!#REF!,2,FALSE),(VLOOKUP($S7123,References!$B$3:$C$8,2,FALSE))),"")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88"/>
        <v>0</v>
      </c>
      <c r="T7124" s="98">
        <f t="shared" si="289"/>
        <v>0</v>
      </c>
      <c r="U7124" s="99" t="str">
        <f>IFERROR(IF(#REF!="S",VLOOKUP('Raw Data'!A7124,References!#REF!,2,FALSE),(VLOOKUP($S7124,References!$B$3:$C$8,2,FALSE))),"")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88"/>
        <v>0</v>
      </c>
      <c r="T7125" s="98">
        <f t="shared" si="289"/>
        <v>0</v>
      </c>
      <c r="U7125" s="99" t="str">
        <f>IFERROR(IF(#REF!="S",VLOOKUP('Raw Data'!A7125,References!#REF!,2,FALSE),(VLOOKUP($S7125,References!$B$3:$C$8,2,FALSE))),"")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88"/>
        <v>0</v>
      </c>
      <c r="T7126" s="98">
        <f t="shared" si="289"/>
        <v>0</v>
      </c>
      <c r="U7126" s="99" t="str">
        <f>IFERROR(IF(#REF!="S",VLOOKUP('Raw Data'!A7126,References!#REF!,2,FALSE),(VLOOKUP($S7126,References!$B$3:$C$8,2,FALSE))),"")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88"/>
        <v>0</v>
      </c>
      <c r="T7127" s="98">
        <f t="shared" si="289"/>
        <v>0</v>
      </c>
      <c r="U7127" s="99" t="str">
        <f>IFERROR(IF(#REF!="S",VLOOKUP('Raw Data'!A7127,References!#REF!,2,FALSE),(VLOOKUP($S7127,References!$B$3:$C$8,2,FALSE))),"")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88"/>
        <v>0</v>
      </c>
      <c r="T7128" s="98">
        <f t="shared" si="289"/>
        <v>0</v>
      </c>
      <c r="U7128" s="99" t="str">
        <f>IFERROR(IF(#REF!="S",VLOOKUP('Raw Data'!A7128,References!#REF!,2,FALSE),(VLOOKUP($S7128,References!$B$3:$C$8,2,FALSE))),"")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88"/>
        <v>0</v>
      </c>
      <c r="T7129" s="98">
        <f t="shared" si="289"/>
        <v>0</v>
      </c>
      <c r="U7129" s="99" t="str">
        <f>IFERROR(IF(#REF!="S",VLOOKUP('Raw Data'!A7129,References!#REF!,2,FALSE),(VLOOKUP($S7129,References!$B$3:$C$8,2,FALSE))),"")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88"/>
        <v>0</v>
      </c>
      <c r="T7130" s="98">
        <f t="shared" si="289"/>
        <v>0</v>
      </c>
      <c r="U7130" s="99" t="str">
        <f>IFERROR(IF(#REF!="S",VLOOKUP('Raw Data'!A7130,References!#REF!,2,FALSE),(VLOOKUP($S7130,References!$B$3:$C$8,2,FALSE))),"")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88"/>
        <v>0</v>
      </c>
      <c r="T7131" s="98">
        <f t="shared" si="289"/>
        <v>0</v>
      </c>
      <c r="U7131" s="99" t="str">
        <f>IFERROR(IF(#REF!="S",VLOOKUP('Raw Data'!A7131,References!#REF!,2,FALSE),(VLOOKUP($S7131,References!$B$3:$C$8,2,FALSE))),"")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88"/>
        <v>0</v>
      </c>
      <c r="T7132" s="98">
        <f t="shared" si="289"/>
        <v>0</v>
      </c>
      <c r="U7132" s="99" t="str">
        <f>IFERROR(IF(#REF!="S",VLOOKUP('Raw Data'!A7132,References!#REF!,2,FALSE),(VLOOKUP($S7132,References!$B$3:$C$8,2,FALSE))),"")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88"/>
        <v>0</v>
      </c>
      <c r="T7133" s="98">
        <f t="shared" si="289"/>
        <v>0</v>
      </c>
      <c r="U7133" s="99" t="str">
        <f>IFERROR(IF(#REF!="S",VLOOKUP('Raw Data'!A7133,References!#REF!,2,FALSE),(VLOOKUP($S7133,References!$B$3:$C$8,2,FALSE))),"")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88"/>
        <v>0</v>
      </c>
      <c r="T7134" s="98">
        <f t="shared" si="289"/>
        <v>0</v>
      </c>
      <c r="U7134" s="99" t="str">
        <f>IFERROR(IF(#REF!="S",VLOOKUP('Raw Data'!A7134,References!#REF!,2,FALSE),(VLOOKUP($S7134,References!$B$3:$C$8,2,FALSE))),"")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88"/>
        <v>0</v>
      </c>
      <c r="T7135" s="98">
        <f t="shared" si="289"/>
        <v>0</v>
      </c>
      <c r="U7135" s="99" t="str">
        <f>IFERROR(IF(#REF!="S",VLOOKUP('Raw Data'!A7135,References!#REF!,2,FALSE),(VLOOKUP($S7135,References!$B$3:$C$8,2,FALSE))),"")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88"/>
        <v>0</v>
      </c>
      <c r="T7136" s="98">
        <f t="shared" si="289"/>
        <v>0</v>
      </c>
      <c r="U7136" s="99" t="str">
        <f>IFERROR(IF(#REF!="S",VLOOKUP('Raw Data'!A7136,References!#REF!,2,FALSE),(VLOOKUP($S7136,References!$B$3:$C$8,2,FALSE))),"")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88"/>
        <v>0</v>
      </c>
      <c r="T7137" s="98">
        <f t="shared" si="289"/>
        <v>0</v>
      </c>
      <c r="U7137" s="99" t="str">
        <f>IFERROR(IF(#REF!="S",VLOOKUP('Raw Data'!A7137,References!#REF!,2,FALSE),(VLOOKUP($S7137,References!$B$3:$C$8,2,FALSE))),"")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88"/>
        <v>0</v>
      </c>
      <c r="T7138" s="98">
        <f t="shared" si="289"/>
        <v>0</v>
      </c>
      <c r="U7138" s="99" t="str">
        <f>IFERROR(IF(#REF!="S",VLOOKUP('Raw Data'!A7138,References!#REF!,2,FALSE),(VLOOKUP($S7138,References!$B$3:$C$8,2,FALSE))),"")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88"/>
        <v>0</v>
      </c>
      <c r="T7139" s="98">
        <f t="shared" si="289"/>
        <v>0</v>
      </c>
      <c r="U7139" s="99" t="str">
        <f>IFERROR(IF(#REF!="S",VLOOKUP('Raw Data'!A7139,References!#REF!,2,FALSE),(VLOOKUP($S7139,References!$B$3:$C$8,2,FALSE))),"")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88"/>
        <v>0</v>
      </c>
      <c r="T7140" s="98">
        <f t="shared" si="289"/>
        <v>0</v>
      </c>
      <c r="U7140" s="99" t="str">
        <f>IFERROR(IF(#REF!="S",VLOOKUP('Raw Data'!A7140,References!#REF!,2,FALSE),(VLOOKUP($S7140,References!$B$3:$C$8,2,FALSE))),"")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88"/>
        <v>0</v>
      </c>
      <c r="T7141" s="98">
        <f t="shared" si="289"/>
        <v>0</v>
      </c>
      <c r="U7141" s="99" t="str">
        <f>IFERROR(IF(#REF!="S",VLOOKUP('Raw Data'!A7141,References!#REF!,2,FALSE),(VLOOKUP($S7141,References!$B$3:$C$8,2,FALSE))),"")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88"/>
        <v>0</v>
      </c>
      <c r="T7142" s="98">
        <f t="shared" si="289"/>
        <v>0</v>
      </c>
      <c r="U7142" s="99" t="str">
        <f>IFERROR(IF(#REF!="S",VLOOKUP('Raw Data'!A7142,References!#REF!,2,FALSE),(VLOOKUP($S7142,References!$B$3:$C$8,2,FALSE))),"")</f>
        <v/>
      </c>
      <c r="W7142" s="66" t="str">
        <f>IFERROR(VLOOKUP($O7142,'Customer List'!$A$1:$J$488,10,FALSE),"")</f>
        <v/>
      </c>
    </row>
    <row r="7143" spans="18:23">
      <c r="R7143" s="97">
        <f t="shared" si="288"/>
        <v>0</v>
      </c>
      <c r="T7143" s="98">
        <f t="shared" si="289"/>
        <v>0</v>
      </c>
      <c r="U7143" s="99" t="str">
        <f>IFERROR(IF(#REF!="S",VLOOKUP('Raw Data'!A7143,References!#REF!,2,FALSE),(VLOOKUP($S7143,References!$B$3:$C$8,2,FALSE))),"")</f>
        <v/>
      </c>
      <c r="W7143" s="66" t="str">
        <f>IFERROR(VLOOKUP($O7143,'Customer List'!$A$1:$J$488,10,FALSE),"")</f>
        <v/>
      </c>
    </row>
    <row r="7144" spans="18:23">
      <c r="R7144" s="97">
        <f t="shared" ref="R7144:R7207" si="290">L7144-K7144</f>
        <v>0</v>
      </c>
      <c r="T7144" s="98">
        <f t="shared" si="289"/>
        <v>0</v>
      </c>
      <c r="U7144" s="99" t="str">
        <f>IFERROR(IF(#REF!="S",VLOOKUP('Raw Data'!A7144,References!#REF!,2,FALSE),(VLOOKUP($S7144,References!$B$3:$C$8,2,FALSE))),"")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0"/>
        <v>0</v>
      </c>
      <c r="T7145" s="98">
        <f t="shared" si="289"/>
        <v>0</v>
      </c>
      <c r="U7145" s="99" t="str">
        <f>IFERROR(IF(#REF!="S",VLOOKUP('Raw Data'!A7145,References!#REF!,2,FALSE),(VLOOKUP($S7145,References!$B$3:$C$8,2,FALSE))),"")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0"/>
        <v>0</v>
      </c>
      <c r="T7146" s="98">
        <f t="shared" si="289"/>
        <v>0</v>
      </c>
      <c r="U7146" s="99" t="str">
        <f>IFERROR(IF(#REF!="S",VLOOKUP('Raw Data'!A7146,References!#REF!,2,FALSE),(VLOOKUP($S7146,References!$B$3:$C$8,2,FALSE))),"")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0"/>
        <v>0</v>
      </c>
      <c r="T7147" s="98">
        <f t="shared" si="289"/>
        <v>0</v>
      </c>
      <c r="U7147" s="99" t="str">
        <f>IFERROR(IF(#REF!="S",VLOOKUP('Raw Data'!A7147,References!#REF!,2,FALSE),(VLOOKUP($S7147,References!$B$3:$C$8,2,FALSE))),"")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0"/>
        <v>0</v>
      </c>
      <c r="T7148" s="98">
        <f t="shared" si="289"/>
        <v>0</v>
      </c>
      <c r="U7148" s="99" t="str">
        <f>IFERROR(IF(#REF!="S",VLOOKUP('Raw Data'!A7148,References!#REF!,2,FALSE),(VLOOKUP($S7148,References!$B$3:$C$8,2,FALSE))),"")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0"/>
        <v>0</v>
      </c>
      <c r="T7149" s="98">
        <f t="shared" si="289"/>
        <v>0</v>
      </c>
      <c r="U7149" s="99" t="str">
        <f>IFERROR(IF(#REF!="S",VLOOKUP('Raw Data'!A7149,References!#REF!,2,FALSE),(VLOOKUP($S7149,References!$B$3:$C$8,2,FALSE))),"")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0"/>
        <v>0</v>
      </c>
      <c r="T7150" s="98">
        <f t="shared" si="289"/>
        <v>0</v>
      </c>
      <c r="U7150" s="99" t="str">
        <f>IFERROR(IF(#REF!="S",VLOOKUP('Raw Data'!A7150,References!#REF!,2,FALSE),(VLOOKUP($S7150,References!$B$3:$C$8,2,FALSE))),"")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0"/>
        <v>0</v>
      </c>
      <c r="T7151" s="98">
        <f t="shared" si="289"/>
        <v>0</v>
      </c>
      <c r="U7151" s="99" t="str">
        <f>IFERROR(IF(#REF!="S",VLOOKUP('Raw Data'!A7151,References!#REF!,2,FALSE),(VLOOKUP($S7151,References!$B$3:$C$8,2,FALSE))),"")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0"/>
        <v>0</v>
      </c>
      <c r="T7152" s="98">
        <f t="shared" si="289"/>
        <v>0</v>
      </c>
      <c r="U7152" s="99" t="str">
        <f>IFERROR(IF(#REF!="S",VLOOKUP('Raw Data'!A7152,References!#REF!,2,FALSE),(VLOOKUP($S7152,References!$B$3:$C$8,2,FALSE))),"")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0"/>
        <v>0</v>
      </c>
      <c r="T7153" s="98">
        <f t="shared" si="289"/>
        <v>0</v>
      </c>
      <c r="U7153" s="99" t="str">
        <f>IFERROR(IF(#REF!="S",VLOOKUP('Raw Data'!A7153,References!#REF!,2,FALSE),(VLOOKUP($S7153,References!$B$3:$C$8,2,FALSE))),"")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0"/>
        <v>0</v>
      </c>
      <c r="T7154" s="98">
        <f t="shared" si="289"/>
        <v>0</v>
      </c>
      <c r="U7154" s="99" t="str">
        <f>IFERROR(IF(#REF!="S",VLOOKUP('Raw Data'!A7154,References!#REF!,2,FALSE),(VLOOKUP($S7154,References!$B$3:$C$8,2,FALSE))),"")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0"/>
        <v>0</v>
      </c>
      <c r="T7155" s="98">
        <f t="shared" si="289"/>
        <v>0</v>
      </c>
      <c r="U7155" s="99" t="str">
        <f>IFERROR(IF(#REF!="S",VLOOKUP('Raw Data'!A7155,References!#REF!,2,FALSE),(VLOOKUP($S7155,References!$B$3:$C$8,2,FALSE))),"")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0"/>
        <v>0</v>
      </c>
      <c r="T7156" s="98">
        <f t="shared" si="289"/>
        <v>0</v>
      </c>
      <c r="U7156" s="99" t="str">
        <f>IFERROR(IF(#REF!="S",VLOOKUP('Raw Data'!A7156,References!#REF!,2,FALSE),(VLOOKUP($S7156,References!$B$3:$C$8,2,FALSE))),"")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0"/>
        <v>0</v>
      </c>
      <c r="T7157" s="98">
        <f t="shared" si="289"/>
        <v>0</v>
      </c>
      <c r="U7157" s="99" t="str">
        <f>IFERROR(IF(#REF!="S",VLOOKUP('Raw Data'!A7157,References!#REF!,2,FALSE),(VLOOKUP($S7157,References!$B$3:$C$8,2,FALSE))),"")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0"/>
        <v>0</v>
      </c>
      <c r="T7158" s="98">
        <f t="shared" si="289"/>
        <v>0</v>
      </c>
      <c r="U7158" s="99" t="str">
        <f>IFERROR(IF(#REF!="S",VLOOKUP('Raw Data'!A7158,References!#REF!,2,FALSE),(VLOOKUP($S7158,References!$B$3:$C$8,2,FALSE))),"")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0"/>
        <v>0</v>
      </c>
      <c r="T7159" s="98">
        <f t="shared" si="289"/>
        <v>0</v>
      </c>
      <c r="U7159" s="99" t="str">
        <f>IFERROR(IF(#REF!="S",VLOOKUP('Raw Data'!A7159,References!#REF!,2,FALSE),(VLOOKUP($S7159,References!$B$3:$C$8,2,FALSE))),"")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0"/>
        <v>0</v>
      </c>
      <c r="T7160" s="98">
        <f t="shared" si="289"/>
        <v>0</v>
      </c>
      <c r="U7160" s="99" t="str">
        <f>IFERROR(IF(#REF!="S",VLOOKUP('Raw Data'!A7160,References!#REF!,2,FALSE),(VLOOKUP($S7160,References!$B$3:$C$8,2,FALSE))),"")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0"/>
        <v>0</v>
      </c>
      <c r="T7161" s="98">
        <f t="shared" si="289"/>
        <v>0</v>
      </c>
      <c r="U7161" s="99" t="str">
        <f>IFERROR(IF(#REF!="S",VLOOKUP('Raw Data'!A7161,References!#REF!,2,FALSE),(VLOOKUP($S7161,References!$B$3:$C$8,2,FALSE))),"")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0"/>
        <v>0</v>
      </c>
      <c r="T7162" s="98">
        <f t="shared" si="289"/>
        <v>0</v>
      </c>
      <c r="U7162" s="99" t="str">
        <f>IFERROR(IF(#REF!="S",VLOOKUP('Raw Data'!A7162,References!#REF!,2,FALSE),(VLOOKUP($S7162,References!$B$3:$C$8,2,FALSE))),"")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0"/>
        <v>0</v>
      </c>
      <c r="T7163" s="98">
        <f t="shared" si="289"/>
        <v>0</v>
      </c>
      <c r="U7163" s="99" t="str">
        <f>IFERROR(IF(#REF!="S",VLOOKUP('Raw Data'!A7163,References!#REF!,2,FALSE),(VLOOKUP($S7163,References!$B$3:$C$8,2,FALSE))),"")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0"/>
        <v>0</v>
      </c>
      <c r="T7164" s="98">
        <f t="shared" si="289"/>
        <v>0</v>
      </c>
      <c r="U7164" s="99" t="str">
        <f>IFERROR(IF(#REF!="S",VLOOKUP('Raw Data'!A7164,References!#REF!,2,FALSE),(VLOOKUP($S7164,References!$B$3:$C$8,2,FALSE))),"")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0"/>
        <v>0</v>
      </c>
      <c r="T7165" s="98">
        <f t="shared" si="289"/>
        <v>0</v>
      </c>
      <c r="U7165" s="99" t="str">
        <f>IFERROR(IF(#REF!="S",VLOOKUP('Raw Data'!A7165,References!#REF!,2,FALSE),(VLOOKUP($S7165,References!$B$3:$C$8,2,FALSE))),"")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0"/>
        <v>0</v>
      </c>
      <c r="T7166" s="98">
        <f t="shared" si="289"/>
        <v>0</v>
      </c>
      <c r="U7166" s="99" t="str">
        <f>IFERROR(IF(#REF!="S",VLOOKUP('Raw Data'!A7166,References!#REF!,2,FALSE),(VLOOKUP($S7166,References!$B$3:$C$8,2,FALSE))),"")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0"/>
        <v>0</v>
      </c>
      <c r="T7167" s="98">
        <f t="shared" si="289"/>
        <v>0</v>
      </c>
      <c r="U7167" s="99" t="str">
        <f>IFERROR(IF(#REF!="S",VLOOKUP('Raw Data'!A7167,References!#REF!,2,FALSE),(VLOOKUP($S7167,References!$B$3:$C$8,2,FALSE))),"")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0"/>
        <v>0</v>
      </c>
      <c r="T7168" s="98">
        <f t="shared" si="289"/>
        <v>0</v>
      </c>
      <c r="U7168" s="99" t="str">
        <f>IFERROR(IF(#REF!="S",VLOOKUP('Raw Data'!A7168,References!#REF!,2,FALSE),(VLOOKUP($S7168,References!$B$3:$C$8,2,FALSE))),"")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0"/>
        <v>0</v>
      </c>
      <c r="T7169" s="98">
        <f t="shared" si="289"/>
        <v>0</v>
      </c>
      <c r="U7169" s="99" t="str">
        <f>IFERROR(IF(#REF!="S",VLOOKUP('Raw Data'!A7169,References!#REF!,2,FALSE),(VLOOKUP($S7169,References!$B$3:$C$8,2,FALSE))),"")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0"/>
        <v>0</v>
      </c>
      <c r="T7170" s="98">
        <f t="shared" si="289"/>
        <v>0</v>
      </c>
      <c r="U7170" s="99" t="str">
        <f>IFERROR(IF(#REF!="S",VLOOKUP('Raw Data'!A7170,References!#REF!,2,FALSE),(VLOOKUP($S7170,References!$B$3:$C$8,2,FALSE))),"")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0"/>
        <v>0</v>
      </c>
      <c r="T7171" s="98">
        <f t="shared" si="289"/>
        <v>0</v>
      </c>
      <c r="U7171" s="99" t="str">
        <f>IFERROR(IF(#REF!="S",VLOOKUP('Raw Data'!A7171,References!#REF!,2,FALSE),(VLOOKUP($S7171,References!$B$3:$C$8,2,FALSE))),"")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0"/>
        <v>0</v>
      </c>
      <c r="T7172" s="98">
        <f t="shared" si="289"/>
        <v>0</v>
      </c>
      <c r="U7172" s="99" t="str">
        <f>IFERROR(IF(#REF!="S",VLOOKUP('Raw Data'!A7172,References!#REF!,2,FALSE),(VLOOKUP($S7172,References!$B$3:$C$8,2,FALSE))),"")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0"/>
        <v>0</v>
      </c>
      <c r="T7173" s="98">
        <f t="shared" si="289"/>
        <v>0</v>
      </c>
      <c r="U7173" s="99" t="str">
        <f>IFERROR(IF(#REF!="S",VLOOKUP('Raw Data'!A7173,References!#REF!,2,FALSE),(VLOOKUP($S7173,References!$B$3:$C$8,2,FALSE))),"")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0"/>
        <v>0</v>
      </c>
      <c r="T7174" s="98">
        <f t="shared" si="289"/>
        <v>0</v>
      </c>
      <c r="U7174" s="99" t="str">
        <f>IFERROR(IF(#REF!="S",VLOOKUP('Raw Data'!A7174,References!#REF!,2,FALSE),(VLOOKUP($S7174,References!$B$3:$C$8,2,FALSE))),"")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0"/>
        <v>0</v>
      </c>
      <c r="T7175" s="98">
        <f t="shared" si="289"/>
        <v>0</v>
      </c>
      <c r="U7175" s="99" t="str">
        <f>IFERROR(IF(#REF!="S",VLOOKUP('Raw Data'!A7175,References!#REF!,2,FALSE),(VLOOKUP($S7175,References!$B$3:$C$8,2,FALSE))),"")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0"/>
        <v>0</v>
      </c>
      <c r="T7176" s="98">
        <f t="shared" si="289"/>
        <v>0</v>
      </c>
      <c r="U7176" s="99" t="str">
        <f>IFERROR(IF(#REF!="S",VLOOKUP('Raw Data'!A7176,References!#REF!,2,FALSE),(VLOOKUP($S7176,References!$B$3:$C$8,2,FALSE))),"")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0"/>
        <v>0</v>
      </c>
      <c r="T7177" s="98">
        <f t="shared" si="289"/>
        <v>0</v>
      </c>
      <c r="U7177" s="99" t="str">
        <f>IFERROR(IF(#REF!="S",VLOOKUP('Raw Data'!A7177,References!#REF!,2,FALSE),(VLOOKUP($S7177,References!$B$3:$C$8,2,FALSE))),"")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0"/>
        <v>0</v>
      </c>
      <c r="T7178" s="98">
        <f t="shared" si="289"/>
        <v>0</v>
      </c>
      <c r="U7178" s="99" t="str">
        <f>IFERROR(IF(#REF!="S",VLOOKUP('Raw Data'!A7178,References!#REF!,2,FALSE),(VLOOKUP($S7178,References!$B$3:$C$8,2,FALSE))),"")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0"/>
        <v>0</v>
      </c>
      <c r="T7179" s="98">
        <f t="shared" si="289"/>
        <v>0</v>
      </c>
      <c r="U7179" s="99" t="str">
        <f>IFERROR(IF(#REF!="S",VLOOKUP('Raw Data'!A7179,References!#REF!,2,FALSE),(VLOOKUP($S7179,References!$B$3:$C$8,2,FALSE))),"")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0"/>
        <v>0</v>
      </c>
      <c r="T7180" s="98">
        <f t="shared" si="289"/>
        <v>0</v>
      </c>
      <c r="U7180" s="99" t="str">
        <f>IFERROR(IF(#REF!="S",VLOOKUP('Raw Data'!A7180,References!#REF!,2,FALSE),(VLOOKUP($S7180,References!$B$3:$C$8,2,FALSE))),"")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0"/>
        <v>0</v>
      </c>
      <c r="T7181" s="98">
        <f t="shared" si="289"/>
        <v>0</v>
      </c>
      <c r="U7181" s="99" t="str">
        <f>IFERROR(IF(#REF!="S",VLOOKUP('Raw Data'!A7181,References!#REF!,2,FALSE),(VLOOKUP($S7181,References!$B$3:$C$8,2,FALSE))),"")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0"/>
        <v>0</v>
      </c>
      <c r="T7182" s="98">
        <f t="shared" si="289"/>
        <v>0</v>
      </c>
      <c r="U7182" s="99" t="str">
        <f>IFERROR(IF(#REF!="S",VLOOKUP('Raw Data'!A7182,References!#REF!,2,FALSE),(VLOOKUP($S7182,References!$B$3:$C$8,2,FALSE))),"")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0"/>
        <v>0</v>
      </c>
      <c r="T7183" s="98">
        <f t="shared" si="289"/>
        <v>0</v>
      </c>
      <c r="U7183" s="99" t="str">
        <f>IFERROR(IF(#REF!="S",VLOOKUP('Raw Data'!A7183,References!#REF!,2,FALSE),(VLOOKUP($S7183,References!$B$3:$C$8,2,FALSE))),"")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0"/>
        <v>0</v>
      </c>
      <c r="T7184" s="98">
        <f t="shared" ref="T7184:T7247" si="291">IF(S7184="50 - Cleaning Fee",1,HOUR($R7184)+MINUTE(R7184)/60)</f>
        <v>0</v>
      </c>
      <c r="U7184" s="99" t="str">
        <f>IFERROR(IF(#REF!="S",VLOOKUP('Raw Data'!A7184,References!#REF!,2,FALSE),(VLOOKUP($S7184,References!$B$3:$C$8,2,FALSE))),"")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0"/>
        <v>0</v>
      </c>
      <c r="T7185" s="98">
        <f t="shared" si="291"/>
        <v>0</v>
      </c>
      <c r="U7185" s="99" t="str">
        <f>IFERROR(IF(#REF!="S",VLOOKUP('Raw Data'!A7185,References!#REF!,2,FALSE),(VLOOKUP($S7185,References!$B$3:$C$8,2,FALSE))),"")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0"/>
        <v>0</v>
      </c>
      <c r="T7186" s="98">
        <f t="shared" si="291"/>
        <v>0</v>
      </c>
      <c r="U7186" s="99" t="str">
        <f>IFERROR(IF(#REF!="S",VLOOKUP('Raw Data'!A7186,References!#REF!,2,FALSE),(VLOOKUP($S7186,References!$B$3:$C$8,2,FALSE))),"")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0"/>
        <v>0</v>
      </c>
      <c r="T7187" s="98">
        <f t="shared" si="291"/>
        <v>0</v>
      </c>
      <c r="U7187" s="99" t="str">
        <f>IFERROR(IF(#REF!="S",VLOOKUP('Raw Data'!A7187,References!#REF!,2,FALSE),(VLOOKUP($S7187,References!$B$3:$C$8,2,FALSE))),"")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0"/>
        <v>0</v>
      </c>
      <c r="T7188" s="98">
        <f t="shared" si="291"/>
        <v>0</v>
      </c>
      <c r="U7188" s="99" t="str">
        <f>IFERROR(IF(#REF!="S",VLOOKUP('Raw Data'!A7188,References!#REF!,2,FALSE),(VLOOKUP($S7188,References!$B$3:$C$8,2,FALSE))),"")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0"/>
        <v>0</v>
      </c>
      <c r="T7189" s="98">
        <f t="shared" si="291"/>
        <v>0</v>
      </c>
      <c r="U7189" s="99" t="str">
        <f>IFERROR(IF(#REF!="S",VLOOKUP('Raw Data'!A7189,References!#REF!,2,FALSE),(VLOOKUP($S7189,References!$B$3:$C$8,2,FALSE))),"")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0"/>
        <v>0</v>
      </c>
      <c r="T7190" s="98">
        <f t="shared" si="291"/>
        <v>0</v>
      </c>
      <c r="U7190" s="99" t="str">
        <f>IFERROR(IF(#REF!="S",VLOOKUP('Raw Data'!A7190,References!#REF!,2,FALSE),(VLOOKUP($S7190,References!$B$3:$C$8,2,FALSE))),"")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0"/>
        <v>0</v>
      </c>
      <c r="T7191" s="98">
        <f t="shared" si="291"/>
        <v>0</v>
      </c>
      <c r="U7191" s="99" t="str">
        <f>IFERROR(IF(#REF!="S",VLOOKUP('Raw Data'!A7191,References!#REF!,2,FALSE),(VLOOKUP($S7191,References!$B$3:$C$8,2,FALSE))),"")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0"/>
        <v>0</v>
      </c>
      <c r="T7192" s="98">
        <f t="shared" si="291"/>
        <v>0</v>
      </c>
      <c r="U7192" s="99" t="str">
        <f>IFERROR(IF(#REF!="S",VLOOKUP('Raw Data'!A7192,References!#REF!,2,FALSE),(VLOOKUP($S7192,References!$B$3:$C$8,2,FALSE))),"")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0"/>
        <v>0</v>
      </c>
      <c r="T7193" s="98">
        <f t="shared" si="291"/>
        <v>0</v>
      </c>
      <c r="U7193" s="99" t="str">
        <f>IFERROR(IF(#REF!="S",VLOOKUP('Raw Data'!A7193,References!#REF!,2,FALSE),(VLOOKUP($S7193,References!$B$3:$C$8,2,FALSE))),"")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0"/>
        <v>0</v>
      </c>
      <c r="T7194" s="98">
        <f t="shared" si="291"/>
        <v>0</v>
      </c>
      <c r="U7194" s="99" t="str">
        <f>IFERROR(IF(#REF!="S",VLOOKUP('Raw Data'!A7194,References!#REF!,2,FALSE),(VLOOKUP($S7194,References!$B$3:$C$8,2,FALSE))),"")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0"/>
        <v>0</v>
      </c>
      <c r="T7195" s="98">
        <f t="shared" si="291"/>
        <v>0</v>
      </c>
      <c r="U7195" s="99" t="str">
        <f>IFERROR(IF(#REF!="S",VLOOKUP('Raw Data'!A7195,References!#REF!,2,FALSE),(VLOOKUP($S7195,References!$B$3:$C$8,2,FALSE))),"")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0"/>
        <v>0</v>
      </c>
      <c r="T7196" s="98">
        <f t="shared" si="291"/>
        <v>0</v>
      </c>
      <c r="U7196" s="99" t="str">
        <f>IFERROR(IF(#REF!="S",VLOOKUP('Raw Data'!A7196,References!#REF!,2,FALSE),(VLOOKUP($S7196,References!$B$3:$C$8,2,FALSE))),"")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0"/>
        <v>0</v>
      </c>
      <c r="T7197" s="98">
        <f t="shared" si="291"/>
        <v>0</v>
      </c>
      <c r="U7197" s="99" t="str">
        <f>IFERROR(IF(#REF!="S",VLOOKUP('Raw Data'!A7197,References!#REF!,2,FALSE),(VLOOKUP($S7197,References!$B$3:$C$8,2,FALSE))),"")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0"/>
        <v>0</v>
      </c>
      <c r="T7198" s="98">
        <f t="shared" si="291"/>
        <v>0</v>
      </c>
      <c r="U7198" s="99" t="str">
        <f>IFERROR(IF(#REF!="S",VLOOKUP('Raw Data'!A7198,References!#REF!,2,FALSE),(VLOOKUP($S7198,References!$B$3:$C$8,2,FALSE))),"")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0"/>
        <v>0</v>
      </c>
      <c r="T7199" s="98">
        <f t="shared" si="291"/>
        <v>0</v>
      </c>
      <c r="U7199" s="99" t="str">
        <f>IFERROR(IF(#REF!="S",VLOOKUP('Raw Data'!A7199,References!#REF!,2,FALSE),(VLOOKUP($S7199,References!$B$3:$C$8,2,FALSE))),"")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0"/>
        <v>0</v>
      </c>
      <c r="T7200" s="98">
        <f t="shared" si="291"/>
        <v>0</v>
      </c>
      <c r="U7200" s="99" t="str">
        <f>IFERROR(IF(#REF!="S",VLOOKUP('Raw Data'!A7200,References!#REF!,2,FALSE),(VLOOKUP($S7200,References!$B$3:$C$8,2,FALSE))),"")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0"/>
        <v>0</v>
      </c>
      <c r="T7201" s="98">
        <f t="shared" si="291"/>
        <v>0</v>
      </c>
      <c r="U7201" s="99" t="str">
        <f>IFERROR(IF(#REF!="S",VLOOKUP('Raw Data'!A7201,References!#REF!,2,FALSE),(VLOOKUP($S7201,References!$B$3:$C$8,2,FALSE))),"")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0"/>
        <v>0</v>
      </c>
      <c r="T7202" s="98">
        <f t="shared" si="291"/>
        <v>0</v>
      </c>
      <c r="U7202" s="99" t="str">
        <f>IFERROR(IF(#REF!="S",VLOOKUP('Raw Data'!A7202,References!#REF!,2,FALSE),(VLOOKUP($S7202,References!$B$3:$C$8,2,FALSE))),"")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0"/>
        <v>0</v>
      </c>
      <c r="T7203" s="98">
        <f t="shared" si="291"/>
        <v>0</v>
      </c>
      <c r="U7203" s="99" t="str">
        <f>IFERROR(IF(#REF!="S",VLOOKUP('Raw Data'!A7203,References!#REF!,2,FALSE),(VLOOKUP($S7203,References!$B$3:$C$8,2,FALSE))),"")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0"/>
        <v>0</v>
      </c>
      <c r="T7204" s="98">
        <f t="shared" si="291"/>
        <v>0</v>
      </c>
      <c r="U7204" s="99" t="str">
        <f>IFERROR(IF(#REF!="S",VLOOKUP('Raw Data'!A7204,References!#REF!,2,FALSE),(VLOOKUP($S7204,References!$B$3:$C$8,2,FALSE))),"")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0"/>
        <v>0</v>
      </c>
      <c r="T7205" s="98">
        <f t="shared" si="291"/>
        <v>0</v>
      </c>
      <c r="U7205" s="99" t="str">
        <f>IFERROR(IF(#REF!="S",VLOOKUP('Raw Data'!A7205,References!#REF!,2,FALSE),(VLOOKUP($S7205,References!$B$3:$C$8,2,FALSE))),"")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0"/>
        <v>0</v>
      </c>
      <c r="T7206" s="98">
        <f t="shared" si="291"/>
        <v>0</v>
      </c>
      <c r="U7206" s="99" t="str">
        <f>IFERROR(IF(#REF!="S",VLOOKUP('Raw Data'!A7206,References!#REF!,2,FALSE),(VLOOKUP($S7206,References!$B$3:$C$8,2,FALSE))),"")</f>
        <v/>
      </c>
      <c r="W7206" s="66" t="str">
        <f>IFERROR(VLOOKUP($O7206,'Customer List'!$A$1:$J$488,10,FALSE),"")</f>
        <v/>
      </c>
    </row>
    <row r="7207" spans="18:23">
      <c r="R7207" s="97">
        <f t="shared" si="290"/>
        <v>0</v>
      </c>
      <c r="T7207" s="98">
        <f t="shared" si="291"/>
        <v>0</v>
      </c>
      <c r="U7207" s="99" t="str">
        <f>IFERROR(IF(#REF!="S",VLOOKUP('Raw Data'!A7207,References!#REF!,2,FALSE),(VLOOKUP($S7207,References!$B$3:$C$8,2,FALSE))),"")</f>
        <v/>
      </c>
      <c r="W7207" s="66" t="str">
        <f>IFERROR(VLOOKUP($O7207,'Customer List'!$A$1:$J$488,10,FALSE),"")</f>
        <v/>
      </c>
    </row>
    <row r="7208" spans="18:23">
      <c r="R7208" s="97">
        <f t="shared" ref="R7208:R7271" si="292">L7208-K7208</f>
        <v>0</v>
      </c>
      <c r="T7208" s="98">
        <f t="shared" si="291"/>
        <v>0</v>
      </c>
      <c r="U7208" s="99" t="str">
        <f>IFERROR(IF(#REF!="S",VLOOKUP('Raw Data'!A7208,References!#REF!,2,FALSE),(VLOOKUP($S7208,References!$B$3:$C$8,2,FALSE))),"")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2"/>
        <v>0</v>
      </c>
      <c r="T7209" s="98">
        <f t="shared" si="291"/>
        <v>0</v>
      </c>
      <c r="U7209" s="99" t="str">
        <f>IFERROR(IF(#REF!="S",VLOOKUP('Raw Data'!A7209,References!#REF!,2,FALSE),(VLOOKUP($S7209,References!$B$3:$C$8,2,FALSE))),"")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2"/>
        <v>0</v>
      </c>
      <c r="T7210" s="98">
        <f t="shared" si="291"/>
        <v>0</v>
      </c>
      <c r="U7210" s="99" t="str">
        <f>IFERROR(IF(#REF!="S",VLOOKUP('Raw Data'!A7210,References!#REF!,2,FALSE),(VLOOKUP($S7210,References!$B$3:$C$8,2,FALSE))),"")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2"/>
        <v>0</v>
      </c>
      <c r="T7211" s="98">
        <f t="shared" si="291"/>
        <v>0</v>
      </c>
      <c r="U7211" s="99" t="str">
        <f>IFERROR(IF(#REF!="S",VLOOKUP('Raw Data'!A7211,References!#REF!,2,FALSE),(VLOOKUP($S7211,References!$B$3:$C$8,2,FALSE))),"")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2"/>
        <v>0</v>
      </c>
      <c r="T7212" s="98">
        <f t="shared" si="291"/>
        <v>0</v>
      </c>
      <c r="U7212" s="99" t="str">
        <f>IFERROR(IF(#REF!="S",VLOOKUP('Raw Data'!A7212,References!#REF!,2,FALSE),(VLOOKUP($S7212,References!$B$3:$C$8,2,FALSE))),"")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2"/>
        <v>0</v>
      </c>
      <c r="T7213" s="98">
        <f t="shared" si="291"/>
        <v>0</v>
      </c>
      <c r="U7213" s="99" t="str">
        <f>IFERROR(IF(#REF!="S",VLOOKUP('Raw Data'!A7213,References!#REF!,2,FALSE),(VLOOKUP($S7213,References!$B$3:$C$8,2,FALSE))),"")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2"/>
        <v>0</v>
      </c>
      <c r="T7214" s="98">
        <f t="shared" si="291"/>
        <v>0</v>
      </c>
      <c r="U7214" s="99" t="str">
        <f>IFERROR(IF(#REF!="S",VLOOKUP('Raw Data'!A7214,References!#REF!,2,FALSE),(VLOOKUP($S7214,References!$B$3:$C$8,2,FALSE))),"")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2"/>
        <v>0</v>
      </c>
      <c r="T7215" s="98">
        <f t="shared" si="291"/>
        <v>0</v>
      </c>
      <c r="U7215" s="99" t="str">
        <f>IFERROR(IF(#REF!="S",VLOOKUP('Raw Data'!A7215,References!#REF!,2,FALSE),(VLOOKUP($S7215,References!$B$3:$C$8,2,FALSE))),"")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2"/>
        <v>0</v>
      </c>
      <c r="T7216" s="98">
        <f t="shared" si="291"/>
        <v>0</v>
      </c>
      <c r="U7216" s="99" t="str">
        <f>IFERROR(IF(#REF!="S",VLOOKUP('Raw Data'!A7216,References!#REF!,2,FALSE),(VLOOKUP($S7216,References!$B$3:$C$8,2,FALSE))),"")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2"/>
        <v>0</v>
      </c>
      <c r="T7217" s="98">
        <f t="shared" si="291"/>
        <v>0</v>
      </c>
      <c r="U7217" s="99" t="str">
        <f>IFERROR(IF(#REF!="S",VLOOKUP('Raw Data'!A7217,References!#REF!,2,FALSE),(VLOOKUP($S7217,References!$B$3:$C$8,2,FALSE))),"")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2"/>
        <v>0</v>
      </c>
      <c r="T7218" s="98">
        <f t="shared" si="291"/>
        <v>0</v>
      </c>
      <c r="U7218" s="99" t="str">
        <f>IFERROR(IF(#REF!="S",VLOOKUP('Raw Data'!A7218,References!#REF!,2,FALSE),(VLOOKUP($S7218,References!$B$3:$C$8,2,FALSE))),"")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2"/>
        <v>0</v>
      </c>
      <c r="T7219" s="98">
        <f t="shared" si="291"/>
        <v>0</v>
      </c>
      <c r="U7219" s="99" t="str">
        <f>IFERROR(IF(#REF!="S",VLOOKUP('Raw Data'!A7219,References!#REF!,2,FALSE),(VLOOKUP($S7219,References!$B$3:$C$8,2,FALSE))),"")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2"/>
        <v>0</v>
      </c>
      <c r="T7220" s="98">
        <f t="shared" si="291"/>
        <v>0</v>
      </c>
      <c r="U7220" s="99" t="str">
        <f>IFERROR(IF(#REF!="S",VLOOKUP('Raw Data'!A7220,References!#REF!,2,FALSE),(VLOOKUP($S7220,References!$B$3:$C$8,2,FALSE))),"")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2"/>
        <v>0</v>
      </c>
      <c r="T7221" s="98">
        <f t="shared" si="291"/>
        <v>0</v>
      </c>
      <c r="U7221" s="99" t="str">
        <f>IFERROR(IF(#REF!="S",VLOOKUP('Raw Data'!A7221,References!#REF!,2,FALSE),(VLOOKUP($S7221,References!$B$3:$C$8,2,FALSE))),"")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2"/>
        <v>0</v>
      </c>
      <c r="T7222" s="98">
        <f t="shared" si="291"/>
        <v>0</v>
      </c>
      <c r="U7222" s="99" t="str">
        <f>IFERROR(IF(#REF!="S",VLOOKUP('Raw Data'!A7222,References!#REF!,2,FALSE),(VLOOKUP($S7222,References!$B$3:$C$8,2,FALSE))),"")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2"/>
        <v>0</v>
      </c>
      <c r="T7223" s="98">
        <f t="shared" si="291"/>
        <v>0</v>
      </c>
      <c r="U7223" s="99" t="str">
        <f>IFERROR(IF(#REF!="S",VLOOKUP('Raw Data'!A7223,References!#REF!,2,FALSE),(VLOOKUP($S7223,References!$B$3:$C$8,2,FALSE))),"")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2"/>
        <v>0</v>
      </c>
      <c r="T7224" s="98">
        <f t="shared" si="291"/>
        <v>0</v>
      </c>
      <c r="U7224" s="99" t="str">
        <f>IFERROR(IF(#REF!="S",VLOOKUP('Raw Data'!A7224,References!#REF!,2,FALSE),(VLOOKUP($S7224,References!$B$3:$C$8,2,FALSE))),"")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2"/>
        <v>0</v>
      </c>
      <c r="T7225" s="98">
        <f t="shared" si="291"/>
        <v>0</v>
      </c>
      <c r="U7225" s="99" t="str">
        <f>IFERROR(IF(#REF!="S",VLOOKUP('Raw Data'!A7225,References!#REF!,2,FALSE),(VLOOKUP($S7225,References!$B$3:$C$8,2,FALSE))),"")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2"/>
        <v>0</v>
      </c>
      <c r="T7226" s="98">
        <f t="shared" si="291"/>
        <v>0</v>
      </c>
      <c r="U7226" s="99" t="str">
        <f>IFERROR(IF(#REF!="S",VLOOKUP('Raw Data'!A7226,References!#REF!,2,FALSE),(VLOOKUP($S7226,References!$B$3:$C$8,2,FALSE))),"")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2"/>
        <v>0</v>
      </c>
      <c r="T7227" s="98">
        <f t="shared" si="291"/>
        <v>0</v>
      </c>
      <c r="U7227" s="99" t="str">
        <f>IFERROR(IF(#REF!="S",VLOOKUP('Raw Data'!A7227,References!#REF!,2,FALSE),(VLOOKUP($S7227,References!$B$3:$C$8,2,FALSE))),"")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2"/>
        <v>0</v>
      </c>
      <c r="T7228" s="98">
        <f t="shared" si="291"/>
        <v>0</v>
      </c>
      <c r="U7228" s="99" t="str">
        <f>IFERROR(IF(#REF!="S",VLOOKUP('Raw Data'!A7228,References!#REF!,2,FALSE),(VLOOKUP($S7228,References!$B$3:$C$8,2,FALSE))),"")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2"/>
        <v>0</v>
      </c>
      <c r="T7229" s="98">
        <f t="shared" si="291"/>
        <v>0</v>
      </c>
      <c r="U7229" s="99" t="str">
        <f>IFERROR(IF(#REF!="S",VLOOKUP('Raw Data'!A7229,References!#REF!,2,FALSE),(VLOOKUP($S7229,References!$B$3:$C$8,2,FALSE))),"")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2"/>
        <v>0</v>
      </c>
      <c r="T7230" s="98">
        <f t="shared" si="291"/>
        <v>0</v>
      </c>
      <c r="U7230" s="99" t="str">
        <f>IFERROR(IF(#REF!="S",VLOOKUP('Raw Data'!A7230,References!#REF!,2,FALSE),(VLOOKUP($S7230,References!$B$3:$C$8,2,FALSE))),"")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2"/>
        <v>0</v>
      </c>
      <c r="T7231" s="98">
        <f t="shared" si="291"/>
        <v>0</v>
      </c>
      <c r="U7231" s="99" t="str">
        <f>IFERROR(IF(#REF!="S",VLOOKUP('Raw Data'!A7231,References!#REF!,2,FALSE),(VLOOKUP($S7231,References!$B$3:$C$8,2,FALSE))),"")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2"/>
        <v>0</v>
      </c>
      <c r="T7232" s="98">
        <f t="shared" si="291"/>
        <v>0</v>
      </c>
      <c r="U7232" s="99" t="str">
        <f>IFERROR(IF(#REF!="S",VLOOKUP('Raw Data'!A7232,References!#REF!,2,FALSE),(VLOOKUP($S7232,References!$B$3:$C$8,2,FALSE))),"")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2"/>
        <v>0</v>
      </c>
      <c r="T7233" s="98">
        <f t="shared" si="291"/>
        <v>0</v>
      </c>
      <c r="U7233" s="99" t="str">
        <f>IFERROR(IF(#REF!="S",VLOOKUP('Raw Data'!A7233,References!#REF!,2,FALSE),(VLOOKUP($S7233,References!$B$3:$C$8,2,FALSE))),"")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2"/>
        <v>0</v>
      </c>
      <c r="T7234" s="98">
        <f t="shared" si="291"/>
        <v>0</v>
      </c>
      <c r="U7234" s="99" t="str">
        <f>IFERROR(IF(#REF!="S",VLOOKUP('Raw Data'!A7234,References!#REF!,2,FALSE),(VLOOKUP($S7234,References!$B$3:$C$8,2,FALSE))),"")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2"/>
        <v>0</v>
      </c>
      <c r="T7235" s="98">
        <f t="shared" si="291"/>
        <v>0</v>
      </c>
      <c r="U7235" s="99" t="str">
        <f>IFERROR(IF(#REF!="S",VLOOKUP('Raw Data'!A7235,References!#REF!,2,FALSE),(VLOOKUP($S7235,References!$B$3:$C$8,2,FALSE))),"")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2"/>
        <v>0</v>
      </c>
      <c r="T7236" s="98">
        <f t="shared" si="291"/>
        <v>0</v>
      </c>
      <c r="U7236" s="99" t="str">
        <f>IFERROR(IF(#REF!="S",VLOOKUP('Raw Data'!A7236,References!#REF!,2,FALSE),(VLOOKUP($S7236,References!$B$3:$C$8,2,FALSE))),"")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2"/>
        <v>0</v>
      </c>
      <c r="T7237" s="98">
        <f t="shared" si="291"/>
        <v>0</v>
      </c>
      <c r="U7237" s="99" t="str">
        <f>IFERROR(IF(#REF!="S",VLOOKUP('Raw Data'!A7237,References!#REF!,2,FALSE),(VLOOKUP($S7237,References!$B$3:$C$8,2,FALSE))),"")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2"/>
        <v>0</v>
      </c>
      <c r="T7238" s="98">
        <f t="shared" si="291"/>
        <v>0</v>
      </c>
      <c r="U7238" s="99" t="str">
        <f>IFERROR(IF(#REF!="S",VLOOKUP('Raw Data'!A7238,References!#REF!,2,FALSE),(VLOOKUP($S7238,References!$B$3:$C$8,2,FALSE))),"")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2"/>
        <v>0</v>
      </c>
      <c r="T7239" s="98">
        <f t="shared" si="291"/>
        <v>0</v>
      </c>
      <c r="U7239" s="99" t="str">
        <f>IFERROR(IF(#REF!="S",VLOOKUP('Raw Data'!A7239,References!#REF!,2,FALSE),(VLOOKUP($S7239,References!$B$3:$C$8,2,FALSE))),"")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2"/>
        <v>0</v>
      </c>
      <c r="T7240" s="98">
        <f t="shared" si="291"/>
        <v>0</v>
      </c>
      <c r="U7240" s="99" t="str">
        <f>IFERROR(IF(#REF!="S",VLOOKUP('Raw Data'!A7240,References!#REF!,2,FALSE),(VLOOKUP($S7240,References!$B$3:$C$8,2,FALSE))),"")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2"/>
        <v>0</v>
      </c>
      <c r="T7241" s="98">
        <f t="shared" si="291"/>
        <v>0</v>
      </c>
      <c r="U7241" s="99" t="str">
        <f>IFERROR(IF(#REF!="S",VLOOKUP('Raw Data'!A7241,References!#REF!,2,FALSE),(VLOOKUP($S7241,References!$B$3:$C$8,2,FALSE))),"")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2"/>
        <v>0</v>
      </c>
      <c r="T7242" s="98">
        <f t="shared" si="291"/>
        <v>0</v>
      </c>
      <c r="U7242" s="99" t="str">
        <f>IFERROR(IF(#REF!="S",VLOOKUP('Raw Data'!A7242,References!#REF!,2,FALSE),(VLOOKUP($S7242,References!$B$3:$C$8,2,FALSE))),"")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2"/>
        <v>0</v>
      </c>
      <c r="T7243" s="98">
        <f t="shared" si="291"/>
        <v>0</v>
      </c>
      <c r="U7243" s="99" t="str">
        <f>IFERROR(IF(#REF!="S",VLOOKUP('Raw Data'!A7243,References!#REF!,2,FALSE),(VLOOKUP($S7243,References!$B$3:$C$8,2,FALSE))),"")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2"/>
        <v>0</v>
      </c>
      <c r="T7244" s="98">
        <f t="shared" si="291"/>
        <v>0</v>
      </c>
      <c r="U7244" s="99" t="str">
        <f>IFERROR(IF(#REF!="S",VLOOKUP('Raw Data'!A7244,References!#REF!,2,FALSE),(VLOOKUP($S7244,References!$B$3:$C$8,2,FALSE))),"")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2"/>
        <v>0</v>
      </c>
      <c r="T7245" s="98">
        <f t="shared" si="291"/>
        <v>0</v>
      </c>
      <c r="U7245" s="99" t="str">
        <f>IFERROR(IF(#REF!="S",VLOOKUP('Raw Data'!A7245,References!#REF!,2,FALSE),(VLOOKUP($S7245,References!$B$3:$C$8,2,FALSE))),"")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2"/>
        <v>0</v>
      </c>
      <c r="T7246" s="98">
        <f t="shared" si="291"/>
        <v>0</v>
      </c>
      <c r="U7246" s="99" t="str">
        <f>IFERROR(IF(#REF!="S",VLOOKUP('Raw Data'!A7246,References!#REF!,2,FALSE),(VLOOKUP($S7246,References!$B$3:$C$8,2,FALSE))),"")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2"/>
        <v>0</v>
      </c>
      <c r="T7247" s="98">
        <f t="shared" si="291"/>
        <v>0</v>
      </c>
      <c r="U7247" s="99" t="str">
        <f>IFERROR(IF(#REF!="S",VLOOKUP('Raw Data'!A7247,References!#REF!,2,FALSE),(VLOOKUP($S7247,References!$B$3:$C$8,2,FALSE))),"")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2"/>
        <v>0</v>
      </c>
      <c r="T7248" s="98">
        <f t="shared" ref="T7248:T7311" si="293">IF(S7248="50 - Cleaning Fee",1,HOUR($R7248)+MINUTE(R7248)/60)</f>
        <v>0</v>
      </c>
      <c r="U7248" s="99" t="str">
        <f>IFERROR(IF(#REF!="S",VLOOKUP('Raw Data'!A7248,References!#REF!,2,FALSE),(VLOOKUP($S7248,References!$B$3:$C$8,2,FALSE))),"")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2"/>
        <v>0</v>
      </c>
      <c r="T7249" s="98">
        <f t="shared" si="293"/>
        <v>0</v>
      </c>
      <c r="U7249" s="99" t="str">
        <f>IFERROR(IF(#REF!="S",VLOOKUP('Raw Data'!A7249,References!#REF!,2,FALSE),(VLOOKUP($S7249,References!$B$3:$C$8,2,FALSE))),"")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2"/>
        <v>0</v>
      </c>
      <c r="T7250" s="98">
        <f t="shared" si="293"/>
        <v>0</v>
      </c>
      <c r="U7250" s="99" t="str">
        <f>IFERROR(IF(#REF!="S",VLOOKUP('Raw Data'!A7250,References!#REF!,2,FALSE),(VLOOKUP($S7250,References!$B$3:$C$8,2,FALSE))),"")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2"/>
        <v>0</v>
      </c>
      <c r="T7251" s="98">
        <f t="shared" si="293"/>
        <v>0</v>
      </c>
      <c r="U7251" s="99" t="str">
        <f>IFERROR(IF(#REF!="S",VLOOKUP('Raw Data'!A7251,References!#REF!,2,FALSE),(VLOOKUP($S7251,References!$B$3:$C$8,2,FALSE))),"")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2"/>
        <v>0</v>
      </c>
      <c r="T7252" s="98">
        <f t="shared" si="293"/>
        <v>0</v>
      </c>
      <c r="U7252" s="99" t="str">
        <f>IFERROR(IF(#REF!="S",VLOOKUP('Raw Data'!A7252,References!#REF!,2,FALSE),(VLOOKUP($S7252,References!$B$3:$C$8,2,FALSE))),"")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2"/>
        <v>0</v>
      </c>
      <c r="T7253" s="98">
        <f t="shared" si="293"/>
        <v>0</v>
      </c>
      <c r="U7253" s="99" t="str">
        <f>IFERROR(IF(#REF!="S",VLOOKUP('Raw Data'!A7253,References!#REF!,2,FALSE),(VLOOKUP($S7253,References!$B$3:$C$8,2,FALSE))),"")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2"/>
        <v>0</v>
      </c>
      <c r="T7254" s="98">
        <f t="shared" si="293"/>
        <v>0</v>
      </c>
      <c r="U7254" s="99" t="str">
        <f>IFERROR(IF(#REF!="S",VLOOKUP('Raw Data'!A7254,References!#REF!,2,FALSE),(VLOOKUP($S7254,References!$B$3:$C$8,2,FALSE))),"")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2"/>
        <v>0</v>
      </c>
      <c r="T7255" s="98">
        <f t="shared" si="293"/>
        <v>0</v>
      </c>
      <c r="U7255" s="99" t="str">
        <f>IFERROR(IF(#REF!="S",VLOOKUP('Raw Data'!A7255,References!#REF!,2,FALSE),(VLOOKUP($S7255,References!$B$3:$C$8,2,FALSE))),"")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2"/>
        <v>0</v>
      </c>
      <c r="T7256" s="98">
        <f t="shared" si="293"/>
        <v>0</v>
      </c>
      <c r="U7256" s="99" t="str">
        <f>IFERROR(IF(#REF!="S",VLOOKUP('Raw Data'!A7256,References!#REF!,2,FALSE),(VLOOKUP($S7256,References!$B$3:$C$8,2,FALSE))),"")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2"/>
        <v>0</v>
      </c>
      <c r="T7257" s="98">
        <f t="shared" si="293"/>
        <v>0</v>
      </c>
      <c r="U7257" s="99" t="str">
        <f>IFERROR(IF(#REF!="S",VLOOKUP('Raw Data'!A7257,References!#REF!,2,FALSE),(VLOOKUP($S7257,References!$B$3:$C$8,2,FALSE))),"")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2"/>
        <v>0</v>
      </c>
      <c r="T7258" s="98">
        <f t="shared" si="293"/>
        <v>0</v>
      </c>
      <c r="U7258" s="99" t="str">
        <f>IFERROR(IF(#REF!="S",VLOOKUP('Raw Data'!A7258,References!#REF!,2,FALSE),(VLOOKUP($S7258,References!$B$3:$C$8,2,FALSE))),"")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2"/>
        <v>0</v>
      </c>
      <c r="T7259" s="98">
        <f t="shared" si="293"/>
        <v>0</v>
      </c>
      <c r="U7259" s="99" t="str">
        <f>IFERROR(IF(#REF!="S",VLOOKUP('Raw Data'!A7259,References!#REF!,2,FALSE),(VLOOKUP($S7259,References!$B$3:$C$8,2,FALSE))),"")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2"/>
        <v>0</v>
      </c>
      <c r="T7260" s="98">
        <f t="shared" si="293"/>
        <v>0</v>
      </c>
      <c r="U7260" s="99" t="str">
        <f>IFERROR(IF(#REF!="S",VLOOKUP('Raw Data'!A7260,References!#REF!,2,FALSE),(VLOOKUP($S7260,References!$B$3:$C$8,2,FALSE))),"")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2"/>
        <v>0</v>
      </c>
      <c r="T7261" s="98">
        <f t="shared" si="293"/>
        <v>0</v>
      </c>
      <c r="U7261" s="99" t="str">
        <f>IFERROR(IF(#REF!="S",VLOOKUP('Raw Data'!A7261,References!#REF!,2,FALSE),(VLOOKUP($S7261,References!$B$3:$C$8,2,FALSE))),"")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2"/>
        <v>0</v>
      </c>
      <c r="T7262" s="98">
        <f t="shared" si="293"/>
        <v>0</v>
      </c>
      <c r="U7262" s="99" t="str">
        <f>IFERROR(IF(#REF!="S",VLOOKUP('Raw Data'!A7262,References!#REF!,2,FALSE),(VLOOKUP($S7262,References!$B$3:$C$8,2,FALSE))),"")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2"/>
        <v>0</v>
      </c>
      <c r="T7263" s="98">
        <f t="shared" si="293"/>
        <v>0</v>
      </c>
      <c r="U7263" s="99" t="str">
        <f>IFERROR(IF(#REF!="S",VLOOKUP('Raw Data'!A7263,References!#REF!,2,FALSE),(VLOOKUP($S7263,References!$B$3:$C$8,2,FALSE))),"")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2"/>
        <v>0</v>
      </c>
      <c r="T7264" s="98">
        <f t="shared" si="293"/>
        <v>0</v>
      </c>
      <c r="U7264" s="99" t="str">
        <f>IFERROR(IF(#REF!="S",VLOOKUP('Raw Data'!A7264,References!#REF!,2,FALSE),(VLOOKUP($S7264,References!$B$3:$C$8,2,FALSE))),"")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2"/>
        <v>0</v>
      </c>
      <c r="T7265" s="98">
        <f t="shared" si="293"/>
        <v>0</v>
      </c>
      <c r="U7265" s="99" t="str">
        <f>IFERROR(IF(#REF!="S",VLOOKUP('Raw Data'!A7265,References!#REF!,2,FALSE),(VLOOKUP($S7265,References!$B$3:$C$8,2,FALSE))),"")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2"/>
        <v>0</v>
      </c>
      <c r="T7266" s="98">
        <f t="shared" si="293"/>
        <v>0</v>
      </c>
      <c r="U7266" s="99" t="str">
        <f>IFERROR(IF(#REF!="S",VLOOKUP('Raw Data'!A7266,References!#REF!,2,FALSE),(VLOOKUP($S7266,References!$B$3:$C$8,2,FALSE))),"")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2"/>
        <v>0</v>
      </c>
      <c r="T7267" s="98">
        <f t="shared" si="293"/>
        <v>0</v>
      </c>
      <c r="U7267" s="99" t="str">
        <f>IFERROR(IF(#REF!="S",VLOOKUP('Raw Data'!A7267,References!#REF!,2,FALSE),(VLOOKUP($S7267,References!$B$3:$C$8,2,FALSE))),"")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2"/>
        <v>0</v>
      </c>
      <c r="T7268" s="98">
        <f t="shared" si="293"/>
        <v>0</v>
      </c>
      <c r="U7268" s="99" t="str">
        <f>IFERROR(IF(#REF!="S",VLOOKUP('Raw Data'!A7268,References!#REF!,2,FALSE),(VLOOKUP($S7268,References!$B$3:$C$8,2,FALSE))),"")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2"/>
        <v>0</v>
      </c>
      <c r="T7269" s="98">
        <f t="shared" si="293"/>
        <v>0</v>
      </c>
      <c r="U7269" s="99" t="str">
        <f>IFERROR(IF(#REF!="S",VLOOKUP('Raw Data'!A7269,References!#REF!,2,FALSE),(VLOOKUP($S7269,References!$B$3:$C$8,2,FALSE))),"")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2"/>
        <v>0</v>
      </c>
      <c r="T7270" s="98">
        <f t="shared" si="293"/>
        <v>0</v>
      </c>
      <c r="U7270" s="99" t="str">
        <f>IFERROR(IF(#REF!="S",VLOOKUP('Raw Data'!A7270,References!#REF!,2,FALSE),(VLOOKUP($S7270,References!$B$3:$C$8,2,FALSE))),"")</f>
        <v/>
      </c>
      <c r="W7270" s="66" t="str">
        <f>IFERROR(VLOOKUP($O7270,'Customer List'!$A$1:$J$488,10,FALSE),"")</f>
        <v/>
      </c>
    </row>
    <row r="7271" spans="18:23">
      <c r="R7271" s="97">
        <f t="shared" si="292"/>
        <v>0</v>
      </c>
      <c r="T7271" s="98">
        <f t="shared" si="293"/>
        <v>0</v>
      </c>
      <c r="U7271" s="99" t="str">
        <f>IFERROR(IF(#REF!="S",VLOOKUP('Raw Data'!A7271,References!#REF!,2,FALSE),(VLOOKUP($S7271,References!$B$3:$C$8,2,FALSE))),"")</f>
        <v/>
      </c>
      <c r="W7271" s="66" t="str">
        <f>IFERROR(VLOOKUP($O7271,'Customer List'!$A$1:$J$488,10,FALSE),"")</f>
        <v/>
      </c>
    </row>
    <row r="7272" spans="18:23">
      <c r="R7272" s="97">
        <f t="shared" ref="R7272:R7335" si="294">L7272-K7272</f>
        <v>0</v>
      </c>
      <c r="T7272" s="98">
        <f t="shared" si="293"/>
        <v>0</v>
      </c>
      <c r="U7272" s="99" t="str">
        <f>IFERROR(IF(#REF!="S",VLOOKUP('Raw Data'!A7272,References!#REF!,2,FALSE),(VLOOKUP($S7272,References!$B$3:$C$8,2,FALSE))),"")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4"/>
        <v>0</v>
      </c>
      <c r="T7273" s="98">
        <f t="shared" si="293"/>
        <v>0</v>
      </c>
      <c r="U7273" s="99" t="str">
        <f>IFERROR(IF(#REF!="S",VLOOKUP('Raw Data'!A7273,References!#REF!,2,FALSE),(VLOOKUP($S7273,References!$B$3:$C$8,2,FALSE))),"")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4"/>
        <v>0</v>
      </c>
      <c r="T7274" s="98">
        <f t="shared" si="293"/>
        <v>0</v>
      </c>
      <c r="U7274" s="99" t="str">
        <f>IFERROR(IF(#REF!="S",VLOOKUP('Raw Data'!A7274,References!#REF!,2,FALSE),(VLOOKUP($S7274,References!$B$3:$C$8,2,FALSE))),"")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4"/>
        <v>0</v>
      </c>
      <c r="T7275" s="98">
        <f t="shared" si="293"/>
        <v>0</v>
      </c>
      <c r="U7275" s="99" t="str">
        <f>IFERROR(IF(#REF!="S",VLOOKUP('Raw Data'!A7275,References!#REF!,2,FALSE),(VLOOKUP($S7275,References!$B$3:$C$8,2,FALSE))),"")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4"/>
        <v>0</v>
      </c>
      <c r="T7276" s="98">
        <f t="shared" si="293"/>
        <v>0</v>
      </c>
      <c r="U7276" s="99" t="str">
        <f>IFERROR(IF(#REF!="S",VLOOKUP('Raw Data'!A7276,References!#REF!,2,FALSE),(VLOOKUP($S7276,References!$B$3:$C$8,2,FALSE))),"")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4"/>
        <v>0</v>
      </c>
      <c r="T7277" s="98">
        <f t="shared" si="293"/>
        <v>0</v>
      </c>
      <c r="U7277" s="99" t="str">
        <f>IFERROR(IF(#REF!="S",VLOOKUP('Raw Data'!A7277,References!#REF!,2,FALSE),(VLOOKUP($S7277,References!$B$3:$C$8,2,FALSE))),"")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4"/>
        <v>0</v>
      </c>
      <c r="T7278" s="98">
        <f t="shared" si="293"/>
        <v>0</v>
      </c>
      <c r="U7278" s="99" t="str">
        <f>IFERROR(IF(#REF!="S",VLOOKUP('Raw Data'!A7278,References!#REF!,2,FALSE),(VLOOKUP($S7278,References!$B$3:$C$8,2,FALSE))),"")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4"/>
        <v>0</v>
      </c>
      <c r="T7279" s="98">
        <f t="shared" si="293"/>
        <v>0</v>
      </c>
      <c r="U7279" s="99" t="str">
        <f>IFERROR(IF(#REF!="S",VLOOKUP('Raw Data'!A7279,References!#REF!,2,FALSE),(VLOOKUP($S7279,References!$B$3:$C$8,2,FALSE))),"")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4"/>
        <v>0</v>
      </c>
      <c r="T7280" s="98">
        <f t="shared" si="293"/>
        <v>0</v>
      </c>
      <c r="U7280" s="99" t="str">
        <f>IFERROR(IF(#REF!="S",VLOOKUP('Raw Data'!A7280,References!#REF!,2,FALSE),(VLOOKUP($S7280,References!$B$3:$C$8,2,FALSE))),"")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4"/>
        <v>0</v>
      </c>
      <c r="T7281" s="98">
        <f t="shared" si="293"/>
        <v>0</v>
      </c>
      <c r="U7281" s="99" t="str">
        <f>IFERROR(IF(#REF!="S",VLOOKUP('Raw Data'!A7281,References!#REF!,2,FALSE),(VLOOKUP($S7281,References!$B$3:$C$8,2,FALSE))),"")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4"/>
        <v>0</v>
      </c>
      <c r="T7282" s="98">
        <f t="shared" si="293"/>
        <v>0</v>
      </c>
      <c r="U7282" s="99" t="str">
        <f>IFERROR(IF(#REF!="S",VLOOKUP('Raw Data'!A7282,References!#REF!,2,FALSE),(VLOOKUP($S7282,References!$B$3:$C$8,2,FALSE))),"")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4"/>
        <v>0</v>
      </c>
      <c r="T7283" s="98">
        <f t="shared" si="293"/>
        <v>0</v>
      </c>
      <c r="U7283" s="99" t="str">
        <f>IFERROR(IF(#REF!="S",VLOOKUP('Raw Data'!A7283,References!#REF!,2,FALSE),(VLOOKUP($S7283,References!$B$3:$C$8,2,FALSE))),"")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4"/>
        <v>0</v>
      </c>
      <c r="T7284" s="98">
        <f t="shared" si="293"/>
        <v>0</v>
      </c>
      <c r="U7284" s="99" t="str">
        <f>IFERROR(IF(#REF!="S",VLOOKUP('Raw Data'!A7284,References!#REF!,2,FALSE),(VLOOKUP($S7284,References!$B$3:$C$8,2,FALSE))),"")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4"/>
        <v>0</v>
      </c>
      <c r="T7285" s="98">
        <f t="shared" si="293"/>
        <v>0</v>
      </c>
      <c r="U7285" s="99" t="str">
        <f>IFERROR(IF(#REF!="S",VLOOKUP('Raw Data'!A7285,References!#REF!,2,FALSE),(VLOOKUP($S7285,References!$B$3:$C$8,2,FALSE))),"")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4"/>
        <v>0</v>
      </c>
      <c r="T7286" s="98">
        <f t="shared" si="293"/>
        <v>0</v>
      </c>
      <c r="U7286" s="99" t="str">
        <f>IFERROR(IF(#REF!="S",VLOOKUP('Raw Data'!A7286,References!#REF!,2,FALSE),(VLOOKUP($S7286,References!$B$3:$C$8,2,FALSE))),"")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4"/>
        <v>0</v>
      </c>
      <c r="T7287" s="98">
        <f t="shared" si="293"/>
        <v>0</v>
      </c>
      <c r="U7287" s="99" t="str">
        <f>IFERROR(IF(#REF!="S",VLOOKUP('Raw Data'!A7287,References!#REF!,2,FALSE),(VLOOKUP($S7287,References!$B$3:$C$8,2,FALSE))),"")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4"/>
        <v>0</v>
      </c>
      <c r="T7288" s="98">
        <f t="shared" si="293"/>
        <v>0</v>
      </c>
      <c r="U7288" s="99" t="str">
        <f>IFERROR(IF(#REF!="S",VLOOKUP('Raw Data'!A7288,References!#REF!,2,FALSE),(VLOOKUP($S7288,References!$B$3:$C$8,2,FALSE))),"")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4"/>
        <v>0</v>
      </c>
      <c r="T7289" s="98">
        <f t="shared" si="293"/>
        <v>0</v>
      </c>
      <c r="U7289" s="99" t="str">
        <f>IFERROR(IF(#REF!="S",VLOOKUP('Raw Data'!A7289,References!#REF!,2,FALSE),(VLOOKUP($S7289,References!$B$3:$C$8,2,FALSE))),"")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4"/>
        <v>0</v>
      </c>
      <c r="T7290" s="98">
        <f t="shared" si="293"/>
        <v>0</v>
      </c>
      <c r="U7290" s="99" t="str">
        <f>IFERROR(IF(#REF!="S",VLOOKUP('Raw Data'!A7290,References!#REF!,2,FALSE),(VLOOKUP($S7290,References!$B$3:$C$8,2,FALSE))),"")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4"/>
        <v>0</v>
      </c>
      <c r="T7291" s="98">
        <f t="shared" si="293"/>
        <v>0</v>
      </c>
      <c r="U7291" s="99" t="str">
        <f>IFERROR(IF(#REF!="S",VLOOKUP('Raw Data'!A7291,References!#REF!,2,FALSE),(VLOOKUP($S7291,References!$B$3:$C$8,2,FALSE))),"")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4"/>
        <v>0</v>
      </c>
      <c r="T7292" s="98">
        <f t="shared" si="293"/>
        <v>0</v>
      </c>
      <c r="U7292" s="99" t="str">
        <f>IFERROR(IF(#REF!="S",VLOOKUP('Raw Data'!A7292,References!#REF!,2,FALSE),(VLOOKUP($S7292,References!$B$3:$C$8,2,FALSE))),"")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4"/>
        <v>0</v>
      </c>
      <c r="T7293" s="98">
        <f t="shared" si="293"/>
        <v>0</v>
      </c>
      <c r="U7293" s="99" t="str">
        <f>IFERROR(IF(#REF!="S",VLOOKUP('Raw Data'!A7293,References!#REF!,2,FALSE),(VLOOKUP($S7293,References!$B$3:$C$8,2,FALSE))),"")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4"/>
        <v>0</v>
      </c>
      <c r="T7294" s="98">
        <f t="shared" si="293"/>
        <v>0</v>
      </c>
      <c r="U7294" s="99" t="str">
        <f>IFERROR(IF(#REF!="S",VLOOKUP('Raw Data'!A7294,References!#REF!,2,FALSE),(VLOOKUP($S7294,References!$B$3:$C$8,2,FALSE))),"")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4"/>
        <v>0</v>
      </c>
      <c r="T7295" s="98">
        <f t="shared" si="293"/>
        <v>0</v>
      </c>
      <c r="U7295" s="99" t="str">
        <f>IFERROR(IF(#REF!="S",VLOOKUP('Raw Data'!A7295,References!#REF!,2,FALSE),(VLOOKUP($S7295,References!$B$3:$C$8,2,FALSE))),"")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4"/>
        <v>0</v>
      </c>
      <c r="T7296" s="98">
        <f t="shared" si="293"/>
        <v>0</v>
      </c>
      <c r="U7296" s="99" t="str">
        <f>IFERROR(IF(#REF!="S",VLOOKUP('Raw Data'!A7296,References!#REF!,2,FALSE),(VLOOKUP($S7296,References!$B$3:$C$8,2,FALSE))),"")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4"/>
        <v>0</v>
      </c>
      <c r="T7297" s="98">
        <f t="shared" si="293"/>
        <v>0</v>
      </c>
      <c r="U7297" s="99" t="str">
        <f>IFERROR(IF(#REF!="S",VLOOKUP('Raw Data'!A7297,References!#REF!,2,FALSE),(VLOOKUP($S7297,References!$B$3:$C$8,2,FALSE))),"")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4"/>
        <v>0</v>
      </c>
      <c r="T7298" s="98">
        <f t="shared" si="293"/>
        <v>0</v>
      </c>
      <c r="U7298" s="99" t="str">
        <f>IFERROR(IF(#REF!="S",VLOOKUP('Raw Data'!A7298,References!#REF!,2,FALSE),(VLOOKUP($S7298,References!$B$3:$C$8,2,FALSE))),"")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4"/>
        <v>0</v>
      </c>
      <c r="T7299" s="98">
        <f t="shared" si="293"/>
        <v>0</v>
      </c>
      <c r="U7299" s="99" t="str">
        <f>IFERROR(IF(#REF!="S",VLOOKUP('Raw Data'!A7299,References!#REF!,2,FALSE),(VLOOKUP($S7299,References!$B$3:$C$8,2,FALSE))),"")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4"/>
        <v>0</v>
      </c>
      <c r="T7300" s="98">
        <f t="shared" si="293"/>
        <v>0</v>
      </c>
      <c r="U7300" s="99" t="str">
        <f>IFERROR(IF(#REF!="S",VLOOKUP('Raw Data'!A7300,References!#REF!,2,FALSE),(VLOOKUP($S7300,References!$B$3:$C$8,2,FALSE))),"")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4"/>
        <v>0</v>
      </c>
      <c r="T7301" s="98">
        <f t="shared" si="293"/>
        <v>0</v>
      </c>
      <c r="U7301" s="99" t="str">
        <f>IFERROR(IF(#REF!="S",VLOOKUP('Raw Data'!A7301,References!#REF!,2,FALSE),(VLOOKUP($S7301,References!$B$3:$C$8,2,FALSE))),"")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4"/>
        <v>0</v>
      </c>
      <c r="T7302" s="98">
        <f t="shared" si="293"/>
        <v>0</v>
      </c>
      <c r="U7302" s="99" t="str">
        <f>IFERROR(IF(#REF!="S",VLOOKUP('Raw Data'!A7302,References!#REF!,2,FALSE),(VLOOKUP($S7302,References!$B$3:$C$8,2,FALSE))),"")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4"/>
        <v>0</v>
      </c>
      <c r="T7303" s="98">
        <f t="shared" si="293"/>
        <v>0</v>
      </c>
      <c r="U7303" s="99" t="str">
        <f>IFERROR(IF(#REF!="S",VLOOKUP('Raw Data'!A7303,References!#REF!,2,FALSE),(VLOOKUP($S7303,References!$B$3:$C$8,2,FALSE))),"")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4"/>
        <v>0</v>
      </c>
      <c r="T7304" s="98">
        <f t="shared" si="293"/>
        <v>0</v>
      </c>
      <c r="U7304" s="99" t="str">
        <f>IFERROR(IF(#REF!="S",VLOOKUP('Raw Data'!A7304,References!#REF!,2,FALSE),(VLOOKUP($S7304,References!$B$3:$C$8,2,FALSE))),"")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4"/>
        <v>0</v>
      </c>
      <c r="T7305" s="98">
        <f t="shared" si="293"/>
        <v>0</v>
      </c>
      <c r="U7305" s="99" t="str">
        <f>IFERROR(IF(#REF!="S",VLOOKUP('Raw Data'!A7305,References!#REF!,2,FALSE),(VLOOKUP($S7305,References!$B$3:$C$8,2,FALSE))),"")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4"/>
        <v>0</v>
      </c>
      <c r="T7306" s="98">
        <f t="shared" si="293"/>
        <v>0</v>
      </c>
      <c r="U7306" s="99" t="str">
        <f>IFERROR(IF(#REF!="S",VLOOKUP('Raw Data'!A7306,References!#REF!,2,FALSE),(VLOOKUP($S7306,References!$B$3:$C$8,2,FALSE))),"")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4"/>
        <v>0</v>
      </c>
      <c r="T7307" s="98">
        <f t="shared" si="293"/>
        <v>0</v>
      </c>
      <c r="U7307" s="99" t="str">
        <f>IFERROR(IF(#REF!="S",VLOOKUP('Raw Data'!A7307,References!#REF!,2,FALSE),(VLOOKUP($S7307,References!$B$3:$C$8,2,FALSE))),"")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4"/>
        <v>0</v>
      </c>
      <c r="T7308" s="98">
        <f t="shared" si="293"/>
        <v>0</v>
      </c>
      <c r="U7308" s="99" t="str">
        <f>IFERROR(IF(#REF!="S",VLOOKUP('Raw Data'!A7308,References!#REF!,2,FALSE),(VLOOKUP($S7308,References!$B$3:$C$8,2,FALSE))),"")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4"/>
        <v>0</v>
      </c>
      <c r="T7309" s="98">
        <f t="shared" si="293"/>
        <v>0</v>
      </c>
      <c r="U7309" s="99" t="str">
        <f>IFERROR(IF(#REF!="S",VLOOKUP('Raw Data'!A7309,References!#REF!,2,FALSE),(VLOOKUP($S7309,References!$B$3:$C$8,2,FALSE))),"")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4"/>
        <v>0</v>
      </c>
      <c r="T7310" s="98">
        <f t="shared" si="293"/>
        <v>0</v>
      </c>
      <c r="U7310" s="99" t="str">
        <f>IFERROR(IF(#REF!="S",VLOOKUP('Raw Data'!A7310,References!#REF!,2,FALSE),(VLOOKUP($S7310,References!$B$3:$C$8,2,FALSE))),"")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4"/>
        <v>0</v>
      </c>
      <c r="T7311" s="98">
        <f t="shared" si="293"/>
        <v>0</v>
      </c>
      <c r="U7311" s="99" t="str">
        <f>IFERROR(IF(#REF!="S",VLOOKUP('Raw Data'!A7311,References!#REF!,2,FALSE),(VLOOKUP($S7311,References!$B$3:$C$8,2,FALSE))),"")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4"/>
        <v>0</v>
      </c>
      <c r="T7312" s="98">
        <f t="shared" ref="T7312:T7375" si="295">IF(S7312="50 - Cleaning Fee",1,HOUR($R7312)+MINUTE(R7312)/60)</f>
        <v>0</v>
      </c>
      <c r="U7312" s="99" t="str">
        <f>IFERROR(IF(#REF!="S",VLOOKUP('Raw Data'!A7312,References!#REF!,2,FALSE),(VLOOKUP($S7312,References!$B$3:$C$8,2,FALSE))),"")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4"/>
        <v>0</v>
      </c>
      <c r="T7313" s="98">
        <f t="shared" si="295"/>
        <v>0</v>
      </c>
      <c r="U7313" s="99" t="str">
        <f>IFERROR(IF(#REF!="S",VLOOKUP('Raw Data'!A7313,References!#REF!,2,FALSE),(VLOOKUP($S7313,References!$B$3:$C$8,2,FALSE))),"")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4"/>
        <v>0</v>
      </c>
      <c r="T7314" s="98">
        <f t="shared" si="295"/>
        <v>0</v>
      </c>
      <c r="U7314" s="99" t="str">
        <f>IFERROR(IF(#REF!="S",VLOOKUP('Raw Data'!A7314,References!#REF!,2,FALSE),(VLOOKUP($S7314,References!$B$3:$C$8,2,FALSE))),"")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4"/>
        <v>0</v>
      </c>
      <c r="T7315" s="98">
        <f t="shared" si="295"/>
        <v>0</v>
      </c>
      <c r="U7315" s="99" t="str">
        <f>IFERROR(IF(#REF!="S",VLOOKUP('Raw Data'!A7315,References!#REF!,2,FALSE),(VLOOKUP($S7315,References!$B$3:$C$8,2,FALSE))),"")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4"/>
        <v>0</v>
      </c>
      <c r="T7316" s="98">
        <f t="shared" si="295"/>
        <v>0</v>
      </c>
      <c r="U7316" s="99" t="str">
        <f>IFERROR(IF(#REF!="S",VLOOKUP('Raw Data'!A7316,References!#REF!,2,FALSE),(VLOOKUP($S7316,References!$B$3:$C$8,2,FALSE))),"")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4"/>
        <v>0</v>
      </c>
      <c r="T7317" s="98">
        <f t="shared" si="295"/>
        <v>0</v>
      </c>
      <c r="U7317" s="99" t="str">
        <f>IFERROR(IF(#REF!="S",VLOOKUP('Raw Data'!A7317,References!#REF!,2,FALSE),(VLOOKUP($S7317,References!$B$3:$C$8,2,FALSE))),"")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4"/>
        <v>0</v>
      </c>
      <c r="T7318" s="98">
        <f t="shared" si="295"/>
        <v>0</v>
      </c>
      <c r="U7318" s="99" t="str">
        <f>IFERROR(IF(#REF!="S",VLOOKUP('Raw Data'!A7318,References!#REF!,2,FALSE),(VLOOKUP($S7318,References!$B$3:$C$8,2,FALSE))),"")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4"/>
        <v>0</v>
      </c>
      <c r="T7319" s="98">
        <f t="shared" si="295"/>
        <v>0</v>
      </c>
      <c r="U7319" s="99" t="str">
        <f>IFERROR(IF(#REF!="S",VLOOKUP('Raw Data'!A7319,References!#REF!,2,FALSE),(VLOOKUP($S7319,References!$B$3:$C$8,2,FALSE))),"")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4"/>
        <v>0</v>
      </c>
      <c r="T7320" s="98">
        <f t="shared" si="295"/>
        <v>0</v>
      </c>
      <c r="U7320" s="99" t="str">
        <f>IFERROR(IF(#REF!="S",VLOOKUP('Raw Data'!A7320,References!#REF!,2,FALSE),(VLOOKUP($S7320,References!$B$3:$C$8,2,FALSE))),"")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4"/>
        <v>0</v>
      </c>
      <c r="T7321" s="98">
        <f t="shared" si="295"/>
        <v>0</v>
      </c>
      <c r="U7321" s="99" t="str">
        <f>IFERROR(IF(#REF!="S",VLOOKUP('Raw Data'!A7321,References!#REF!,2,FALSE),(VLOOKUP($S7321,References!$B$3:$C$8,2,FALSE))),"")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4"/>
        <v>0</v>
      </c>
      <c r="T7322" s="98">
        <f t="shared" si="295"/>
        <v>0</v>
      </c>
      <c r="U7322" s="99" t="str">
        <f>IFERROR(IF(#REF!="S",VLOOKUP('Raw Data'!A7322,References!#REF!,2,FALSE),(VLOOKUP($S7322,References!$B$3:$C$8,2,FALSE))),"")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4"/>
        <v>0</v>
      </c>
      <c r="T7323" s="98">
        <f t="shared" si="295"/>
        <v>0</v>
      </c>
      <c r="U7323" s="99" t="str">
        <f>IFERROR(IF(#REF!="S",VLOOKUP('Raw Data'!A7323,References!#REF!,2,FALSE),(VLOOKUP($S7323,References!$B$3:$C$8,2,FALSE))),"")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4"/>
        <v>0</v>
      </c>
      <c r="T7324" s="98">
        <f t="shared" si="295"/>
        <v>0</v>
      </c>
      <c r="U7324" s="99" t="str">
        <f>IFERROR(IF(#REF!="S",VLOOKUP('Raw Data'!A7324,References!#REF!,2,FALSE),(VLOOKUP($S7324,References!$B$3:$C$8,2,FALSE))),"")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4"/>
        <v>0</v>
      </c>
      <c r="T7325" s="98">
        <f t="shared" si="295"/>
        <v>0</v>
      </c>
      <c r="U7325" s="99" t="str">
        <f>IFERROR(IF(#REF!="S",VLOOKUP('Raw Data'!A7325,References!#REF!,2,FALSE),(VLOOKUP($S7325,References!$B$3:$C$8,2,FALSE))),"")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4"/>
        <v>0</v>
      </c>
      <c r="T7326" s="98">
        <f t="shared" si="295"/>
        <v>0</v>
      </c>
      <c r="U7326" s="99" t="str">
        <f>IFERROR(IF(#REF!="S",VLOOKUP('Raw Data'!A7326,References!#REF!,2,FALSE),(VLOOKUP($S7326,References!$B$3:$C$8,2,FALSE))),"")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4"/>
        <v>0</v>
      </c>
      <c r="T7327" s="98">
        <f t="shared" si="295"/>
        <v>0</v>
      </c>
      <c r="U7327" s="99" t="str">
        <f>IFERROR(IF(#REF!="S",VLOOKUP('Raw Data'!A7327,References!#REF!,2,FALSE),(VLOOKUP($S7327,References!$B$3:$C$8,2,FALSE))),"")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4"/>
        <v>0</v>
      </c>
      <c r="T7328" s="98">
        <f t="shared" si="295"/>
        <v>0</v>
      </c>
      <c r="U7328" s="99" t="str">
        <f>IFERROR(IF(#REF!="S",VLOOKUP('Raw Data'!A7328,References!#REF!,2,FALSE),(VLOOKUP($S7328,References!$B$3:$C$8,2,FALSE))),"")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4"/>
        <v>0</v>
      </c>
      <c r="T7329" s="98">
        <f t="shared" si="295"/>
        <v>0</v>
      </c>
      <c r="U7329" s="99" t="str">
        <f>IFERROR(IF(#REF!="S",VLOOKUP('Raw Data'!A7329,References!#REF!,2,FALSE),(VLOOKUP($S7329,References!$B$3:$C$8,2,FALSE))),"")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4"/>
        <v>0</v>
      </c>
      <c r="T7330" s="98">
        <f t="shared" si="295"/>
        <v>0</v>
      </c>
      <c r="U7330" s="99" t="str">
        <f>IFERROR(IF(#REF!="S",VLOOKUP('Raw Data'!A7330,References!#REF!,2,FALSE),(VLOOKUP($S7330,References!$B$3:$C$8,2,FALSE))),"")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4"/>
        <v>0</v>
      </c>
      <c r="T7331" s="98">
        <f t="shared" si="295"/>
        <v>0</v>
      </c>
      <c r="U7331" s="99" t="str">
        <f>IFERROR(IF(#REF!="S",VLOOKUP('Raw Data'!A7331,References!#REF!,2,FALSE),(VLOOKUP($S7331,References!$B$3:$C$8,2,FALSE))),"")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4"/>
        <v>0</v>
      </c>
      <c r="T7332" s="98">
        <f t="shared" si="295"/>
        <v>0</v>
      </c>
      <c r="U7332" s="99" t="str">
        <f>IFERROR(IF(#REF!="S",VLOOKUP('Raw Data'!A7332,References!#REF!,2,FALSE),(VLOOKUP($S7332,References!$B$3:$C$8,2,FALSE))),"")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4"/>
        <v>0</v>
      </c>
      <c r="T7333" s="98">
        <f t="shared" si="295"/>
        <v>0</v>
      </c>
      <c r="U7333" s="99" t="str">
        <f>IFERROR(IF(#REF!="S",VLOOKUP('Raw Data'!A7333,References!#REF!,2,FALSE),(VLOOKUP($S7333,References!$B$3:$C$8,2,FALSE))),"")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4"/>
        <v>0</v>
      </c>
      <c r="T7334" s="98">
        <f t="shared" si="295"/>
        <v>0</v>
      </c>
      <c r="U7334" s="99" t="str">
        <f>IFERROR(IF(#REF!="S",VLOOKUP('Raw Data'!A7334,References!#REF!,2,FALSE),(VLOOKUP($S7334,References!$B$3:$C$8,2,FALSE))),"")</f>
        <v/>
      </c>
      <c r="W7334" s="66" t="str">
        <f>IFERROR(VLOOKUP($O7334,'Customer List'!$A$1:$J$488,10,FALSE),"")</f>
        <v/>
      </c>
    </row>
    <row r="7335" spans="18:23">
      <c r="R7335" s="97">
        <f t="shared" si="294"/>
        <v>0</v>
      </c>
      <c r="T7335" s="98">
        <f t="shared" si="295"/>
        <v>0</v>
      </c>
      <c r="U7335" s="99" t="str">
        <f>IFERROR(IF(#REF!="S",VLOOKUP('Raw Data'!A7335,References!#REF!,2,FALSE),(VLOOKUP($S7335,References!$B$3:$C$8,2,FALSE))),"")</f>
        <v/>
      </c>
      <c r="W7335" s="66" t="str">
        <f>IFERROR(VLOOKUP($O7335,'Customer List'!$A$1:$J$488,10,FALSE),"")</f>
        <v/>
      </c>
    </row>
    <row r="7336" spans="18:23">
      <c r="R7336" s="97">
        <f t="shared" ref="R7336:R7399" si="296">L7336-K7336</f>
        <v>0</v>
      </c>
      <c r="T7336" s="98">
        <f t="shared" si="295"/>
        <v>0</v>
      </c>
      <c r="U7336" s="99" t="str">
        <f>IFERROR(IF(#REF!="S",VLOOKUP('Raw Data'!A7336,References!#REF!,2,FALSE),(VLOOKUP($S7336,References!$B$3:$C$8,2,FALSE))),"")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6"/>
        <v>0</v>
      </c>
      <c r="T7337" s="98">
        <f t="shared" si="295"/>
        <v>0</v>
      </c>
      <c r="U7337" s="99" t="str">
        <f>IFERROR(IF(#REF!="S",VLOOKUP('Raw Data'!A7337,References!#REF!,2,FALSE),(VLOOKUP($S7337,References!$B$3:$C$8,2,FALSE))),"")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6"/>
        <v>0</v>
      </c>
      <c r="T7338" s="98">
        <f t="shared" si="295"/>
        <v>0</v>
      </c>
      <c r="U7338" s="99" t="str">
        <f>IFERROR(IF(#REF!="S",VLOOKUP('Raw Data'!A7338,References!#REF!,2,FALSE),(VLOOKUP($S7338,References!$B$3:$C$8,2,FALSE))),"")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6"/>
        <v>0</v>
      </c>
      <c r="T7339" s="98">
        <f t="shared" si="295"/>
        <v>0</v>
      </c>
      <c r="U7339" s="99" t="str">
        <f>IFERROR(IF(#REF!="S",VLOOKUP('Raw Data'!A7339,References!#REF!,2,FALSE),(VLOOKUP($S7339,References!$B$3:$C$8,2,FALSE))),"")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6"/>
        <v>0</v>
      </c>
      <c r="T7340" s="98">
        <f t="shared" si="295"/>
        <v>0</v>
      </c>
      <c r="U7340" s="99" t="str">
        <f>IFERROR(IF(#REF!="S",VLOOKUP('Raw Data'!A7340,References!#REF!,2,FALSE),(VLOOKUP($S7340,References!$B$3:$C$8,2,FALSE))),"")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6"/>
        <v>0</v>
      </c>
      <c r="T7341" s="98">
        <f t="shared" si="295"/>
        <v>0</v>
      </c>
      <c r="U7341" s="99" t="str">
        <f>IFERROR(IF(#REF!="S",VLOOKUP('Raw Data'!A7341,References!#REF!,2,FALSE),(VLOOKUP($S7341,References!$B$3:$C$8,2,FALSE))),"")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6"/>
        <v>0</v>
      </c>
      <c r="T7342" s="98">
        <f t="shared" si="295"/>
        <v>0</v>
      </c>
      <c r="U7342" s="99" t="str">
        <f>IFERROR(IF(#REF!="S",VLOOKUP('Raw Data'!A7342,References!#REF!,2,FALSE),(VLOOKUP($S7342,References!$B$3:$C$8,2,FALSE))),"")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6"/>
        <v>0</v>
      </c>
      <c r="T7343" s="98">
        <f t="shared" si="295"/>
        <v>0</v>
      </c>
      <c r="U7343" s="99" t="str">
        <f>IFERROR(IF(#REF!="S",VLOOKUP('Raw Data'!A7343,References!#REF!,2,FALSE),(VLOOKUP($S7343,References!$B$3:$C$8,2,FALSE))),"")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6"/>
        <v>0</v>
      </c>
      <c r="T7344" s="98">
        <f t="shared" si="295"/>
        <v>0</v>
      </c>
      <c r="U7344" s="99" t="str">
        <f>IFERROR(IF(#REF!="S",VLOOKUP('Raw Data'!A7344,References!#REF!,2,FALSE),(VLOOKUP($S7344,References!$B$3:$C$8,2,FALSE))),"")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6"/>
        <v>0</v>
      </c>
      <c r="T7345" s="98">
        <f t="shared" si="295"/>
        <v>0</v>
      </c>
      <c r="U7345" s="99" t="str">
        <f>IFERROR(IF(#REF!="S",VLOOKUP('Raw Data'!A7345,References!#REF!,2,FALSE),(VLOOKUP($S7345,References!$B$3:$C$8,2,FALSE))),"")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6"/>
        <v>0</v>
      </c>
      <c r="T7346" s="98">
        <f t="shared" si="295"/>
        <v>0</v>
      </c>
      <c r="U7346" s="99" t="str">
        <f>IFERROR(IF(#REF!="S",VLOOKUP('Raw Data'!A7346,References!#REF!,2,FALSE),(VLOOKUP($S7346,References!$B$3:$C$8,2,FALSE))),"")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6"/>
        <v>0</v>
      </c>
      <c r="T7347" s="98">
        <f t="shared" si="295"/>
        <v>0</v>
      </c>
      <c r="U7347" s="99" t="str">
        <f>IFERROR(IF(#REF!="S",VLOOKUP('Raw Data'!A7347,References!#REF!,2,FALSE),(VLOOKUP($S7347,References!$B$3:$C$8,2,FALSE))),"")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6"/>
        <v>0</v>
      </c>
      <c r="T7348" s="98">
        <f t="shared" si="295"/>
        <v>0</v>
      </c>
      <c r="U7348" s="99" t="str">
        <f>IFERROR(IF(#REF!="S",VLOOKUP('Raw Data'!A7348,References!#REF!,2,FALSE),(VLOOKUP($S7348,References!$B$3:$C$8,2,FALSE))),"")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6"/>
        <v>0</v>
      </c>
      <c r="T7349" s="98">
        <f t="shared" si="295"/>
        <v>0</v>
      </c>
      <c r="U7349" s="99" t="str">
        <f>IFERROR(IF(#REF!="S",VLOOKUP('Raw Data'!A7349,References!#REF!,2,FALSE),(VLOOKUP($S7349,References!$B$3:$C$8,2,FALSE))),"")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6"/>
        <v>0</v>
      </c>
      <c r="T7350" s="98">
        <f t="shared" si="295"/>
        <v>0</v>
      </c>
      <c r="U7350" s="99" t="str">
        <f>IFERROR(IF(#REF!="S",VLOOKUP('Raw Data'!A7350,References!#REF!,2,FALSE),(VLOOKUP($S7350,References!$B$3:$C$8,2,FALSE))),"")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6"/>
        <v>0</v>
      </c>
      <c r="T7351" s="98">
        <f t="shared" si="295"/>
        <v>0</v>
      </c>
      <c r="U7351" s="99" t="str">
        <f>IFERROR(IF(#REF!="S",VLOOKUP('Raw Data'!A7351,References!#REF!,2,FALSE),(VLOOKUP($S7351,References!$B$3:$C$8,2,FALSE))),"")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6"/>
        <v>0</v>
      </c>
      <c r="T7352" s="98">
        <f t="shared" si="295"/>
        <v>0</v>
      </c>
      <c r="U7352" s="99" t="str">
        <f>IFERROR(IF(#REF!="S",VLOOKUP('Raw Data'!A7352,References!#REF!,2,FALSE),(VLOOKUP($S7352,References!$B$3:$C$8,2,FALSE))),"")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6"/>
        <v>0</v>
      </c>
      <c r="T7353" s="98">
        <f t="shared" si="295"/>
        <v>0</v>
      </c>
      <c r="U7353" s="99" t="str">
        <f>IFERROR(IF(#REF!="S",VLOOKUP('Raw Data'!A7353,References!#REF!,2,FALSE),(VLOOKUP($S7353,References!$B$3:$C$8,2,FALSE))),"")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6"/>
        <v>0</v>
      </c>
      <c r="T7354" s="98">
        <f t="shared" si="295"/>
        <v>0</v>
      </c>
      <c r="U7354" s="99" t="str">
        <f>IFERROR(IF(#REF!="S",VLOOKUP('Raw Data'!A7354,References!#REF!,2,FALSE),(VLOOKUP($S7354,References!$B$3:$C$8,2,FALSE))),"")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6"/>
        <v>0</v>
      </c>
      <c r="T7355" s="98">
        <f t="shared" si="295"/>
        <v>0</v>
      </c>
      <c r="U7355" s="99" t="str">
        <f>IFERROR(IF(#REF!="S",VLOOKUP('Raw Data'!A7355,References!#REF!,2,FALSE),(VLOOKUP($S7355,References!$B$3:$C$8,2,FALSE))),"")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6"/>
        <v>0</v>
      </c>
      <c r="T7356" s="98">
        <f t="shared" si="295"/>
        <v>0</v>
      </c>
      <c r="U7356" s="99" t="str">
        <f>IFERROR(IF(#REF!="S",VLOOKUP('Raw Data'!A7356,References!#REF!,2,FALSE),(VLOOKUP($S7356,References!$B$3:$C$8,2,FALSE))),"")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6"/>
        <v>0</v>
      </c>
      <c r="T7357" s="98">
        <f t="shared" si="295"/>
        <v>0</v>
      </c>
      <c r="U7357" s="99" t="str">
        <f>IFERROR(IF(#REF!="S",VLOOKUP('Raw Data'!A7357,References!#REF!,2,FALSE),(VLOOKUP($S7357,References!$B$3:$C$8,2,FALSE))),"")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6"/>
        <v>0</v>
      </c>
      <c r="T7358" s="98">
        <f t="shared" si="295"/>
        <v>0</v>
      </c>
      <c r="U7358" s="99" t="str">
        <f>IFERROR(IF(#REF!="S",VLOOKUP('Raw Data'!A7358,References!#REF!,2,FALSE),(VLOOKUP($S7358,References!$B$3:$C$8,2,FALSE))),"")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6"/>
        <v>0</v>
      </c>
      <c r="T7359" s="98">
        <f t="shared" si="295"/>
        <v>0</v>
      </c>
      <c r="U7359" s="99" t="str">
        <f>IFERROR(IF(#REF!="S",VLOOKUP('Raw Data'!A7359,References!#REF!,2,FALSE),(VLOOKUP($S7359,References!$B$3:$C$8,2,FALSE))),"")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6"/>
        <v>0</v>
      </c>
      <c r="T7360" s="98">
        <f t="shared" si="295"/>
        <v>0</v>
      </c>
      <c r="U7360" s="99" t="str">
        <f>IFERROR(IF(#REF!="S",VLOOKUP('Raw Data'!A7360,References!#REF!,2,FALSE),(VLOOKUP($S7360,References!$B$3:$C$8,2,FALSE))),"")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6"/>
        <v>0</v>
      </c>
      <c r="T7361" s="98">
        <f t="shared" si="295"/>
        <v>0</v>
      </c>
      <c r="U7361" s="99" t="str">
        <f>IFERROR(IF(#REF!="S",VLOOKUP('Raw Data'!A7361,References!#REF!,2,FALSE),(VLOOKUP($S7361,References!$B$3:$C$8,2,FALSE))),"")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6"/>
        <v>0</v>
      </c>
      <c r="T7362" s="98">
        <f t="shared" si="295"/>
        <v>0</v>
      </c>
      <c r="U7362" s="99" t="str">
        <f>IFERROR(IF(#REF!="S",VLOOKUP('Raw Data'!A7362,References!#REF!,2,FALSE),(VLOOKUP($S7362,References!$B$3:$C$8,2,FALSE))),"")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6"/>
        <v>0</v>
      </c>
      <c r="T7363" s="98">
        <f t="shared" si="295"/>
        <v>0</v>
      </c>
      <c r="U7363" s="99" t="str">
        <f>IFERROR(IF(#REF!="S",VLOOKUP('Raw Data'!A7363,References!#REF!,2,FALSE),(VLOOKUP($S7363,References!$B$3:$C$8,2,FALSE))),"")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6"/>
        <v>0</v>
      </c>
      <c r="T7364" s="98">
        <f t="shared" si="295"/>
        <v>0</v>
      </c>
      <c r="U7364" s="99" t="str">
        <f>IFERROR(IF(#REF!="S",VLOOKUP('Raw Data'!A7364,References!#REF!,2,FALSE),(VLOOKUP($S7364,References!$B$3:$C$8,2,FALSE))),"")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6"/>
        <v>0</v>
      </c>
      <c r="T7365" s="98">
        <f t="shared" si="295"/>
        <v>0</v>
      </c>
      <c r="U7365" s="99" t="str">
        <f>IFERROR(IF(#REF!="S",VLOOKUP('Raw Data'!A7365,References!#REF!,2,FALSE),(VLOOKUP($S7365,References!$B$3:$C$8,2,FALSE))),"")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6"/>
        <v>0</v>
      </c>
      <c r="T7366" s="98">
        <f t="shared" si="295"/>
        <v>0</v>
      </c>
      <c r="U7366" s="99" t="str">
        <f>IFERROR(IF(#REF!="S",VLOOKUP('Raw Data'!A7366,References!#REF!,2,FALSE),(VLOOKUP($S7366,References!$B$3:$C$8,2,FALSE))),"")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6"/>
        <v>0</v>
      </c>
      <c r="T7367" s="98">
        <f t="shared" si="295"/>
        <v>0</v>
      </c>
      <c r="U7367" s="99" t="str">
        <f>IFERROR(IF(#REF!="S",VLOOKUP('Raw Data'!A7367,References!#REF!,2,FALSE),(VLOOKUP($S7367,References!$B$3:$C$8,2,FALSE))),"")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6"/>
        <v>0</v>
      </c>
      <c r="T7368" s="98">
        <f t="shared" si="295"/>
        <v>0</v>
      </c>
      <c r="U7368" s="99" t="str">
        <f>IFERROR(IF(#REF!="S",VLOOKUP('Raw Data'!A7368,References!#REF!,2,FALSE),(VLOOKUP($S7368,References!$B$3:$C$8,2,FALSE))),"")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6"/>
        <v>0</v>
      </c>
      <c r="T7369" s="98">
        <f t="shared" si="295"/>
        <v>0</v>
      </c>
      <c r="U7369" s="99" t="str">
        <f>IFERROR(IF(#REF!="S",VLOOKUP('Raw Data'!A7369,References!#REF!,2,FALSE),(VLOOKUP($S7369,References!$B$3:$C$8,2,FALSE))),"")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6"/>
        <v>0</v>
      </c>
      <c r="T7370" s="98">
        <f t="shared" si="295"/>
        <v>0</v>
      </c>
      <c r="U7370" s="99" t="str">
        <f>IFERROR(IF(#REF!="S",VLOOKUP('Raw Data'!A7370,References!#REF!,2,FALSE),(VLOOKUP($S7370,References!$B$3:$C$8,2,FALSE))),"")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6"/>
        <v>0</v>
      </c>
      <c r="T7371" s="98">
        <f t="shared" si="295"/>
        <v>0</v>
      </c>
      <c r="U7371" s="99" t="str">
        <f>IFERROR(IF(#REF!="S",VLOOKUP('Raw Data'!A7371,References!#REF!,2,FALSE),(VLOOKUP($S7371,References!$B$3:$C$8,2,FALSE))),"")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6"/>
        <v>0</v>
      </c>
      <c r="T7372" s="98">
        <f t="shared" si="295"/>
        <v>0</v>
      </c>
      <c r="U7372" s="99" t="str">
        <f>IFERROR(IF(#REF!="S",VLOOKUP('Raw Data'!A7372,References!#REF!,2,FALSE),(VLOOKUP($S7372,References!$B$3:$C$8,2,FALSE))),"")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6"/>
        <v>0</v>
      </c>
      <c r="T7373" s="98">
        <f t="shared" si="295"/>
        <v>0</v>
      </c>
      <c r="U7373" s="99" t="str">
        <f>IFERROR(IF(#REF!="S",VLOOKUP('Raw Data'!A7373,References!#REF!,2,FALSE),(VLOOKUP($S7373,References!$B$3:$C$8,2,FALSE))),"")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6"/>
        <v>0</v>
      </c>
      <c r="T7374" s="98">
        <f t="shared" si="295"/>
        <v>0</v>
      </c>
      <c r="U7374" s="99" t="str">
        <f>IFERROR(IF(#REF!="S",VLOOKUP('Raw Data'!A7374,References!#REF!,2,FALSE),(VLOOKUP($S7374,References!$B$3:$C$8,2,FALSE))),"")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6"/>
        <v>0</v>
      </c>
      <c r="T7375" s="98">
        <f t="shared" si="295"/>
        <v>0</v>
      </c>
      <c r="U7375" s="99" t="str">
        <f>IFERROR(IF(#REF!="S",VLOOKUP('Raw Data'!A7375,References!#REF!,2,FALSE),(VLOOKUP($S7375,References!$B$3:$C$8,2,FALSE))),"")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6"/>
        <v>0</v>
      </c>
      <c r="T7376" s="98">
        <f t="shared" ref="T7376:T7439" si="297">IF(S7376="50 - Cleaning Fee",1,HOUR($R7376)+MINUTE(R7376)/60)</f>
        <v>0</v>
      </c>
      <c r="U7376" s="99" t="str">
        <f>IFERROR(IF(#REF!="S",VLOOKUP('Raw Data'!A7376,References!#REF!,2,FALSE),(VLOOKUP($S7376,References!$B$3:$C$8,2,FALSE))),"")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6"/>
        <v>0</v>
      </c>
      <c r="T7377" s="98">
        <f t="shared" si="297"/>
        <v>0</v>
      </c>
      <c r="U7377" s="99" t="str">
        <f>IFERROR(IF(#REF!="S",VLOOKUP('Raw Data'!A7377,References!#REF!,2,FALSE),(VLOOKUP($S7377,References!$B$3:$C$8,2,FALSE))),"")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6"/>
        <v>0</v>
      </c>
      <c r="T7378" s="98">
        <f t="shared" si="297"/>
        <v>0</v>
      </c>
      <c r="U7378" s="99" t="str">
        <f>IFERROR(IF(#REF!="S",VLOOKUP('Raw Data'!A7378,References!#REF!,2,FALSE),(VLOOKUP($S7378,References!$B$3:$C$8,2,FALSE))),"")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6"/>
        <v>0</v>
      </c>
      <c r="T7379" s="98">
        <f t="shared" si="297"/>
        <v>0</v>
      </c>
      <c r="U7379" s="99" t="str">
        <f>IFERROR(IF(#REF!="S",VLOOKUP('Raw Data'!A7379,References!#REF!,2,FALSE),(VLOOKUP($S7379,References!$B$3:$C$8,2,FALSE))),"")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6"/>
        <v>0</v>
      </c>
      <c r="T7380" s="98">
        <f t="shared" si="297"/>
        <v>0</v>
      </c>
      <c r="U7380" s="99" t="str">
        <f>IFERROR(IF(#REF!="S",VLOOKUP('Raw Data'!A7380,References!#REF!,2,FALSE),(VLOOKUP($S7380,References!$B$3:$C$8,2,FALSE))),"")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6"/>
        <v>0</v>
      </c>
      <c r="T7381" s="98">
        <f t="shared" si="297"/>
        <v>0</v>
      </c>
      <c r="U7381" s="99" t="str">
        <f>IFERROR(IF(#REF!="S",VLOOKUP('Raw Data'!A7381,References!#REF!,2,FALSE),(VLOOKUP($S7381,References!$B$3:$C$8,2,FALSE))),"")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6"/>
        <v>0</v>
      </c>
      <c r="T7382" s="98">
        <f t="shared" si="297"/>
        <v>0</v>
      </c>
      <c r="U7382" s="99" t="str">
        <f>IFERROR(IF(#REF!="S",VLOOKUP('Raw Data'!A7382,References!#REF!,2,FALSE),(VLOOKUP($S7382,References!$B$3:$C$8,2,FALSE))),"")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6"/>
        <v>0</v>
      </c>
      <c r="T7383" s="98">
        <f t="shared" si="297"/>
        <v>0</v>
      </c>
      <c r="U7383" s="99" t="str">
        <f>IFERROR(IF(#REF!="S",VLOOKUP('Raw Data'!A7383,References!#REF!,2,FALSE),(VLOOKUP($S7383,References!$B$3:$C$8,2,FALSE))),"")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6"/>
        <v>0</v>
      </c>
      <c r="T7384" s="98">
        <f t="shared" si="297"/>
        <v>0</v>
      </c>
      <c r="U7384" s="99" t="str">
        <f>IFERROR(IF(#REF!="S",VLOOKUP('Raw Data'!A7384,References!#REF!,2,FALSE),(VLOOKUP($S7384,References!$B$3:$C$8,2,FALSE))),"")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6"/>
        <v>0</v>
      </c>
      <c r="T7385" s="98">
        <f t="shared" si="297"/>
        <v>0</v>
      </c>
      <c r="U7385" s="99" t="str">
        <f>IFERROR(IF(#REF!="S",VLOOKUP('Raw Data'!A7385,References!#REF!,2,FALSE),(VLOOKUP($S7385,References!$B$3:$C$8,2,FALSE))),"")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6"/>
        <v>0</v>
      </c>
      <c r="T7386" s="98">
        <f t="shared" si="297"/>
        <v>0</v>
      </c>
      <c r="U7386" s="99" t="str">
        <f>IFERROR(IF(#REF!="S",VLOOKUP('Raw Data'!A7386,References!#REF!,2,FALSE),(VLOOKUP($S7386,References!$B$3:$C$8,2,FALSE))),"")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6"/>
        <v>0</v>
      </c>
      <c r="T7387" s="98">
        <f t="shared" si="297"/>
        <v>0</v>
      </c>
      <c r="U7387" s="99" t="str">
        <f>IFERROR(IF(#REF!="S",VLOOKUP('Raw Data'!A7387,References!#REF!,2,FALSE),(VLOOKUP($S7387,References!$B$3:$C$8,2,FALSE))),"")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6"/>
        <v>0</v>
      </c>
      <c r="T7388" s="98">
        <f t="shared" si="297"/>
        <v>0</v>
      </c>
      <c r="U7388" s="99" t="str">
        <f>IFERROR(IF(#REF!="S",VLOOKUP('Raw Data'!A7388,References!#REF!,2,FALSE),(VLOOKUP($S7388,References!$B$3:$C$8,2,FALSE))),"")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6"/>
        <v>0</v>
      </c>
      <c r="T7389" s="98">
        <f t="shared" si="297"/>
        <v>0</v>
      </c>
      <c r="U7389" s="99" t="str">
        <f>IFERROR(IF(#REF!="S",VLOOKUP('Raw Data'!A7389,References!#REF!,2,FALSE),(VLOOKUP($S7389,References!$B$3:$C$8,2,FALSE))),"")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6"/>
        <v>0</v>
      </c>
      <c r="T7390" s="98">
        <f t="shared" si="297"/>
        <v>0</v>
      </c>
      <c r="U7390" s="99" t="str">
        <f>IFERROR(IF(#REF!="S",VLOOKUP('Raw Data'!A7390,References!#REF!,2,FALSE),(VLOOKUP($S7390,References!$B$3:$C$8,2,FALSE))),"")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6"/>
        <v>0</v>
      </c>
      <c r="T7391" s="98">
        <f t="shared" si="297"/>
        <v>0</v>
      </c>
      <c r="U7391" s="99" t="str">
        <f>IFERROR(IF(#REF!="S",VLOOKUP('Raw Data'!A7391,References!#REF!,2,FALSE),(VLOOKUP($S7391,References!$B$3:$C$8,2,FALSE))),"")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6"/>
        <v>0</v>
      </c>
      <c r="T7392" s="98">
        <f t="shared" si="297"/>
        <v>0</v>
      </c>
      <c r="U7392" s="99" t="str">
        <f>IFERROR(IF(#REF!="S",VLOOKUP('Raw Data'!A7392,References!#REF!,2,FALSE),(VLOOKUP($S7392,References!$B$3:$C$8,2,FALSE))),"")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6"/>
        <v>0</v>
      </c>
      <c r="T7393" s="98">
        <f t="shared" si="297"/>
        <v>0</v>
      </c>
      <c r="U7393" s="99" t="str">
        <f>IFERROR(IF(#REF!="S",VLOOKUP('Raw Data'!A7393,References!#REF!,2,FALSE),(VLOOKUP($S7393,References!$B$3:$C$8,2,FALSE))),"")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6"/>
        <v>0</v>
      </c>
      <c r="T7394" s="98">
        <f t="shared" si="297"/>
        <v>0</v>
      </c>
      <c r="U7394" s="99" t="str">
        <f>IFERROR(IF(#REF!="S",VLOOKUP('Raw Data'!A7394,References!#REF!,2,FALSE),(VLOOKUP($S7394,References!$B$3:$C$8,2,FALSE))),"")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6"/>
        <v>0</v>
      </c>
      <c r="T7395" s="98">
        <f t="shared" si="297"/>
        <v>0</v>
      </c>
      <c r="U7395" s="99" t="str">
        <f>IFERROR(IF(#REF!="S",VLOOKUP('Raw Data'!A7395,References!#REF!,2,FALSE),(VLOOKUP($S7395,References!$B$3:$C$8,2,FALSE))),"")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6"/>
        <v>0</v>
      </c>
      <c r="T7396" s="98">
        <f t="shared" si="297"/>
        <v>0</v>
      </c>
      <c r="U7396" s="99" t="str">
        <f>IFERROR(IF(#REF!="S",VLOOKUP('Raw Data'!A7396,References!#REF!,2,FALSE),(VLOOKUP($S7396,References!$B$3:$C$8,2,FALSE))),"")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6"/>
        <v>0</v>
      </c>
      <c r="T7397" s="98">
        <f t="shared" si="297"/>
        <v>0</v>
      </c>
      <c r="U7397" s="99" t="str">
        <f>IFERROR(IF(#REF!="S",VLOOKUP('Raw Data'!A7397,References!#REF!,2,FALSE),(VLOOKUP($S7397,References!$B$3:$C$8,2,FALSE))),"")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6"/>
        <v>0</v>
      </c>
      <c r="T7398" s="98">
        <f t="shared" si="297"/>
        <v>0</v>
      </c>
      <c r="U7398" s="99" t="str">
        <f>IFERROR(IF(#REF!="S",VLOOKUP('Raw Data'!A7398,References!#REF!,2,FALSE),(VLOOKUP($S7398,References!$B$3:$C$8,2,FALSE))),"")</f>
        <v/>
      </c>
      <c r="W7398" s="66" t="str">
        <f>IFERROR(VLOOKUP($O7398,'Customer List'!$A$1:$J$488,10,FALSE),"")</f>
        <v/>
      </c>
    </row>
    <row r="7399" spans="18:23">
      <c r="R7399" s="97">
        <f t="shared" si="296"/>
        <v>0</v>
      </c>
      <c r="T7399" s="98">
        <f t="shared" si="297"/>
        <v>0</v>
      </c>
      <c r="U7399" s="99" t="str">
        <f>IFERROR(IF(#REF!="S",VLOOKUP('Raw Data'!A7399,References!#REF!,2,FALSE),(VLOOKUP($S7399,References!$B$3:$C$8,2,FALSE))),"")</f>
        <v/>
      </c>
      <c r="W7399" s="66" t="str">
        <f>IFERROR(VLOOKUP($O7399,'Customer List'!$A$1:$J$488,10,FALSE),"")</f>
        <v/>
      </c>
    </row>
    <row r="7400" spans="18:23">
      <c r="R7400" s="97">
        <f t="shared" ref="R7400:R7463" si="298">L7400-K7400</f>
        <v>0</v>
      </c>
      <c r="T7400" s="98">
        <f t="shared" si="297"/>
        <v>0</v>
      </c>
      <c r="U7400" s="99" t="str">
        <f>IFERROR(IF(#REF!="S",VLOOKUP('Raw Data'!A7400,References!#REF!,2,FALSE),(VLOOKUP($S7400,References!$B$3:$C$8,2,FALSE))),"")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298"/>
        <v>0</v>
      </c>
      <c r="T7401" s="98">
        <f t="shared" si="297"/>
        <v>0</v>
      </c>
      <c r="U7401" s="99" t="str">
        <f>IFERROR(IF(#REF!="S",VLOOKUP('Raw Data'!A7401,References!#REF!,2,FALSE),(VLOOKUP($S7401,References!$B$3:$C$8,2,FALSE))),"")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298"/>
        <v>0</v>
      </c>
      <c r="T7402" s="98">
        <f t="shared" si="297"/>
        <v>0</v>
      </c>
      <c r="U7402" s="99" t="str">
        <f>IFERROR(IF(#REF!="S",VLOOKUP('Raw Data'!A7402,References!#REF!,2,FALSE),(VLOOKUP($S7402,References!$B$3:$C$8,2,FALSE))),"")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298"/>
        <v>0</v>
      </c>
      <c r="T7403" s="98">
        <f t="shared" si="297"/>
        <v>0</v>
      </c>
      <c r="U7403" s="99" t="str">
        <f>IFERROR(IF(#REF!="S",VLOOKUP('Raw Data'!A7403,References!#REF!,2,FALSE),(VLOOKUP($S7403,References!$B$3:$C$8,2,FALSE))),"")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298"/>
        <v>0</v>
      </c>
      <c r="T7404" s="98">
        <f t="shared" si="297"/>
        <v>0</v>
      </c>
      <c r="U7404" s="99" t="str">
        <f>IFERROR(IF(#REF!="S",VLOOKUP('Raw Data'!A7404,References!#REF!,2,FALSE),(VLOOKUP($S7404,References!$B$3:$C$8,2,FALSE))),"")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298"/>
        <v>0</v>
      </c>
      <c r="T7405" s="98">
        <f t="shared" si="297"/>
        <v>0</v>
      </c>
      <c r="U7405" s="99" t="str">
        <f>IFERROR(IF(#REF!="S",VLOOKUP('Raw Data'!A7405,References!#REF!,2,FALSE),(VLOOKUP($S7405,References!$B$3:$C$8,2,FALSE))),"")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298"/>
        <v>0</v>
      </c>
      <c r="T7406" s="98">
        <f t="shared" si="297"/>
        <v>0</v>
      </c>
      <c r="U7406" s="99" t="str">
        <f>IFERROR(IF(#REF!="S",VLOOKUP('Raw Data'!A7406,References!#REF!,2,FALSE),(VLOOKUP($S7406,References!$B$3:$C$8,2,FALSE))),"")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298"/>
        <v>0</v>
      </c>
      <c r="T7407" s="98">
        <f t="shared" si="297"/>
        <v>0</v>
      </c>
      <c r="U7407" s="99" t="str">
        <f>IFERROR(IF(#REF!="S",VLOOKUP('Raw Data'!A7407,References!#REF!,2,FALSE),(VLOOKUP($S7407,References!$B$3:$C$8,2,FALSE))),"")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298"/>
        <v>0</v>
      </c>
      <c r="T7408" s="98">
        <f t="shared" si="297"/>
        <v>0</v>
      </c>
      <c r="U7408" s="99" t="str">
        <f>IFERROR(IF(#REF!="S",VLOOKUP('Raw Data'!A7408,References!#REF!,2,FALSE),(VLOOKUP($S7408,References!$B$3:$C$8,2,FALSE))),"")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298"/>
        <v>0</v>
      </c>
      <c r="T7409" s="98">
        <f t="shared" si="297"/>
        <v>0</v>
      </c>
      <c r="U7409" s="99" t="str">
        <f>IFERROR(IF(#REF!="S",VLOOKUP('Raw Data'!A7409,References!#REF!,2,FALSE),(VLOOKUP($S7409,References!$B$3:$C$8,2,FALSE))),"")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298"/>
        <v>0</v>
      </c>
      <c r="T7410" s="98">
        <f t="shared" si="297"/>
        <v>0</v>
      </c>
      <c r="U7410" s="99" t="str">
        <f>IFERROR(IF(#REF!="S",VLOOKUP('Raw Data'!A7410,References!#REF!,2,FALSE),(VLOOKUP($S7410,References!$B$3:$C$8,2,FALSE))),"")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298"/>
        <v>0</v>
      </c>
      <c r="T7411" s="98">
        <f t="shared" si="297"/>
        <v>0</v>
      </c>
      <c r="U7411" s="99" t="str">
        <f>IFERROR(IF(#REF!="S",VLOOKUP('Raw Data'!A7411,References!#REF!,2,FALSE),(VLOOKUP($S7411,References!$B$3:$C$8,2,FALSE))),"")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298"/>
        <v>0</v>
      </c>
      <c r="T7412" s="98">
        <f t="shared" si="297"/>
        <v>0</v>
      </c>
      <c r="U7412" s="99" t="str">
        <f>IFERROR(IF(#REF!="S",VLOOKUP('Raw Data'!A7412,References!#REF!,2,FALSE),(VLOOKUP($S7412,References!$B$3:$C$8,2,FALSE))),"")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298"/>
        <v>0</v>
      </c>
      <c r="T7413" s="98">
        <f t="shared" si="297"/>
        <v>0</v>
      </c>
      <c r="U7413" s="99" t="str">
        <f>IFERROR(IF(#REF!="S",VLOOKUP('Raw Data'!A7413,References!#REF!,2,FALSE),(VLOOKUP($S7413,References!$B$3:$C$8,2,FALSE))),"")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298"/>
        <v>0</v>
      </c>
      <c r="T7414" s="98">
        <f t="shared" si="297"/>
        <v>0</v>
      </c>
      <c r="U7414" s="99" t="str">
        <f>IFERROR(IF(#REF!="S",VLOOKUP('Raw Data'!A7414,References!#REF!,2,FALSE),(VLOOKUP($S7414,References!$B$3:$C$8,2,FALSE))),"")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298"/>
        <v>0</v>
      </c>
      <c r="T7415" s="98">
        <f t="shared" si="297"/>
        <v>0</v>
      </c>
      <c r="U7415" s="99" t="str">
        <f>IFERROR(IF(#REF!="S",VLOOKUP('Raw Data'!A7415,References!#REF!,2,FALSE),(VLOOKUP($S7415,References!$B$3:$C$8,2,FALSE))),"")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298"/>
        <v>0</v>
      </c>
      <c r="T7416" s="98">
        <f t="shared" si="297"/>
        <v>0</v>
      </c>
      <c r="U7416" s="99" t="str">
        <f>IFERROR(IF(#REF!="S",VLOOKUP('Raw Data'!A7416,References!#REF!,2,FALSE),(VLOOKUP($S7416,References!$B$3:$C$8,2,FALSE))),"")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298"/>
        <v>0</v>
      </c>
      <c r="T7417" s="98">
        <f t="shared" si="297"/>
        <v>0</v>
      </c>
      <c r="U7417" s="99" t="str">
        <f>IFERROR(IF(#REF!="S",VLOOKUP('Raw Data'!A7417,References!#REF!,2,FALSE),(VLOOKUP($S7417,References!$B$3:$C$8,2,FALSE))),"")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298"/>
        <v>0</v>
      </c>
      <c r="T7418" s="98">
        <f t="shared" si="297"/>
        <v>0</v>
      </c>
      <c r="U7418" s="99" t="str">
        <f>IFERROR(IF(#REF!="S",VLOOKUP('Raw Data'!A7418,References!#REF!,2,FALSE),(VLOOKUP($S7418,References!$B$3:$C$8,2,FALSE))),"")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298"/>
        <v>0</v>
      </c>
      <c r="T7419" s="98">
        <f t="shared" si="297"/>
        <v>0</v>
      </c>
      <c r="U7419" s="99" t="str">
        <f>IFERROR(IF(#REF!="S",VLOOKUP('Raw Data'!A7419,References!#REF!,2,FALSE),(VLOOKUP($S7419,References!$B$3:$C$8,2,FALSE))),"")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298"/>
        <v>0</v>
      </c>
      <c r="T7420" s="98">
        <f t="shared" si="297"/>
        <v>0</v>
      </c>
      <c r="U7420" s="99" t="str">
        <f>IFERROR(IF(#REF!="S",VLOOKUP('Raw Data'!A7420,References!#REF!,2,FALSE),(VLOOKUP($S7420,References!$B$3:$C$8,2,FALSE))),"")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298"/>
        <v>0</v>
      </c>
      <c r="T7421" s="98">
        <f t="shared" si="297"/>
        <v>0</v>
      </c>
      <c r="U7421" s="99" t="str">
        <f>IFERROR(IF(#REF!="S",VLOOKUP('Raw Data'!A7421,References!#REF!,2,FALSE),(VLOOKUP($S7421,References!$B$3:$C$8,2,FALSE))),"")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298"/>
        <v>0</v>
      </c>
      <c r="T7422" s="98">
        <f t="shared" si="297"/>
        <v>0</v>
      </c>
      <c r="U7422" s="99" t="str">
        <f>IFERROR(IF(#REF!="S",VLOOKUP('Raw Data'!A7422,References!#REF!,2,FALSE),(VLOOKUP($S7422,References!$B$3:$C$8,2,FALSE))),"")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298"/>
        <v>0</v>
      </c>
      <c r="T7423" s="98">
        <f t="shared" si="297"/>
        <v>0</v>
      </c>
      <c r="U7423" s="99" t="str">
        <f>IFERROR(IF(#REF!="S",VLOOKUP('Raw Data'!A7423,References!#REF!,2,FALSE),(VLOOKUP($S7423,References!$B$3:$C$8,2,FALSE))),"")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298"/>
        <v>0</v>
      </c>
      <c r="T7424" s="98">
        <f t="shared" si="297"/>
        <v>0</v>
      </c>
      <c r="U7424" s="99" t="str">
        <f>IFERROR(IF(#REF!="S",VLOOKUP('Raw Data'!A7424,References!#REF!,2,FALSE),(VLOOKUP($S7424,References!$B$3:$C$8,2,FALSE))),"")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298"/>
        <v>0</v>
      </c>
      <c r="T7425" s="98">
        <f t="shared" si="297"/>
        <v>0</v>
      </c>
      <c r="U7425" s="99" t="str">
        <f>IFERROR(IF(#REF!="S",VLOOKUP('Raw Data'!A7425,References!#REF!,2,FALSE),(VLOOKUP($S7425,References!$B$3:$C$8,2,FALSE))),"")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298"/>
        <v>0</v>
      </c>
      <c r="T7426" s="98">
        <f t="shared" si="297"/>
        <v>0</v>
      </c>
      <c r="U7426" s="99" t="str">
        <f>IFERROR(IF(#REF!="S",VLOOKUP('Raw Data'!A7426,References!#REF!,2,FALSE),(VLOOKUP($S7426,References!$B$3:$C$8,2,FALSE))),"")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298"/>
        <v>0</v>
      </c>
      <c r="T7427" s="98">
        <f t="shared" si="297"/>
        <v>0</v>
      </c>
      <c r="U7427" s="99" t="str">
        <f>IFERROR(IF(#REF!="S",VLOOKUP('Raw Data'!A7427,References!#REF!,2,FALSE),(VLOOKUP($S7427,References!$B$3:$C$8,2,FALSE))),"")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298"/>
        <v>0</v>
      </c>
      <c r="T7428" s="98">
        <f t="shared" si="297"/>
        <v>0</v>
      </c>
      <c r="U7428" s="99" t="str">
        <f>IFERROR(IF(#REF!="S",VLOOKUP('Raw Data'!A7428,References!#REF!,2,FALSE),(VLOOKUP($S7428,References!$B$3:$C$8,2,FALSE))),"")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298"/>
        <v>0</v>
      </c>
      <c r="T7429" s="98">
        <f t="shared" si="297"/>
        <v>0</v>
      </c>
      <c r="U7429" s="99" t="str">
        <f>IFERROR(IF(#REF!="S",VLOOKUP('Raw Data'!A7429,References!#REF!,2,FALSE),(VLOOKUP($S7429,References!$B$3:$C$8,2,FALSE))),"")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298"/>
        <v>0</v>
      </c>
      <c r="T7430" s="98">
        <f t="shared" si="297"/>
        <v>0</v>
      </c>
      <c r="U7430" s="99" t="str">
        <f>IFERROR(IF(#REF!="S",VLOOKUP('Raw Data'!A7430,References!#REF!,2,FALSE),(VLOOKUP($S7430,References!$B$3:$C$8,2,FALSE))),"")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298"/>
        <v>0</v>
      </c>
      <c r="T7431" s="98">
        <f t="shared" si="297"/>
        <v>0</v>
      </c>
      <c r="U7431" s="99" t="str">
        <f>IFERROR(IF(#REF!="S",VLOOKUP('Raw Data'!A7431,References!#REF!,2,FALSE),(VLOOKUP($S7431,References!$B$3:$C$8,2,FALSE))),"")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298"/>
        <v>0</v>
      </c>
      <c r="T7432" s="98">
        <f t="shared" si="297"/>
        <v>0</v>
      </c>
      <c r="U7432" s="99" t="str">
        <f>IFERROR(IF(#REF!="S",VLOOKUP('Raw Data'!A7432,References!#REF!,2,FALSE),(VLOOKUP($S7432,References!$B$3:$C$8,2,FALSE))),"")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298"/>
        <v>0</v>
      </c>
      <c r="T7433" s="98">
        <f t="shared" si="297"/>
        <v>0</v>
      </c>
      <c r="U7433" s="99" t="str">
        <f>IFERROR(IF(#REF!="S",VLOOKUP('Raw Data'!A7433,References!#REF!,2,FALSE),(VLOOKUP($S7433,References!$B$3:$C$8,2,FALSE))),"")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298"/>
        <v>0</v>
      </c>
      <c r="T7434" s="98">
        <f t="shared" si="297"/>
        <v>0</v>
      </c>
      <c r="U7434" s="99" t="str">
        <f>IFERROR(IF(#REF!="S",VLOOKUP('Raw Data'!A7434,References!#REF!,2,FALSE),(VLOOKUP($S7434,References!$B$3:$C$8,2,FALSE))),"")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298"/>
        <v>0</v>
      </c>
      <c r="T7435" s="98">
        <f t="shared" si="297"/>
        <v>0</v>
      </c>
      <c r="U7435" s="99" t="str">
        <f>IFERROR(IF(#REF!="S",VLOOKUP('Raw Data'!A7435,References!#REF!,2,FALSE),(VLOOKUP($S7435,References!$B$3:$C$8,2,FALSE))),"")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298"/>
        <v>0</v>
      </c>
      <c r="T7436" s="98">
        <f t="shared" si="297"/>
        <v>0</v>
      </c>
      <c r="U7436" s="99" t="str">
        <f>IFERROR(IF(#REF!="S",VLOOKUP('Raw Data'!A7436,References!#REF!,2,FALSE),(VLOOKUP($S7436,References!$B$3:$C$8,2,FALSE))),"")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298"/>
        <v>0</v>
      </c>
      <c r="T7437" s="98">
        <f t="shared" si="297"/>
        <v>0</v>
      </c>
      <c r="U7437" s="99" t="str">
        <f>IFERROR(IF(#REF!="S",VLOOKUP('Raw Data'!A7437,References!#REF!,2,FALSE),(VLOOKUP($S7437,References!$B$3:$C$8,2,FALSE))),"")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298"/>
        <v>0</v>
      </c>
      <c r="T7438" s="98">
        <f t="shared" si="297"/>
        <v>0</v>
      </c>
      <c r="U7438" s="99" t="str">
        <f>IFERROR(IF(#REF!="S",VLOOKUP('Raw Data'!A7438,References!#REF!,2,FALSE),(VLOOKUP($S7438,References!$B$3:$C$8,2,FALSE))),"")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298"/>
        <v>0</v>
      </c>
      <c r="T7439" s="98">
        <f t="shared" si="297"/>
        <v>0</v>
      </c>
      <c r="U7439" s="99" t="str">
        <f>IFERROR(IF(#REF!="S",VLOOKUP('Raw Data'!A7439,References!#REF!,2,FALSE),(VLOOKUP($S7439,References!$B$3:$C$8,2,FALSE))),"")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298"/>
        <v>0</v>
      </c>
      <c r="T7440" s="98">
        <f t="shared" ref="T7440:T7503" si="299">IF(S7440="50 - Cleaning Fee",1,HOUR($R7440)+MINUTE(R7440)/60)</f>
        <v>0</v>
      </c>
      <c r="U7440" s="99" t="str">
        <f>IFERROR(IF(#REF!="S",VLOOKUP('Raw Data'!A7440,References!#REF!,2,FALSE),(VLOOKUP($S7440,References!$B$3:$C$8,2,FALSE))),"")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298"/>
        <v>0</v>
      </c>
      <c r="T7441" s="98">
        <f t="shared" si="299"/>
        <v>0</v>
      </c>
      <c r="U7441" s="99" t="str">
        <f>IFERROR(IF(#REF!="S",VLOOKUP('Raw Data'!A7441,References!#REF!,2,FALSE),(VLOOKUP($S7441,References!$B$3:$C$8,2,FALSE))),"")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298"/>
        <v>0</v>
      </c>
      <c r="T7442" s="98">
        <f t="shared" si="299"/>
        <v>0</v>
      </c>
      <c r="U7442" s="99" t="str">
        <f>IFERROR(IF(#REF!="S",VLOOKUP('Raw Data'!A7442,References!#REF!,2,FALSE),(VLOOKUP($S7442,References!$B$3:$C$8,2,FALSE))),"")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298"/>
        <v>0</v>
      </c>
      <c r="T7443" s="98">
        <f t="shared" si="299"/>
        <v>0</v>
      </c>
      <c r="U7443" s="99" t="str">
        <f>IFERROR(IF(#REF!="S",VLOOKUP('Raw Data'!A7443,References!#REF!,2,FALSE),(VLOOKUP($S7443,References!$B$3:$C$8,2,FALSE))),"")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298"/>
        <v>0</v>
      </c>
      <c r="T7444" s="98">
        <f t="shared" si="299"/>
        <v>0</v>
      </c>
      <c r="U7444" s="99" t="str">
        <f>IFERROR(IF(#REF!="S",VLOOKUP('Raw Data'!A7444,References!#REF!,2,FALSE),(VLOOKUP($S7444,References!$B$3:$C$8,2,FALSE))),"")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298"/>
        <v>0</v>
      </c>
      <c r="T7445" s="98">
        <f t="shared" si="299"/>
        <v>0</v>
      </c>
      <c r="U7445" s="99" t="str">
        <f>IFERROR(IF(#REF!="S",VLOOKUP('Raw Data'!A7445,References!#REF!,2,FALSE),(VLOOKUP($S7445,References!$B$3:$C$8,2,FALSE))),"")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298"/>
        <v>0</v>
      </c>
      <c r="T7446" s="98">
        <f t="shared" si="299"/>
        <v>0</v>
      </c>
      <c r="U7446" s="99" t="str">
        <f>IFERROR(IF(#REF!="S",VLOOKUP('Raw Data'!A7446,References!#REF!,2,FALSE),(VLOOKUP($S7446,References!$B$3:$C$8,2,FALSE))),"")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298"/>
        <v>0</v>
      </c>
      <c r="T7447" s="98">
        <f t="shared" si="299"/>
        <v>0</v>
      </c>
      <c r="U7447" s="99" t="str">
        <f>IFERROR(IF(#REF!="S",VLOOKUP('Raw Data'!A7447,References!#REF!,2,FALSE),(VLOOKUP($S7447,References!$B$3:$C$8,2,FALSE))),"")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298"/>
        <v>0</v>
      </c>
      <c r="T7448" s="98">
        <f t="shared" si="299"/>
        <v>0</v>
      </c>
      <c r="U7448" s="99" t="str">
        <f>IFERROR(IF(#REF!="S",VLOOKUP('Raw Data'!A7448,References!#REF!,2,FALSE),(VLOOKUP($S7448,References!$B$3:$C$8,2,FALSE))),"")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298"/>
        <v>0</v>
      </c>
      <c r="T7449" s="98">
        <f t="shared" si="299"/>
        <v>0</v>
      </c>
      <c r="U7449" s="99" t="str">
        <f>IFERROR(IF(#REF!="S",VLOOKUP('Raw Data'!A7449,References!#REF!,2,FALSE),(VLOOKUP($S7449,References!$B$3:$C$8,2,FALSE))),"")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298"/>
        <v>0</v>
      </c>
      <c r="T7450" s="98">
        <f t="shared" si="299"/>
        <v>0</v>
      </c>
      <c r="U7450" s="99" t="str">
        <f>IFERROR(IF(#REF!="S",VLOOKUP('Raw Data'!A7450,References!#REF!,2,FALSE),(VLOOKUP($S7450,References!$B$3:$C$8,2,FALSE))),"")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298"/>
        <v>0</v>
      </c>
      <c r="T7451" s="98">
        <f t="shared" si="299"/>
        <v>0</v>
      </c>
      <c r="U7451" s="99" t="str">
        <f>IFERROR(IF(#REF!="S",VLOOKUP('Raw Data'!A7451,References!#REF!,2,FALSE),(VLOOKUP($S7451,References!$B$3:$C$8,2,FALSE))),"")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298"/>
        <v>0</v>
      </c>
      <c r="T7452" s="98">
        <f t="shared" si="299"/>
        <v>0</v>
      </c>
      <c r="U7452" s="99" t="str">
        <f>IFERROR(IF(#REF!="S",VLOOKUP('Raw Data'!A7452,References!#REF!,2,FALSE),(VLOOKUP($S7452,References!$B$3:$C$8,2,FALSE))),"")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298"/>
        <v>0</v>
      </c>
      <c r="T7453" s="98">
        <f t="shared" si="299"/>
        <v>0</v>
      </c>
      <c r="U7453" s="99" t="str">
        <f>IFERROR(IF(#REF!="S",VLOOKUP('Raw Data'!A7453,References!#REF!,2,FALSE),(VLOOKUP($S7453,References!$B$3:$C$8,2,FALSE))),"")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298"/>
        <v>0</v>
      </c>
      <c r="T7454" s="98">
        <f t="shared" si="299"/>
        <v>0</v>
      </c>
      <c r="U7454" s="99" t="str">
        <f>IFERROR(IF(#REF!="S",VLOOKUP('Raw Data'!A7454,References!#REF!,2,FALSE),(VLOOKUP($S7454,References!$B$3:$C$8,2,FALSE))),"")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298"/>
        <v>0</v>
      </c>
      <c r="T7455" s="98">
        <f t="shared" si="299"/>
        <v>0</v>
      </c>
      <c r="U7455" s="99" t="str">
        <f>IFERROR(IF(#REF!="S",VLOOKUP('Raw Data'!A7455,References!#REF!,2,FALSE),(VLOOKUP($S7455,References!$B$3:$C$8,2,FALSE))),"")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298"/>
        <v>0</v>
      </c>
      <c r="T7456" s="98">
        <f t="shared" si="299"/>
        <v>0</v>
      </c>
      <c r="U7456" s="99" t="str">
        <f>IFERROR(IF(#REF!="S",VLOOKUP('Raw Data'!A7456,References!#REF!,2,FALSE),(VLOOKUP($S7456,References!$B$3:$C$8,2,FALSE))),"")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298"/>
        <v>0</v>
      </c>
      <c r="T7457" s="98">
        <f t="shared" si="299"/>
        <v>0</v>
      </c>
      <c r="U7457" s="99" t="str">
        <f>IFERROR(IF(#REF!="S",VLOOKUP('Raw Data'!A7457,References!#REF!,2,FALSE),(VLOOKUP($S7457,References!$B$3:$C$8,2,FALSE))),"")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298"/>
        <v>0</v>
      </c>
      <c r="T7458" s="98">
        <f t="shared" si="299"/>
        <v>0</v>
      </c>
      <c r="U7458" s="99" t="str">
        <f>IFERROR(IF(#REF!="S",VLOOKUP('Raw Data'!A7458,References!#REF!,2,FALSE),(VLOOKUP($S7458,References!$B$3:$C$8,2,FALSE))),"")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298"/>
        <v>0</v>
      </c>
      <c r="T7459" s="98">
        <f t="shared" si="299"/>
        <v>0</v>
      </c>
      <c r="U7459" s="99" t="str">
        <f>IFERROR(IF(#REF!="S",VLOOKUP('Raw Data'!A7459,References!#REF!,2,FALSE),(VLOOKUP($S7459,References!$B$3:$C$8,2,FALSE))),"")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298"/>
        <v>0</v>
      </c>
      <c r="T7460" s="98">
        <f t="shared" si="299"/>
        <v>0</v>
      </c>
      <c r="U7460" s="99" t="str">
        <f>IFERROR(IF(#REF!="S",VLOOKUP('Raw Data'!A7460,References!#REF!,2,FALSE),(VLOOKUP($S7460,References!$B$3:$C$8,2,FALSE))),"")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298"/>
        <v>0</v>
      </c>
      <c r="T7461" s="98">
        <f t="shared" si="299"/>
        <v>0</v>
      </c>
      <c r="U7461" s="99" t="str">
        <f>IFERROR(IF(#REF!="S",VLOOKUP('Raw Data'!A7461,References!#REF!,2,FALSE),(VLOOKUP($S7461,References!$B$3:$C$8,2,FALSE))),"")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298"/>
        <v>0</v>
      </c>
      <c r="T7462" s="98">
        <f t="shared" si="299"/>
        <v>0</v>
      </c>
      <c r="U7462" s="99" t="str">
        <f>IFERROR(IF(#REF!="S",VLOOKUP('Raw Data'!A7462,References!#REF!,2,FALSE),(VLOOKUP($S7462,References!$B$3:$C$8,2,FALSE))),"")</f>
        <v/>
      </c>
      <c r="W7462" s="66" t="str">
        <f>IFERROR(VLOOKUP($O7462,'Customer List'!$A$1:$J$488,10,FALSE),"")</f>
        <v/>
      </c>
    </row>
    <row r="7463" spans="18:23">
      <c r="R7463" s="97">
        <f t="shared" si="298"/>
        <v>0</v>
      </c>
      <c r="T7463" s="98">
        <f t="shared" si="299"/>
        <v>0</v>
      </c>
      <c r="U7463" s="99" t="str">
        <f>IFERROR(IF(#REF!="S",VLOOKUP('Raw Data'!A7463,References!#REF!,2,FALSE),(VLOOKUP($S7463,References!$B$3:$C$8,2,FALSE))),"")</f>
        <v/>
      </c>
      <c r="W7463" s="66" t="str">
        <f>IFERROR(VLOOKUP($O7463,'Customer List'!$A$1:$J$488,10,FALSE),"")</f>
        <v/>
      </c>
    </row>
    <row r="7464" spans="18:23">
      <c r="R7464" s="97">
        <f t="shared" ref="R7464:R7527" si="300">L7464-K7464</f>
        <v>0</v>
      </c>
      <c r="T7464" s="98">
        <f t="shared" si="299"/>
        <v>0</v>
      </c>
      <c r="U7464" s="99" t="str">
        <f>IFERROR(IF(#REF!="S",VLOOKUP('Raw Data'!A7464,References!#REF!,2,FALSE),(VLOOKUP($S7464,References!$B$3:$C$8,2,FALSE))),"")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0"/>
        <v>0</v>
      </c>
      <c r="T7465" s="98">
        <f t="shared" si="299"/>
        <v>0</v>
      </c>
      <c r="U7465" s="99" t="str">
        <f>IFERROR(IF(#REF!="S",VLOOKUP('Raw Data'!A7465,References!#REF!,2,FALSE),(VLOOKUP($S7465,References!$B$3:$C$8,2,FALSE))),"")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0"/>
        <v>0</v>
      </c>
      <c r="T7466" s="98">
        <f t="shared" si="299"/>
        <v>0</v>
      </c>
      <c r="U7466" s="99" t="str">
        <f>IFERROR(IF(#REF!="S",VLOOKUP('Raw Data'!A7466,References!#REF!,2,FALSE),(VLOOKUP($S7466,References!$B$3:$C$8,2,FALSE))),"")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0"/>
        <v>0</v>
      </c>
      <c r="T7467" s="98">
        <f t="shared" si="299"/>
        <v>0</v>
      </c>
      <c r="U7467" s="99" t="str">
        <f>IFERROR(IF(#REF!="S",VLOOKUP('Raw Data'!A7467,References!#REF!,2,FALSE),(VLOOKUP($S7467,References!$B$3:$C$8,2,FALSE))),"")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0"/>
        <v>0</v>
      </c>
      <c r="T7468" s="98">
        <f t="shared" si="299"/>
        <v>0</v>
      </c>
      <c r="U7468" s="99" t="str">
        <f>IFERROR(IF(#REF!="S",VLOOKUP('Raw Data'!A7468,References!#REF!,2,FALSE),(VLOOKUP($S7468,References!$B$3:$C$8,2,FALSE))),"")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0"/>
        <v>0</v>
      </c>
      <c r="T7469" s="98">
        <f t="shared" si="299"/>
        <v>0</v>
      </c>
      <c r="U7469" s="99" t="str">
        <f>IFERROR(IF(#REF!="S",VLOOKUP('Raw Data'!A7469,References!#REF!,2,FALSE),(VLOOKUP($S7469,References!$B$3:$C$8,2,FALSE))),"")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0"/>
        <v>0</v>
      </c>
      <c r="T7470" s="98">
        <f t="shared" si="299"/>
        <v>0</v>
      </c>
      <c r="U7470" s="99" t="str">
        <f>IFERROR(IF(#REF!="S",VLOOKUP('Raw Data'!A7470,References!#REF!,2,FALSE),(VLOOKUP($S7470,References!$B$3:$C$8,2,FALSE))),"")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0"/>
        <v>0</v>
      </c>
      <c r="T7471" s="98">
        <f t="shared" si="299"/>
        <v>0</v>
      </c>
      <c r="U7471" s="99" t="str">
        <f>IFERROR(IF(#REF!="S",VLOOKUP('Raw Data'!A7471,References!#REF!,2,FALSE),(VLOOKUP($S7471,References!$B$3:$C$8,2,FALSE))),"")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0"/>
        <v>0</v>
      </c>
      <c r="T7472" s="98">
        <f t="shared" si="299"/>
        <v>0</v>
      </c>
      <c r="U7472" s="99" t="str">
        <f>IFERROR(IF(#REF!="S",VLOOKUP('Raw Data'!A7472,References!#REF!,2,FALSE),(VLOOKUP($S7472,References!$B$3:$C$8,2,FALSE))),"")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0"/>
        <v>0</v>
      </c>
      <c r="T7473" s="98">
        <f t="shared" si="299"/>
        <v>0</v>
      </c>
      <c r="U7473" s="99" t="str">
        <f>IFERROR(IF(#REF!="S",VLOOKUP('Raw Data'!A7473,References!#REF!,2,FALSE),(VLOOKUP($S7473,References!$B$3:$C$8,2,FALSE))),"")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0"/>
        <v>0</v>
      </c>
      <c r="T7474" s="98">
        <f t="shared" si="299"/>
        <v>0</v>
      </c>
      <c r="U7474" s="99" t="str">
        <f>IFERROR(IF(#REF!="S",VLOOKUP('Raw Data'!A7474,References!#REF!,2,FALSE),(VLOOKUP($S7474,References!$B$3:$C$8,2,FALSE))),"")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0"/>
        <v>0</v>
      </c>
      <c r="T7475" s="98">
        <f t="shared" si="299"/>
        <v>0</v>
      </c>
      <c r="U7475" s="99" t="str">
        <f>IFERROR(IF(#REF!="S",VLOOKUP('Raw Data'!A7475,References!#REF!,2,FALSE),(VLOOKUP($S7475,References!$B$3:$C$8,2,FALSE))),"")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0"/>
        <v>0</v>
      </c>
      <c r="T7476" s="98">
        <f t="shared" si="299"/>
        <v>0</v>
      </c>
      <c r="U7476" s="99" t="str">
        <f>IFERROR(IF(#REF!="S",VLOOKUP('Raw Data'!A7476,References!#REF!,2,FALSE),(VLOOKUP($S7476,References!$B$3:$C$8,2,FALSE))),"")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0"/>
        <v>0</v>
      </c>
      <c r="T7477" s="98">
        <f t="shared" si="299"/>
        <v>0</v>
      </c>
      <c r="U7477" s="99" t="str">
        <f>IFERROR(IF(#REF!="S",VLOOKUP('Raw Data'!A7477,References!#REF!,2,FALSE),(VLOOKUP($S7477,References!$B$3:$C$8,2,FALSE))),"")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0"/>
        <v>0</v>
      </c>
      <c r="T7478" s="98">
        <f t="shared" si="299"/>
        <v>0</v>
      </c>
      <c r="U7478" s="99" t="str">
        <f>IFERROR(IF(#REF!="S",VLOOKUP('Raw Data'!A7478,References!#REF!,2,FALSE),(VLOOKUP($S7478,References!$B$3:$C$8,2,FALSE))),"")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0"/>
        <v>0</v>
      </c>
      <c r="T7479" s="98">
        <f t="shared" si="299"/>
        <v>0</v>
      </c>
      <c r="U7479" s="99" t="str">
        <f>IFERROR(IF(#REF!="S",VLOOKUP('Raw Data'!A7479,References!#REF!,2,FALSE),(VLOOKUP($S7479,References!$B$3:$C$8,2,FALSE))),"")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0"/>
        <v>0</v>
      </c>
      <c r="T7480" s="98">
        <f t="shared" si="299"/>
        <v>0</v>
      </c>
      <c r="U7480" s="99" t="str">
        <f>IFERROR(IF(#REF!="S",VLOOKUP('Raw Data'!A7480,References!#REF!,2,FALSE),(VLOOKUP($S7480,References!$B$3:$C$8,2,FALSE))),"")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0"/>
        <v>0</v>
      </c>
      <c r="T7481" s="98">
        <f t="shared" si="299"/>
        <v>0</v>
      </c>
      <c r="U7481" s="99" t="str">
        <f>IFERROR(IF(#REF!="S",VLOOKUP('Raw Data'!A7481,References!#REF!,2,FALSE),(VLOOKUP($S7481,References!$B$3:$C$8,2,FALSE))),"")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0"/>
        <v>0</v>
      </c>
      <c r="T7482" s="98">
        <f t="shared" si="299"/>
        <v>0</v>
      </c>
      <c r="U7482" s="99" t="str">
        <f>IFERROR(IF(#REF!="S",VLOOKUP('Raw Data'!A7482,References!#REF!,2,FALSE),(VLOOKUP($S7482,References!$B$3:$C$8,2,FALSE))),"")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0"/>
        <v>0</v>
      </c>
      <c r="T7483" s="98">
        <f t="shared" si="299"/>
        <v>0</v>
      </c>
      <c r="U7483" s="99" t="str">
        <f>IFERROR(IF(#REF!="S",VLOOKUP('Raw Data'!A7483,References!#REF!,2,FALSE),(VLOOKUP($S7483,References!$B$3:$C$8,2,FALSE))),"")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0"/>
        <v>0</v>
      </c>
      <c r="T7484" s="98">
        <f t="shared" si="299"/>
        <v>0</v>
      </c>
      <c r="U7484" s="99" t="str">
        <f>IFERROR(IF(#REF!="S",VLOOKUP('Raw Data'!A7484,References!#REF!,2,FALSE),(VLOOKUP($S7484,References!$B$3:$C$8,2,FALSE))),"")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0"/>
        <v>0</v>
      </c>
      <c r="T7485" s="98">
        <f t="shared" si="299"/>
        <v>0</v>
      </c>
      <c r="U7485" s="99" t="str">
        <f>IFERROR(IF(#REF!="S",VLOOKUP('Raw Data'!A7485,References!#REF!,2,FALSE),(VLOOKUP($S7485,References!$B$3:$C$8,2,FALSE))),"")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0"/>
        <v>0</v>
      </c>
      <c r="T7486" s="98">
        <f t="shared" si="299"/>
        <v>0</v>
      </c>
      <c r="U7486" s="99" t="str">
        <f>IFERROR(IF(#REF!="S",VLOOKUP('Raw Data'!A7486,References!#REF!,2,FALSE),(VLOOKUP($S7486,References!$B$3:$C$8,2,FALSE))),"")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0"/>
        <v>0</v>
      </c>
      <c r="T7487" s="98">
        <f t="shared" si="299"/>
        <v>0</v>
      </c>
      <c r="U7487" s="99" t="str">
        <f>IFERROR(IF(#REF!="S",VLOOKUP('Raw Data'!A7487,References!#REF!,2,FALSE),(VLOOKUP($S7487,References!$B$3:$C$8,2,FALSE))),"")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0"/>
        <v>0</v>
      </c>
      <c r="T7488" s="98">
        <f t="shared" si="299"/>
        <v>0</v>
      </c>
      <c r="U7488" s="99" t="str">
        <f>IFERROR(IF(#REF!="S",VLOOKUP('Raw Data'!A7488,References!#REF!,2,FALSE),(VLOOKUP($S7488,References!$B$3:$C$8,2,FALSE))),"")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0"/>
        <v>0</v>
      </c>
      <c r="T7489" s="98">
        <f t="shared" si="299"/>
        <v>0</v>
      </c>
      <c r="U7489" s="99" t="str">
        <f>IFERROR(IF(#REF!="S",VLOOKUP('Raw Data'!A7489,References!#REF!,2,FALSE),(VLOOKUP($S7489,References!$B$3:$C$8,2,FALSE))),"")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0"/>
        <v>0</v>
      </c>
      <c r="T7490" s="98">
        <f t="shared" si="299"/>
        <v>0</v>
      </c>
      <c r="U7490" s="99" t="str">
        <f>IFERROR(IF(#REF!="S",VLOOKUP('Raw Data'!A7490,References!#REF!,2,FALSE),(VLOOKUP($S7490,References!$B$3:$C$8,2,FALSE))),"")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0"/>
        <v>0</v>
      </c>
      <c r="T7491" s="98">
        <f t="shared" si="299"/>
        <v>0</v>
      </c>
      <c r="U7491" s="99" t="str">
        <f>IFERROR(IF(#REF!="S",VLOOKUP('Raw Data'!A7491,References!#REF!,2,FALSE),(VLOOKUP($S7491,References!$B$3:$C$8,2,FALSE))),"")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0"/>
        <v>0</v>
      </c>
      <c r="T7492" s="98">
        <f t="shared" si="299"/>
        <v>0</v>
      </c>
      <c r="U7492" s="99" t="str">
        <f>IFERROR(IF(#REF!="S",VLOOKUP('Raw Data'!A7492,References!#REF!,2,FALSE),(VLOOKUP($S7492,References!$B$3:$C$8,2,FALSE))),"")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0"/>
        <v>0</v>
      </c>
      <c r="T7493" s="98">
        <f t="shared" si="299"/>
        <v>0</v>
      </c>
      <c r="U7493" s="99" t="str">
        <f>IFERROR(IF(#REF!="S",VLOOKUP('Raw Data'!A7493,References!#REF!,2,FALSE),(VLOOKUP($S7493,References!$B$3:$C$8,2,FALSE))),"")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0"/>
        <v>0</v>
      </c>
      <c r="T7494" s="98">
        <f t="shared" si="299"/>
        <v>0</v>
      </c>
      <c r="U7494" s="99" t="str">
        <f>IFERROR(IF(#REF!="S",VLOOKUP('Raw Data'!A7494,References!#REF!,2,FALSE),(VLOOKUP($S7494,References!$B$3:$C$8,2,FALSE))),"")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0"/>
        <v>0</v>
      </c>
      <c r="T7495" s="98">
        <f t="shared" si="299"/>
        <v>0</v>
      </c>
      <c r="U7495" s="99" t="str">
        <f>IFERROR(IF(#REF!="S",VLOOKUP('Raw Data'!A7495,References!#REF!,2,FALSE),(VLOOKUP($S7495,References!$B$3:$C$8,2,FALSE))),"")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0"/>
        <v>0</v>
      </c>
      <c r="T7496" s="98">
        <f t="shared" si="299"/>
        <v>0</v>
      </c>
      <c r="U7496" s="99" t="str">
        <f>IFERROR(IF(#REF!="S",VLOOKUP('Raw Data'!A7496,References!#REF!,2,FALSE),(VLOOKUP($S7496,References!$B$3:$C$8,2,FALSE))),"")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0"/>
        <v>0</v>
      </c>
      <c r="T7497" s="98">
        <f t="shared" si="299"/>
        <v>0</v>
      </c>
      <c r="U7497" s="99" t="str">
        <f>IFERROR(IF(#REF!="S",VLOOKUP('Raw Data'!A7497,References!#REF!,2,FALSE),(VLOOKUP($S7497,References!$B$3:$C$8,2,FALSE))),"")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0"/>
        <v>0</v>
      </c>
      <c r="T7498" s="98">
        <f t="shared" si="299"/>
        <v>0</v>
      </c>
      <c r="U7498" s="99" t="str">
        <f>IFERROR(IF(#REF!="S",VLOOKUP('Raw Data'!A7498,References!#REF!,2,FALSE),(VLOOKUP($S7498,References!$B$3:$C$8,2,FALSE))),"")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0"/>
        <v>0</v>
      </c>
      <c r="T7499" s="98">
        <f t="shared" si="299"/>
        <v>0</v>
      </c>
      <c r="U7499" s="99" t="str">
        <f>IFERROR(IF(#REF!="S",VLOOKUP('Raw Data'!A7499,References!#REF!,2,FALSE),(VLOOKUP($S7499,References!$B$3:$C$8,2,FALSE))),"")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0"/>
        <v>0</v>
      </c>
      <c r="T7500" s="98">
        <f t="shared" si="299"/>
        <v>0</v>
      </c>
      <c r="U7500" s="99" t="str">
        <f>IFERROR(IF(#REF!="S",VLOOKUP('Raw Data'!A7500,References!#REF!,2,FALSE),(VLOOKUP($S7500,References!$B$3:$C$8,2,FALSE))),"")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0"/>
        <v>0</v>
      </c>
      <c r="T7501" s="98">
        <f t="shared" si="299"/>
        <v>0</v>
      </c>
      <c r="U7501" s="99" t="str">
        <f>IFERROR(IF(#REF!="S",VLOOKUP('Raw Data'!A7501,References!#REF!,2,FALSE),(VLOOKUP($S7501,References!$B$3:$C$8,2,FALSE))),"")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0"/>
        <v>0</v>
      </c>
      <c r="T7502" s="98">
        <f t="shared" si="299"/>
        <v>0</v>
      </c>
      <c r="U7502" s="99" t="str">
        <f>IFERROR(IF(#REF!="S",VLOOKUP('Raw Data'!A7502,References!#REF!,2,FALSE),(VLOOKUP($S7502,References!$B$3:$C$8,2,FALSE))),"")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0"/>
        <v>0</v>
      </c>
      <c r="T7503" s="98">
        <f t="shared" si="299"/>
        <v>0</v>
      </c>
      <c r="U7503" s="99" t="str">
        <f>IFERROR(IF(#REF!="S",VLOOKUP('Raw Data'!A7503,References!#REF!,2,FALSE),(VLOOKUP($S7503,References!$B$3:$C$8,2,FALSE))),"")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0"/>
        <v>0</v>
      </c>
      <c r="T7504" s="98">
        <f t="shared" ref="T7504:T7567" si="301">IF(S7504="50 - Cleaning Fee",1,HOUR($R7504)+MINUTE(R7504)/60)</f>
        <v>0</v>
      </c>
      <c r="U7504" s="99" t="str">
        <f>IFERROR(IF(#REF!="S",VLOOKUP('Raw Data'!A7504,References!#REF!,2,FALSE),(VLOOKUP($S7504,References!$B$3:$C$8,2,FALSE))),"")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0"/>
        <v>0</v>
      </c>
      <c r="T7505" s="98">
        <f t="shared" si="301"/>
        <v>0</v>
      </c>
      <c r="U7505" s="99" t="str">
        <f>IFERROR(IF(#REF!="S",VLOOKUP('Raw Data'!A7505,References!#REF!,2,FALSE),(VLOOKUP($S7505,References!$B$3:$C$8,2,FALSE))),"")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0"/>
        <v>0</v>
      </c>
      <c r="T7506" s="98">
        <f t="shared" si="301"/>
        <v>0</v>
      </c>
      <c r="U7506" s="99" t="str">
        <f>IFERROR(IF(#REF!="S",VLOOKUP('Raw Data'!A7506,References!#REF!,2,FALSE),(VLOOKUP($S7506,References!$B$3:$C$8,2,FALSE))),"")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0"/>
        <v>0</v>
      </c>
      <c r="T7507" s="98">
        <f t="shared" si="301"/>
        <v>0</v>
      </c>
      <c r="U7507" s="99" t="str">
        <f>IFERROR(IF(#REF!="S",VLOOKUP('Raw Data'!A7507,References!#REF!,2,FALSE),(VLOOKUP($S7507,References!$B$3:$C$8,2,FALSE))),"")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0"/>
        <v>0</v>
      </c>
      <c r="T7508" s="98">
        <f t="shared" si="301"/>
        <v>0</v>
      </c>
      <c r="U7508" s="99" t="str">
        <f>IFERROR(IF(#REF!="S",VLOOKUP('Raw Data'!A7508,References!#REF!,2,FALSE),(VLOOKUP($S7508,References!$B$3:$C$8,2,FALSE))),"")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0"/>
        <v>0</v>
      </c>
      <c r="T7509" s="98">
        <f t="shared" si="301"/>
        <v>0</v>
      </c>
      <c r="U7509" s="99" t="str">
        <f>IFERROR(IF(#REF!="S",VLOOKUP('Raw Data'!A7509,References!#REF!,2,FALSE),(VLOOKUP($S7509,References!$B$3:$C$8,2,FALSE))),"")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0"/>
        <v>0</v>
      </c>
      <c r="T7510" s="98">
        <f t="shared" si="301"/>
        <v>0</v>
      </c>
      <c r="U7510" s="99" t="str">
        <f>IFERROR(IF(#REF!="S",VLOOKUP('Raw Data'!A7510,References!#REF!,2,FALSE),(VLOOKUP($S7510,References!$B$3:$C$8,2,FALSE))),"")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0"/>
        <v>0</v>
      </c>
      <c r="T7511" s="98">
        <f t="shared" si="301"/>
        <v>0</v>
      </c>
      <c r="U7511" s="99" t="str">
        <f>IFERROR(IF(#REF!="S",VLOOKUP('Raw Data'!A7511,References!#REF!,2,FALSE),(VLOOKUP($S7511,References!$B$3:$C$8,2,FALSE))),"")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0"/>
        <v>0</v>
      </c>
      <c r="T7512" s="98">
        <f t="shared" si="301"/>
        <v>0</v>
      </c>
      <c r="U7512" s="99" t="str">
        <f>IFERROR(IF(#REF!="S",VLOOKUP('Raw Data'!A7512,References!#REF!,2,FALSE),(VLOOKUP($S7512,References!$B$3:$C$8,2,FALSE))),"")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0"/>
        <v>0</v>
      </c>
      <c r="T7513" s="98">
        <f t="shared" si="301"/>
        <v>0</v>
      </c>
      <c r="U7513" s="99" t="str">
        <f>IFERROR(IF(#REF!="S",VLOOKUP('Raw Data'!A7513,References!#REF!,2,FALSE),(VLOOKUP($S7513,References!$B$3:$C$8,2,FALSE))),"")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0"/>
        <v>0</v>
      </c>
      <c r="T7514" s="98">
        <f t="shared" si="301"/>
        <v>0</v>
      </c>
      <c r="U7514" s="99" t="str">
        <f>IFERROR(IF(#REF!="S",VLOOKUP('Raw Data'!A7514,References!#REF!,2,FALSE),(VLOOKUP($S7514,References!$B$3:$C$8,2,FALSE))),"")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0"/>
        <v>0</v>
      </c>
      <c r="T7515" s="98">
        <f t="shared" si="301"/>
        <v>0</v>
      </c>
      <c r="U7515" s="99" t="str">
        <f>IFERROR(IF(#REF!="S",VLOOKUP('Raw Data'!A7515,References!#REF!,2,FALSE),(VLOOKUP($S7515,References!$B$3:$C$8,2,FALSE))),"")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0"/>
        <v>0</v>
      </c>
      <c r="T7516" s="98">
        <f t="shared" si="301"/>
        <v>0</v>
      </c>
      <c r="U7516" s="99" t="str">
        <f>IFERROR(IF(#REF!="S",VLOOKUP('Raw Data'!A7516,References!#REF!,2,FALSE),(VLOOKUP($S7516,References!$B$3:$C$8,2,FALSE))),"")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0"/>
        <v>0</v>
      </c>
      <c r="T7517" s="98">
        <f t="shared" si="301"/>
        <v>0</v>
      </c>
      <c r="U7517" s="99" t="str">
        <f>IFERROR(IF(#REF!="S",VLOOKUP('Raw Data'!A7517,References!#REF!,2,FALSE),(VLOOKUP($S7517,References!$B$3:$C$8,2,FALSE))),"")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0"/>
        <v>0</v>
      </c>
      <c r="T7518" s="98">
        <f t="shared" si="301"/>
        <v>0</v>
      </c>
      <c r="U7518" s="99" t="str">
        <f>IFERROR(IF(#REF!="S",VLOOKUP('Raw Data'!A7518,References!#REF!,2,FALSE),(VLOOKUP($S7518,References!$B$3:$C$8,2,FALSE))),"")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0"/>
        <v>0</v>
      </c>
      <c r="T7519" s="98">
        <f t="shared" si="301"/>
        <v>0</v>
      </c>
      <c r="U7519" s="99" t="str">
        <f>IFERROR(IF(#REF!="S",VLOOKUP('Raw Data'!A7519,References!#REF!,2,FALSE),(VLOOKUP($S7519,References!$B$3:$C$8,2,FALSE))),"")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0"/>
        <v>0</v>
      </c>
      <c r="T7520" s="98">
        <f t="shared" si="301"/>
        <v>0</v>
      </c>
      <c r="U7520" s="99" t="str">
        <f>IFERROR(IF(#REF!="S",VLOOKUP('Raw Data'!A7520,References!#REF!,2,FALSE),(VLOOKUP($S7520,References!$B$3:$C$8,2,FALSE))),"")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0"/>
        <v>0</v>
      </c>
      <c r="T7521" s="98">
        <f t="shared" si="301"/>
        <v>0</v>
      </c>
      <c r="U7521" s="99" t="str">
        <f>IFERROR(IF(#REF!="S",VLOOKUP('Raw Data'!A7521,References!#REF!,2,FALSE),(VLOOKUP($S7521,References!$B$3:$C$8,2,FALSE))),"")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0"/>
        <v>0</v>
      </c>
      <c r="T7522" s="98">
        <f t="shared" si="301"/>
        <v>0</v>
      </c>
      <c r="U7522" s="99" t="str">
        <f>IFERROR(IF(#REF!="S",VLOOKUP('Raw Data'!A7522,References!#REF!,2,FALSE),(VLOOKUP($S7522,References!$B$3:$C$8,2,FALSE))),"")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0"/>
        <v>0</v>
      </c>
      <c r="T7523" s="98">
        <f t="shared" si="301"/>
        <v>0</v>
      </c>
      <c r="U7523" s="99" t="str">
        <f>IFERROR(IF(#REF!="S",VLOOKUP('Raw Data'!A7523,References!#REF!,2,FALSE),(VLOOKUP($S7523,References!$B$3:$C$8,2,FALSE))),"")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0"/>
        <v>0</v>
      </c>
      <c r="T7524" s="98">
        <f t="shared" si="301"/>
        <v>0</v>
      </c>
      <c r="U7524" s="99" t="str">
        <f>IFERROR(IF(#REF!="S",VLOOKUP('Raw Data'!A7524,References!#REF!,2,FALSE),(VLOOKUP($S7524,References!$B$3:$C$8,2,FALSE))),"")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0"/>
        <v>0</v>
      </c>
      <c r="T7525" s="98">
        <f t="shared" si="301"/>
        <v>0</v>
      </c>
      <c r="U7525" s="99" t="str">
        <f>IFERROR(IF(#REF!="S",VLOOKUP('Raw Data'!A7525,References!#REF!,2,FALSE),(VLOOKUP($S7525,References!$B$3:$C$8,2,FALSE))),"")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0"/>
        <v>0</v>
      </c>
      <c r="T7526" s="98">
        <f t="shared" si="301"/>
        <v>0</v>
      </c>
      <c r="U7526" s="99" t="str">
        <f>IFERROR(IF(#REF!="S",VLOOKUP('Raw Data'!A7526,References!#REF!,2,FALSE),(VLOOKUP($S7526,References!$B$3:$C$8,2,FALSE))),"")</f>
        <v/>
      </c>
      <c r="W7526" s="66" t="str">
        <f>IFERROR(VLOOKUP($O7526,'Customer List'!$A$1:$J$488,10,FALSE),"")</f>
        <v/>
      </c>
    </row>
    <row r="7527" spans="18:23">
      <c r="R7527" s="97">
        <f t="shared" si="300"/>
        <v>0</v>
      </c>
      <c r="T7527" s="98">
        <f t="shared" si="301"/>
        <v>0</v>
      </c>
      <c r="U7527" s="99" t="str">
        <f>IFERROR(IF(#REF!="S",VLOOKUP('Raw Data'!A7527,References!#REF!,2,FALSE),(VLOOKUP($S7527,References!$B$3:$C$8,2,FALSE))),"")</f>
        <v/>
      </c>
      <c r="W7527" s="66" t="str">
        <f>IFERROR(VLOOKUP($O7527,'Customer List'!$A$1:$J$488,10,FALSE),"")</f>
        <v/>
      </c>
    </row>
    <row r="7528" spans="18:23">
      <c r="R7528" s="97">
        <f t="shared" ref="R7528:R7591" si="302">L7528-K7528</f>
        <v>0</v>
      </c>
      <c r="T7528" s="98">
        <f t="shared" si="301"/>
        <v>0</v>
      </c>
      <c r="U7528" s="99" t="str">
        <f>IFERROR(IF(#REF!="S",VLOOKUP('Raw Data'!A7528,References!#REF!,2,FALSE),(VLOOKUP($S7528,References!$B$3:$C$8,2,FALSE))),"")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2"/>
        <v>0</v>
      </c>
      <c r="T7529" s="98">
        <f t="shared" si="301"/>
        <v>0</v>
      </c>
      <c r="U7529" s="99" t="str">
        <f>IFERROR(IF(#REF!="S",VLOOKUP('Raw Data'!A7529,References!#REF!,2,FALSE),(VLOOKUP($S7529,References!$B$3:$C$8,2,FALSE))),"")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2"/>
        <v>0</v>
      </c>
      <c r="T7530" s="98">
        <f t="shared" si="301"/>
        <v>0</v>
      </c>
      <c r="U7530" s="99" t="str">
        <f>IFERROR(IF(#REF!="S",VLOOKUP('Raw Data'!A7530,References!#REF!,2,FALSE),(VLOOKUP($S7530,References!$B$3:$C$8,2,FALSE))),"")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2"/>
        <v>0</v>
      </c>
      <c r="T7531" s="98">
        <f t="shared" si="301"/>
        <v>0</v>
      </c>
      <c r="U7531" s="99" t="str">
        <f>IFERROR(IF(#REF!="S",VLOOKUP('Raw Data'!A7531,References!#REF!,2,FALSE),(VLOOKUP($S7531,References!$B$3:$C$8,2,FALSE))),"")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2"/>
        <v>0</v>
      </c>
      <c r="T7532" s="98">
        <f t="shared" si="301"/>
        <v>0</v>
      </c>
      <c r="U7532" s="99" t="str">
        <f>IFERROR(IF(#REF!="S",VLOOKUP('Raw Data'!A7532,References!#REF!,2,FALSE),(VLOOKUP($S7532,References!$B$3:$C$8,2,FALSE))),"")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2"/>
        <v>0</v>
      </c>
      <c r="T7533" s="98">
        <f t="shared" si="301"/>
        <v>0</v>
      </c>
      <c r="U7533" s="99" t="str">
        <f>IFERROR(IF(#REF!="S",VLOOKUP('Raw Data'!A7533,References!#REF!,2,FALSE),(VLOOKUP($S7533,References!$B$3:$C$8,2,FALSE))),"")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2"/>
        <v>0</v>
      </c>
      <c r="T7534" s="98">
        <f t="shared" si="301"/>
        <v>0</v>
      </c>
      <c r="U7534" s="99" t="str">
        <f>IFERROR(IF(#REF!="S",VLOOKUP('Raw Data'!A7534,References!#REF!,2,FALSE),(VLOOKUP($S7534,References!$B$3:$C$8,2,FALSE))),"")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2"/>
        <v>0</v>
      </c>
      <c r="T7535" s="98">
        <f t="shared" si="301"/>
        <v>0</v>
      </c>
      <c r="U7535" s="99" t="str">
        <f>IFERROR(IF(#REF!="S",VLOOKUP('Raw Data'!A7535,References!#REF!,2,FALSE),(VLOOKUP($S7535,References!$B$3:$C$8,2,FALSE))),"")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2"/>
        <v>0</v>
      </c>
      <c r="T7536" s="98">
        <f t="shared" si="301"/>
        <v>0</v>
      </c>
      <c r="U7536" s="99" t="str">
        <f>IFERROR(IF(#REF!="S",VLOOKUP('Raw Data'!A7536,References!#REF!,2,FALSE),(VLOOKUP($S7536,References!$B$3:$C$8,2,FALSE))),"")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2"/>
        <v>0</v>
      </c>
      <c r="T7537" s="98">
        <f t="shared" si="301"/>
        <v>0</v>
      </c>
      <c r="U7537" s="99" t="str">
        <f>IFERROR(IF(#REF!="S",VLOOKUP('Raw Data'!A7537,References!#REF!,2,FALSE),(VLOOKUP($S7537,References!$B$3:$C$8,2,FALSE))),"")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2"/>
        <v>0</v>
      </c>
      <c r="T7538" s="98">
        <f t="shared" si="301"/>
        <v>0</v>
      </c>
      <c r="U7538" s="99" t="str">
        <f>IFERROR(IF(#REF!="S",VLOOKUP('Raw Data'!A7538,References!#REF!,2,FALSE),(VLOOKUP($S7538,References!$B$3:$C$8,2,FALSE))),"")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2"/>
        <v>0</v>
      </c>
      <c r="T7539" s="98">
        <f t="shared" si="301"/>
        <v>0</v>
      </c>
      <c r="U7539" s="99" t="str">
        <f>IFERROR(IF(#REF!="S",VLOOKUP('Raw Data'!A7539,References!#REF!,2,FALSE),(VLOOKUP($S7539,References!$B$3:$C$8,2,FALSE))),"")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2"/>
        <v>0</v>
      </c>
      <c r="T7540" s="98">
        <f t="shared" si="301"/>
        <v>0</v>
      </c>
      <c r="U7540" s="99" t="str">
        <f>IFERROR(IF(#REF!="S",VLOOKUP('Raw Data'!A7540,References!#REF!,2,FALSE),(VLOOKUP($S7540,References!$B$3:$C$8,2,FALSE))),"")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2"/>
        <v>0</v>
      </c>
      <c r="T7541" s="98">
        <f t="shared" si="301"/>
        <v>0</v>
      </c>
      <c r="U7541" s="99" t="str">
        <f>IFERROR(IF(#REF!="S",VLOOKUP('Raw Data'!A7541,References!#REF!,2,FALSE),(VLOOKUP($S7541,References!$B$3:$C$8,2,FALSE))),"")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2"/>
        <v>0</v>
      </c>
      <c r="T7542" s="98">
        <f t="shared" si="301"/>
        <v>0</v>
      </c>
      <c r="U7542" s="99" t="str">
        <f>IFERROR(IF(#REF!="S",VLOOKUP('Raw Data'!A7542,References!#REF!,2,FALSE),(VLOOKUP($S7542,References!$B$3:$C$8,2,FALSE))),"")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2"/>
        <v>0</v>
      </c>
      <c r="T7543" s="98">
        <f t="shared" si="301"/>
        <v>0</v>
      </c>
      <c r="U7543" s="99" t="str">
        <f>IFERROR(IF(#REF!="S",VLOOKUP('Raw Data'!A7543,References!#REF!,2,FALSE),(VLOOKUP($S7543,References!$B$3:$C$8,2,FALSE))),"")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2"/>
        <v>0</v>
      </c>
      <c r="T7544" s="98">
        <f t="shared" si="301"/>
        <v>0</v>
      </c>
      <c r="U7544" s="99" t="str">
        <f>IFERROR(IF(#REF!="S",VLOOKUP('Raw Data'!A7544,References!#REF!,2,FALSE),(VLOOKUP($S7544,References!$B$3:$C$8,2,FALSE))),"")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2"/>
        <v>0</v>
      </c>
      <c r="T7545" s="98">
        <f t="shared" si="301"/>
        <v>0</v>
      </c>
      <c r="U7545" s="99" t="str">
        <f>IFERROR(IF(#REF!="S",VLOOKUP('Raw Data'!A7545,References!#REF!,2,FALSE),(VLOOKUP($S7545,References!$B$3:$C$8,2,FALSE))),"")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2"/>
        <v>0</v>
      </c>
      <c r="T7546" s="98">
        <f t="shared" si="301"/>
        <v>0</v>
      </c>
      <c r="U7546" s="99" t="str">
        <f>IFERROR(IF(#REF!="S",VLOOKUP('Raw Data'!A7546,References!#REF!,2,FALSE),(VLOOKUP($S7546,References!$B$3:$C$8,2,FALSE))),"")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2"/>
        <v>0</v>
      </c>
      <c r="T7547" s="98">
        <f t="shared" si="301"/>
        <v>0</v>
      </c>
      <c r="U7547" s="99" t="str">
        <f>IFERROR(IF(#REF!="S",VLOOKUP('Raw Data'!A7547,References!#REF!,2,FALSE),(VLOOKUP($S7547,References!$B$3:$C$8,2,FALSE))),"")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2"/>
        <v>0</v>
      </c>
      <c r="T7548" s="98">
        <f t="shared" si="301"/>
        <v>0</v>
      </c>
      <c r="U7548" s="99" t="str">
        <f>IFERROR(IF(#REF!="S",VLOOKUP('Raw Data'!A7548,References!#REF!,2,FALSE),(VLOOKUP($S7548,References!$B$3:$C$8,2,FALSE))),"")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2"/>
        <v>0</v>
      </c>
      <c r="T7549" s="98">
        <f t="shared" si="301"/>
        <v>0</v>
      </c>
      <c r="U7549" s="99" t="str">
        <f>IFERROR(IF(#REF!="S",VLOOKUP('Raw Data'!A7549,References!#REF!,2,FALSE),(VLOOKUP($S7549,References!$B$3:$C$8,2,FALSE))),"")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2"/>
        <v>0</v>
      </c>
      <c r="T7550" s="98">
        <f t="shared" si="301"/>
        <v>0</v>
      </c>
      <c r="U7550" s="99" t="str">
        <f>IFERROR(IF(#REF!="S",VLOOKUP('Raw Data'!A7550,References!#REF!,2,FALSE),(VLOOKUP($S7550,References!$B$3:$C$8,2,FALSE))),"")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2"/>
        <v>0</v>
      </c>
      <c r="T7551" s="98">
        <f t="shared" si="301"/>
        <v>0</v>
      </c>
      <c r="U7551" s="99" t="str">
        <f>IFERROR(IF(#REF!="S",VLOOKUP('Raw Data'!A7551,References!#REF!,2,FALSE),(VLOOKUP($S7551,References!$B$3:$C$8,2,FALSE))),"")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2"/>
        <v>0</v>
      </c>
      <c r="T7552" s="98">
        <f t="shared" si="301"/>
        <v>0</v>
      </c>
      <c r="U7552" s="99" t="str">
        <f>IFERROR(IF(#REF!="S",VLOOKUP('Raw Data'!A7552,References!#REF!,2,FALSE),(VLOOKUP($S7552,References!$B$3:$C$8,2,FALSE))),"")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2"/>
        <v>0</v>
      </c>
      <c r="T7553" s="98">
        <f t="shared" si="301"/>
        <v>0</v>
      </c>
      <c r="U7553" s="99" t="str">
        <f>IFERROR(IF(#REF!="S",VLOOKUP('Raw Data'!A7553,References!#REF!,2,FALSE),(VLOOKUP($S7553,References!$B$3:$C$8,2,FALSE))),"")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2"/>
        <v>0</v>
      </c>
      <c r="T7554" s="98">
        <f t="shared" si="301"/>
        <v>0</v>
      </c>
      <c r="U7554" s="99" t="str">
        <f>IFERROR(IF(#REF!="S",VLOOKUP('Raw Data'!A7554,References!#REF!,2,FALSE),(VLOOKUP($S7554,References!$B$3:$C$8,2,FALSE))),"")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2"/>
        <v>0</v>
      </c>
      <c r="T7555" s="98">
        <f t="shared" si="301"/>
        <v>0</v>
      </c>
      <c r="U7555" s="99" t="str">
        <f>IFERROR(IF(#REF!="S",VLOOKUP('Raw Data'!A7555,References!#REF!,2,FALSE),(VLOOKUP($S7555,References!$B$3:$C$8,2,FALSE))),"")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2"/>
        <v>0</v>
      </c>
      <c r="T7556" s="98">
        <f t="shared" si="301"/>
        <v>0</v>
      </c>
      <c r="U7556" s="99" t="str">
        <f>IFERROR(IF(#REF!="S",VLOOKUP('Raw Data'!A7556,References!#REF!,2,FALSE),(VLOOKUP($S7556,References!$B$3:$C$8,2,FALSE))),"")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2"/>
        <v>0</v>
      </c>
      <c r="T7557" s="98">
        <f t="shared" si="301"/>
        <v>0</v>
      </c>
      <c r="U7557" s="99" t="str">
        <f>IFERROR(IF(#REF!="S",VLOOKUP('Raw Data'!A7557,References!#REF!,2,FALSE),(VLOOKUP($S7557,References!$B$3:$C$8,2,FALSE))),"")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2"/>
        <v>0</v>
      </c>
      <c r="T7558" s="98">
        <f t="shared" si="301"/>
        <v>0</v>
      </c>
      <c r="U7558" s="99" t="str">
        <f>IFERROR(IF(#REF!="S",VLOOKUP('Raw Data'!A7558,References!#REF!,2,FALSE),(VLOOKUP($S7558,References!$B$3:$C$8,2,FALSE))),"")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2"/>
        <v>0</v>
      </c>
      <c r="T7559" s="98">
        <f t="shared" si="301"/>
        <v>0</v>
      </c>
      <c r="U7559" s="99" t="str">
        <f>IFERROR(IF(#REF!="S",VLOOKUP('Raw Data'!A7559,References!#REF!,2,FALSE),(VLOOKUP($S7559,References!$B$3:$C$8,2,FALSE))),"")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2"/>
        <v>0</v>
      </c>
      <c r="T7560" s="98">
        <f t="shared" si="301"/>
        <v>0</v>
      </c>
      <c r="U7560" s="99" t="str">
        <f>IFERROR(IF(#REF!="S",VLOOKUP('Raw Data'!A7560,References!#REF!,2,FALSE),(VLOOKUP($S7560,References!$B$3:$C$8,2,FALSE))),"")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2"/>
        <v>0</v>
      </c>
      <c r="T7561" s="98">
        <f t="shared" si="301"/>
        <v>0</v>
      </c>
      <c r="U7561" s="99" t="str">
        <f>IFERROR(IF(#REF!="S",VLOOKUP('Raw Data'!A7561,References!#REF!,2,FALSE),(VLOOKUP($S7561,References!$B$3:$C$8,2,FALSE))),"")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2"/>
        <v>0</v>
      </c>
      <c r="T7562" s="98">
        <f t="shared" si="301"/>
        <v>0</v>
      </c>
      <c r="U7562" s="99" t="str">
        <f>IFERROR(IF(#REF!="S",VLOOKUP('Raw Data'!A7562,References!#REF!,2,FALSE),(VLOOKUP($S7562,References!$B$3:$C$8,2,FALSE))),"")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2"/>
        <v>0</v>
      </c>
      <c r="T7563" s="98">
        <f t="shared" si="301"/>
        <v>0</v>
      </c>
      <c r="U7563" s="99" t="str">
        <f>IFERROR(IF(#REF!="S",VLOOKUP('Raw Data'!A7563,References!#REF!,2,FALSE),(VLOOKUP($S7563,References!$B$3:$C$8,2,FALSE))),"")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2"/>
        <v>0</v>
      </c>
      <c r="T7564" s="98">
        <f t="shared" si="301"/>
        <v>0</v>
      </c>
      <c r="U7564" s="99" t="str">
        <f>IFERROR(IF(#REF!="S",VLOOKUP('Raw Data'!A7564,References!#REF!,2,FALSE),(VLOOKUP($S7564,References!$B$3:$C$8,2,FALSE))),"")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2"/>
        <v>0</v>
      </c>
      <c r="T7565" s="98">
        <f t="shared" si="301"/>
        <v>0</v>
      </c>
      <c r="U7565" s="99" t="str">
        <f>IFERROR(IF(#REF!="S",VLOOKUP('Raw Data'!A7565,References!#REF!,2,FALSE),(VLOOKUP($S7565,References!$B$3:$C$8,2,FALSE))),"")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2"/>
        <v>0</v>
      </c>
      <c r="T7566" s="98">
        <f t="shared" si="301"/>
        <v>0</v>
      </c>
      <c r="U7566" s="99" t="str">
        <f>IFERROR(IF(#REF!="S",VLOOKUP('Raw Data'!A7566,References!#REF!,2,FALSE),(VLOOKUP($S7566,References!$B$3:$C$8,2,FALSE))),"")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2"/>
        <v>0</v>
      </c>
      <c r="T7567" s="98">
        <f t="shared" si="301"/>
        <v>0</v>
      </c>
      <c r="U7567" s="99" t="str">
        <f>IFERROR(IF(#REF!="S",VLOOKUP('Raw Data'!A7567,References!#REF!,2,FALSE),(VLOOKUP($S7567,References!$B$3:$C$8,2,FALSE))),"")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2"/>
        <v>0</v>
      </c>
      <c r="T7568" s="98">
        <f t="shared" ref="T7568:T7631" si="303">IF(S7568="50 - Cleaning Fee",1,HOUR($R7568)+MINUTE(R7568)/60)</f>
        <v>0</v>
      </c>
      <c r="U7568" s="99" t="str">
        <f>IFERROR(IF(#REF!="S",VLOOKUP('Raw Data'!A7568,References!#REF!,2,FALSE),(VLOOKUP($S7568,References!$B$3:$C$8,2,FALSE))),"")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2"/>
        <v>0</v>
      </c>
      <c r="T7569" s="98">
        <f t="shared" si="303"/>
        <v>0</v>
      </c>
      <c r="U7569" s="99" t="str">
        <f>IFERROR(IF(#REF!="S",VLOOKUP('Raw Data'!A7569,References!#REF!,2,FALSE),(VLOOKUP($S7569,References!$B$3:$C$8,2,FALSE))),"")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2"/>
        <v>0</v>
      </c>
      <c r="T7570" s="98">
        <f t="shared" si="303"/>
        <v>0</v>
      </c>
      <c r="U7570" s="99" t="str">
        <f>IFERROR(IF(#REF!="S",VLOOKUP('Raw Data'!A7570,References!#REF!,2,FALSE),(VLOOKUP($S7570,References!$B$3:$C$8,2,FALSE))),"")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2"/>
        <v>0</v>
      </c>
      <c r="T7571" s="98">
        <f t="shared" si="303"/>
        <v>0</v>
      </c>
      <c r="U7571" s="99" t="str">
        <f>IFERROR(IF(#REF!="S",VLOOKUP('Raw Data'!A7571,References!#REF!,2,FALSE),(VLOOKUP($S7571,References!$B$3:$C$8,2,FALSE))),"")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2"/>
        <v>0</v>
      </c>
      <c r="T7572" s="98">
        <f t="shared" si="303"/>
        <v>0</v>
      </c>
      <c r="U7572" s="99" t="str">
        <f>IFERROR(IF(#REF!="S",VLOOKUP('Raw Data'!A7572,References!#REF!,2,FALSE),(VLOOKUP($S7572,References!$B$3:$C$8,2,FALSE))),"")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2"/>
        <v>0</v>
      </c>
      <c r="T7573" s="98">
        <f t="shared" si="303"/>
        <v>0</v>
      </c>
      <c r="U7573" s="99" t="str">
        <f>IFERROR(IF(#REF!="S",VLOOKUP('Raw Data'!A7573,References!#REF!,2,FALSE),(VLOOKUP($S7573,References!$B$3:$C$8,2,FALSE))),"")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2"/>
        <v>0</v>
      </c>
      <c r="T7574" s="98">
        <f t="shared" si="303"/>
        <v>0</v>
      </c>
      <c r="U7574" s="99" t="str">
        <f>IFERROR(IF(#REF!="S",VLOOKUP('Raw Data'!A7574,References!#REF!,2,FALSE),(VLOOKUP($S7574,References!$B$3:$C$8,2,FALSE))),"")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2"/>
        <v>0</v>
      </c>
      <c r="T7575" s="98">
        <f t="shared" si="303"/>
        <v>0</v>
      </c>
      <c r="U7575" s="99" t="str">
        <f>IFERROR(IF(#REF!="S",VLOOKUP('Raw Data'!A7575,References!#REF!,2,FALSE),(VLOOKUP($S7575,References!$B$3:$C$8,2,FALSE))),"")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2"/>
        <v>0</v>
      </c>
      <c r="T7576" s="98">
        <f t="shared" si="303"/>
        <v>0</v>
      </c>
      <c r="U7576" s="99" t="str">
        <f>IFERROR(IF(#REF!="S",VLOOKUP('Raw Data'!A7576,References!#REF!,2,FALSE),(VLOOKUP($S7576,References!$B$3:$C$8,2,FALSE))),"")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2"/>
        <v>0</v>
      </c>
      <c r="T7577" s="98">
        <f t="shared" si="303"/>
        <v>0</v>
      </c>
      <c r="U7577" s="99" t="str">
        <f>IFERROR(IF(#REF!="S",VLOOKUP('Raw Data'!A7577,References!#REF!,2,FALSE),(VLOOKUP($S7577,References!$B$3:$C$8,2,FALSE))),"")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2"/>
        <v>0</v>
      </c>
      <c r="T7578" s="98">
        <f t="shared" si="303"/>
        <v>0</v>
      </c>
      <c r="U7578" s="99" t="str">
        <f>IFERROR(IF(#REF!="S",VLOOKUP('Raw Data'!A7578,References!#REF!,2,FALSE),(VLOOKUP($S7578,References!$B$3:$C$8,2,FALSE))),"")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2"/>
        <v>0</v>
      </c>
      <c r="T7579" s="98">
        <f t="shared" si="303"/>
        <v>0</v>
      </c>
      <c r="U7579" s="99" t="str">
        <f>IFERROR(IF(#REF!="S",VLOOKUP('Raw Data'!A7579,References!#REF!,2,FALSE),(VLOOKUP($S7579,References!$B$3:$C$8,2,FALSE))),"")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2"/>
        <v>0</v>
      </c>
      <c r="T7580" s="98">
        <f t="shared" si="303"/>
        <v>0</v>
      </c>
      <c r="U7580" s="99" t="str">
        <f>IFERROR(IF(#REF!="S",VLOOKUP('Raw Data'!A7580,References!#REF!,2,FALSE),(VLOOKUP($S7580,References!$B$3:$C$8,2,FALSE))),"")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2"/>
        <v>0</v>
      </c>
      <c r="T7581" s="98">
        <f t="shared" si="303"/>
        <v>0</v>
      </c>
      <c r="U7581" s="99" t="str">
        <f>IFERROR(IF(#REF!="S",VLOOKUP('Raw Data'!A7581,References!#REF!,2,FALSE),(VLOOKUP($S7581,References!$B$3:$C$8,2,FALSE))),"")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2"/>
        <v>0</v>
      </c>
      <c r="T7582" s="98">
        <f t="shared" si="303"/>
        <v>0</v>
      </c>
      <c r="U7582" s="99" t="str">
        <f>IFERROR(IF(#REF!="S",VLOOKUP('Raw Data'!A7582,References!#REF!,2,FALSE),(VLOOKUP($S7582,References!$B$3:$C$8,2,FALSE))),"")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2"/>
        <v>0</v>
      </c>
      <c r="T7583" s="98">
        <f t="shared" si="303"/>
        <v>0</v>
      </c>
      <c r="U7583" s="99" t="str">
        <f>IFERROR(IF(#REF!="S",VLOOKUP('Raw Data'!A7583,References!#REF!,2,FALSE),(VLOOKUP($S7583,References!$B$3:$C$8,2,FALSE))),"")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2"/>
        <v>0</v>
      </c>
      <c r="T7584" s="98">
        <f t="shared" si="303"/>
        <v>0</v>
      </c>
      <c r="U7584" s="99" t="str">
        <f>IFERROR(IF(#REF!="S",VLOOKUP('Raw Data'!A7584,References!#REF!,2,FALSE),(VLOOKUP($S7584,References!$B$3:$C$8,2,FALSE))),"")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2"/>
        <v>0</v>
      </c>
      <c r="T7585" s="98">
        <f t="shared" si="303"/>
        <v>0</v>
      </c>
      <c r="U7585" s="99" t="str">
        <f>IFERROR(IF(#REF!="S",VLOOKUP('Raw Data'!A7585,References!#REF!,2,FALSE),(VLOOKUP($S7585,References!$B$3:$C$8,2,FALSE))),"")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2"/>
        <v>0</v>
      </c>
      <c r="T7586" s="98">
        <f t="shared" si="303"/>
        <v>0</v>
      </c>
      <c r="U7586" s="99" t="str">
        <f>IFERROR(IF(#REF!="S",VLOOKUP('Raw Data'!A7586,References!#REF!,2,FALSE),(VLOOKUP($S7586,References!$B$3:$C$8,2,FALSE))),"")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2"/>
        <v>0</v>
      </c>
      <c r="T7587" s="98">
        <f t="shared" si="303"/>
        <v>0</v>
      </c>
      <c r="U7587" s="99" t="str">
        <f>IFERROR(IF(#REF!="S",VLOOKUP('Raw Data'!A7587,References!#REF!,2,FALSE),(VLOOKUP($S7587,References!$B$3:$C$8,2,FALSE))),"")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2"/>
        <v>0</v>
      </c>
      <c r="T7588" s="98">
        <f t="shared" si="303"/>
        <v>0</v>
      </c>
      <c r="U7588" s="99" t="str">
        <f>IFERROR(IF(#REF!="S",VLOOKUP('Raw Data'!A7588,References!#REF!,2,FALSE),(VLOOKUP($S7588,References!$B$3:$C$8,2,FALSE))),"")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2"/>
        <v>0</v>
      </c>
      <c r="T7589" s="98">
        <f t="shared" si="303"/>
        <v>0</v>
      </c>
      <c r="U7589" s="99" t="str">
        <f>IFERROR(IF(#REF!="S",VLOOKUP('Raw Data'!A7589,References!#REF!,2,FALSE),(VLOOKUP($S7589,References!$B$3:$C$8,2,FALSE))),"")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2"/>
        <v>0</v>
      </c>
      <c r="T7590" s="98">
        <f t="shared" si="303"/>
        <v>0</v>
      </c>
      <c r="U7590" s="99" t="str">
        <f>IFERROR(IF(#REF!="S",VLOOKUP('Raw Data'!A7590,References!#REF!,2,FALSE),(VLOOKUP($S7590,References!$B$3:$C$8,2,FALSE))),"")</f>
        <v/>
      </c>
      <c r="W7590" s="66" t="str">
        <f>IFERROR(VLOOKUP($O7590,'Customer List'!$A$1:$J$488,10,FALSE),"")</f>
        <v/>
      </c>
    </row>
    <row r="7591" spans="18:23">
      <c r="R7591" s="97">
        <f t="shared" si="302"/>
        <v>0</v>
      </c>
      <c r="T7591" s="98">
        <f t="shared" si="303"/>
        <v>0</v>
      </c>
      <c r="U7591" s="99" t="str">
        <f>IFERROR(IF(#REF!="S",VLOOKUP('Raw Data'!A7591,References!#REF!,2,FALSE),(VLOOKUP($S7591,References!$B$3:$C$8,2,FALSE))),"")</f>
        <v/>
      </c>
      <c r="W7591" s="66" t="str">
        <f>IFERROR(VLOOKUP($O7591,'Customer List'!$A$1:$J$488,10,FALSE),"")</f>
        <v/>
      </c>
    </row>
    <row r="7592" spans="18:23">
      <c r="R7592" s="97">
        <f t="shared" ref="R7592:R7655" si="304">L7592-K7592</f>
        <v>0</v>
      </c>
      <c r="T7592" s="98">
        <f t="shared" si="303"/>
        <v>0</v>
      </c>
      <c r="U7592" s="99" t="str">
        <f>IFERROR(IF(#REF!="S",VLOOKUP('Raw Data'!A7592,References!#REF!,2,FALSE),(VLOOKUP($S7592,References!$B$3:$C$8,2,FALSE))),"")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4"/>
        <v>0</v>
      </c>
      <c r="T7593" s="98">
        <f t="shared" si="303"/>
        <v>0</v>
      </c>
      <c r="U7593" s="99" t="str">
        <f>IFERROR(IF(#REF!="S",VLOOKUP('Raw Data'!A7593,References!#REF!,2,FALSE),(VLOOKUP($S7593,References!$B$3:$C$8,2,FALSE))),"")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4"/>
        <v>0</v>
      </c>
      <c r="T7594" s="98">
        <f t="shared" si="303"/>
        <v>0</v>
      </c>
      <c r="U7594" s="99" t="str">
        <f>IFERROR(IF(#REF!="S",VLOOKUP('Raw Data'!A7594,References!#REF!,2,FALSE),(VLOOKUP($S7594,References!$B$3:$C$8,2,FALSE))),"")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4"/>
        <v>0</v>
      </c>
      <c r="T7595" s="98">
        <f t="shared" si="303"/>
        <v>0</v>
      </c>
      <c r="U7595" s="99" t="str">
        <f>IFERROR(IF(#REF!="S",VLOOKUP('Raw Data'!A7595,References!#REF!,2,FALSE),(VLOOKUP($S7595,References!$B$3:$C$8,2,FALSE))),"")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4"/>
        <v>0</v>
      </c>
      <c r="T7596" s="98">
        <f t="shared" si="303"/>
        <v>0</v>
      </c>
      <c r="U7596" s="99" t="str">
        <f>IFERROR(IF(#REF!="S",VLOOKUP('Raw Data'!A7596,References!#REF!,2,FALSE),(VLOOKUP($S7596,References!$B$3:$C$8,2,FALSE))),"")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4"/>
        <v>0</v>
      </c>
      <c r="T7597" s="98">
        <f t="shared" si="303"/>
        <v>0</v>
      </c>
      <c r="U7597" s="99" t="str">
        <f>IFERROR(IF(#REF!="S",VLOOKUP('Raw Data'!A7597,References!#REF!,2,FALSE),(VLOOKUP($S7597,References!$B$3:$C$8,2,FALSE))),"")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4"/>
        <v>0</v>
      </c>
      <c r="T7598" s="98">
        <f t="shared" si="303"/>
        <v>0</v>
      </c>
      <c r="U7598" s="99" t="str">
        <f>IFERROR(IF(#REF!="S",VLOOKUP('Raw Data'!A7598,References!#REF!,2,FALSE),(VLOOKUP($S7598,References!$B$3:$C$8,2,FALSE))),"")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4"/>
        <v>0</v>
      </c>
      <c r="T7599" s="98">
        <f t="shared" si="303"/>
        <v>0</v>
      </c>
      <c r="U7599" s="99" t="str">
        <f>IFERROR(IF(#REF!="S",VLOOKUP('Raw Data'!A7599,References!#REF!,2,FALSE),(VLOOKUP($S7599,References!$B$3:$C$8,2,FALSE))),"")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4"/>
        <v>0</v>
      </c>
      <c r="T7600" s="98">
        <f t="shared" si="303"/>
        <v>0</v>
      </c>
      <c r="U7600" s="99" t="str">
        <f>IFERROR(IF(#REF!="S",VLOOKUP('Raw Data'!A7600,References!#REF!,2,FALSE),(VLOOKUP($S7600,References!$B$3:$C$8,2,FALSE))),"")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4"/>
        <v>0</v>
      </c>
      <c r="T7601" s="98">
        <f t="shared" si="303"/>
        <v>0</v>
      </c>
      <c r="U7601" s="99" t="str">
        <f>IFERROR(IF(#REF!="S",VLOOKUP('Raw Data'!A7601,References!#REF!,2,FALSE),(VLOOKUP($S7601,References!$B$3:$C$8,2,FALSE))),"")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4"/>
        <v>0</v>
      </c>
      <c r="T7602" s="98">
        <f t="shared" si="303"/>
        <v>0</v>
      </c>
      <c r="U7602" s="99" t="str">
        <f>IFERROR(IF(#REF!="S",VLOOKUP('Raw Data'!A7602,References!#REF!,2,FALSE),(VLOOKUP($S7602,References!$B$3:$C$8,2,FALSE))),"")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4"/>
        <v>0</v>
      </c>
      <c r="T7603" s="98">
        <f t="shared" si="303"/>
        <v>0</v>
      </c>
      <c r="U7603" s="99" t="str">
        <f>IFERROR(IF(#REF!="S",VLOOKUP('Raw Data'!A7603,References!#REF!,2,FALSE),(VLOOKUP($S7603,References!$B$3:$C$8,2,FALSE))),"")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4"/>
        <v>0</v>
      </c>
      <c r="T7604" s="98">
        <f t="shared" si="303"/>
        <v>0</v>
      </c>
      <c r="U7604" s="99" t="str">
        <f>IFERROR(IF(#REF!="S",VLOOKUP('Raw Data'!A7604,References!#REF!,2,FALSE),(VLOOKUP($S7604,References!$B$3:$C$8,2,FALSE))),"")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4"/>
        <v>0</v>
      </c>
      <c r="T7605" s="98">
        <f t="shared" si="303"/>
        <v>0</v>
      </c>
      <c r="U7605" s="99" t="str">
        <f>IFERROR(IF(#REF!="S",VLOOKUP('Raw Data'!A7605,References!#REF!,2,FALSE),(VLOOKUP($S7605,References!$B$3:$C$8,2,FALSE))),"")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4"/>
        <v>0</v>
      </c>
      <c r="T7606" s="98">
        <f t="shared" si="303"/>
        <v>0</v>
      </c>
      <c r="U7606" s="99" t="str">
        <f>IFERROR(IF(#REF!="S",VLOOKUP('Raw Data'!A7606,References!#REF!,2,FALSE),(VLOOKUP($S7606,References!$B$3:$C$8,2,FALSE))),"")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4"/>
        <v>0</v>
      </c>
      <c r="T7607" s="98">
        <f t="shared" si="303"/>
        <v>0</v>
      </c>
      <c r="U7607" s="99" t="str">
        <f>IFERROR(IF(#REF!="S",VLOOKUP('Raw Data'!A7607,References!#REF!,2,FALSE),(VLOOKUP($S7607,References!$B$3:$C$8,2,FALSE))),"")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4"/>
        <v>0</v>
      </c>
      <c r="T7608" s="98">
        <f t="shared" si="303"/>
        <v>0</v>
      </c>
      <c r="U7608" s="99" t="str">
        <f>IFERROR(IF(#REF!="S",VLOOKUP('Raw Data'!A7608,References!#REF!,2,FALSE),(VLOOKUP($S7608,References!$B$3:$C$8,2,FALSE))),"")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4"/>
        <v>0</v>
      </c>
      <c r="T7609" s="98">
        <f t="shared" si="303"/>
        <v>0</v>
      </c>
      <c r="U7609" s="99" t="str">
        <f>IFERROR(IF(#REF!="S",VLOOKUP('Raw Data'!A7609,References!#REF!,2,FALSE),(VLOOKUP($S7609,References!$B$3:$C$8,2,FALSE))),"")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4"/>
        <v>0</v>
      </c>
      <c r="T7610" s="98">
        <f t="shared" si="303"/>
        <v>0</v>
      </c>
      <c r="U7610" s="99" t="str">
        <f>IFERROR(IF(#REF!="S",VLOOKUP('Raw Data'!A7610,References!#REF!,2,FALSE),(VLOOKUP($S7610,References!$B$3:$C$8,2,FALSE))),"")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4"/>
        <v>0</v>
      </c>
      <c r="T7611" s="98">
        <f t="shared" si="303"/>
        <v>0</v>
      </c>
      <c r="U7611" s="99" t="str">
        <f>IFERROR(IF(#REF!="S",VLOOKUP('Raw Data'!A7611,References!#REF!,2,FALSE),(VLOOKUP($S7611,References!$B$3:$C$8,2,FALSE))),"")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4"/>
        <v>0</v>
      </c>
      <c r="T7612" s="98">
        <f t="shared" si="303"/>
        <v>0</v>
      </c>
      <c r="U7612" s="99" t="str">
        <f>IFERROR(IF(#REF!="S",VLOOKUP('Raw Data'!A7612,References!#REF!,2,FALSE),(VLOOKUP($S7612,References!$B$3:$C$8,2,FALSE))),"")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4"/>
        <v>0</v>
      </c>
      <c r="T7613" s="98">
        <f t="shared" si="303"/>
        <v>0</v>
      </c>
      <c r="U7613" s="99" t="str">
        <f>IFERROR(IF(#REF!="S",VLOOKUP('Raw Data'!A7613,References!#REF!,2,FALSE),(VLOOKUP($S7613,References!$B$3:$C$8,2,FALSE))),"")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4"/>
        <v>0</v>
      </c>
      <c r="T7614" s="98">
        <f t="shared" si="303"/>
        <v>0</v>
      </c>
      <c r="U7614" s="99" t="str">
        <f>IFERROR(IF(#REF!="S",VLOOKUP('Raw Data'!A7614,References!#REF!,2,FALSE),(VLOOKUP($S7614,References!$B$3:$C$8,2,FALSE))),"")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4"/>
        <v>0</v>
      </c>
      <c r="T7615" s="98">
        <f t="shared" si="303"/>
        <v>0</v>
      </c>
      <c r="U7615" s="99" t="str">
        <f>IFERROR(IF(#REF!="S",VLOOKUP('Raw Data'!A7615,References!#REF!,2,FALSE),(VLOOKUP($S7615,References!$B$3:$C$8,2,FALSE))),"")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4"/>
        <v>0</v>
      </c>
      <c r="T7616" s="98">
        <f t="shared" si="303"/>
        <v>0</v>
      </c>
      <c r="U7616" s="99" t="str">
        <f>IFERROR(IF(#REF!="S",VLOOKUP('Raw Data'!A7616,References!#REF!,2,FALSE),(VLOOKUP($S7616,References!$B$3:$C$8,2,FALSE))),"")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4"/>
        <v>0</v>
      </c>
      <c r="T7617" s="98">
        <f t="shared" si="303"/>
        <v>0</v>
      </c>
      <c r="U7617" s="99" t="str">
        <f>IFERROR(IF(#REF!="S",VLOOKUP('Raw Data'!A7617,References!#REF!,2,FALSE),(VLOOKUP($S7617,References!$B$3:$C$8,2,FALSE))),"")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4"/>
        <v>0</v>
      </c>
      <c r="T7618" s="98">
        <f t="shared" si="303"/>
        <v>0</v>
      </c>
      <c r="U7618" s="99" t="str">
        <f>IFERROR(IF(#REF!="S",VLOOKUP('Raw Data'!A7618,References!#REF!,2,FALSE),(VLOOKUP($S7618,References!$B$3:$C$8,2,FALSE))),"")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4"/>
        <v>0</v>
      </c>
      <c r="T7619" s="98">
        <f t="shared" si="303"/>
        <v>0</v>
      </c>
      <c r="U7619" s="99" t="str">
        <f>IFERROR(IF(#REF!="S",VLOOKUP('Raw Data'!A7619,References!#REF!,2,FALSE),(VLOOKUP($S7619,References!$B$3:$C$8,2,FALSE))),"")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4"/>
        <v>0</v>
      </c>
      <c r="T7620" s="98">
        <f t="shared" si="303"/>
        <v>0</v>
      </c>
      <c r="U7620" s="99" t="str">
        <f>IFERROR(IF(#REF!="S",VLOOKUP('Raw Data'!A7620,References!#REF!,2,FALSE),(VLOOKUP($S7620,References!$B$3:$C$8,2,FALSE))),"")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4"/>
        <v>0</v>
      </c>
      <c r="T7621" s="98">
        <f t="shared" si="303"/>
        <v>0</v>
      </c>
      <c r="U7621" s="99" t="str">
        <f>IFERROR(IF(#REF!="S",VLOOKUP('Raw Data'!A7621,References!#REF!,2,FALSE),(VLOOKUP($S7621,References!$B$3:$C$8,2,FALSE))),"")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4"/>
        <v>0</v>
      </c>
      <c r="T7622" s="98">
        <f t="shared" si="303"/>
        <v>0</v>
      </c>
      <c r="U7622" s="99" t="str">
        <f>IFERROR(IF(#REF!="S",VLOOKUP('Raw Data'!A7622,References!#REF!,2,FALSE),(VLOOKUP($S7622,References!$B$3:$C$8,2,FALSE))),"")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4"/>
        <v>0</v>
      </c>
      <c r="T7623" s="98">
        <f t="shared" si="303"/>
        <v>0</v>
      </c>
      <c r="U7623" s="99" t="str">
        <f>IFERROR(IF(#REF!="S",VLOOKUP('Raw Data'!A7623,References!#REF!,2,FALSE),(VLOOKUP($S7623,References!$B$3:$C$8,2,FALSE))),"")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4"/>
        <v>0</v>
      </c>
      <c r="T7624" s="98">
        <f t="shared" si="303"/>
        <v>0</v>
      </c>
      <c r="U7624" s="99" t="str">
        <f>IFERROR(IF(#REF!="S",VLOOKUP('Raw Data'!A7624,References!#REF!,2,FALSE),(VLOOKUP($S7624,References!$B$3:$C$8,2,FALSE))),"")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4"/>
        <v>0</v>
      </c>
      <c r="T7625" s="98">
        <f t="shared" si="303"/>
        <v>0</v>
      </c>
      <c r="U7625" s="99" t="str">
        <f>IFERROR(IF(#REF!="S",VLOOKUP('Raw Data'!A7625,References!#REF!,2,FALSE),(VLOOKUP($S7625,References!$B$3:$C$8,2,FALSE))),"")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4"/>
        <v>0</v>
      </c>
      <c r="T7626" s="98">
        <f t="shared" si="303"/>
        <v>0</v>
      </c>
      <c r="U7626" s="99" t="str">
        <f>IFERROR(IF(#REF!="S",VLOOKUP('Raw Data'!A7626,References!#REF!,2,FALSE),(VLOOKUP($S7626,References!$B$3:$C$8,2,FALSE))),"")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4"/>
        <v>0</v>
      </c>
      <c r="T7627" s="98">
        <f t="shared" si="303"/>
        <v>0</v>
      </c>
      <c r="U7627" s="99" t="str">
        <f>IFERROR(IF(#REF!="S",VLOOKUP('Raw Data'!A7627,References!#REF!,2,FALSE),(VLOOKUP($S7627,References!$B$3:$C$8,2,FALSE))),"")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4"/>
        <v>0</v>
      </c>
      <c r="T7628" s="98">
        <f t="shared" si="303"/>
        <v>0</v>
      </c>
      <c r="U7628" s="99" t="str">
        <f>IFERROR(IF(#REF!="S",VLOOKUP('Raw Data'!A7628,References!#REF!,2,FALSE),(VLOOKUP($S7628,References!$B$3:$C$8,2,FALSE))),"")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4"/>
        <v>0</v>
      </c>
      <c r="T7629" s="98">
        <f t="shared" si="303"/>
        <v>0</v>
      </c>
      <c r="U7629" s="99" t="str">
        <f>IFERROR(IF(#REF!="S",VLOOKUP('Raw Data'!A7629,References!#REF!,2,FALSE),(VLOOKUP($S7629,References!$B$3:$C$8,2,FALSE))),"")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4"/>
        <v>0</v>
      </c>
      <c r="T7630" s="98">
        <f t="shared" si="303"/>
        <v>0</v>
      </c>
      <c r="U7630" s="99" t="str">
        <f>IFERROR(IF(#REF!="S",VLOOKUP('Raw Data'!A7630,References!#REF!,2,FALSE),(VLOOKUP($S7630,References!$B$3:$C$8,2,FALSE))),"")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4"/>
        <v>0</v>
      </c>
      <c r="T7631" s="98">
        <f t="shared" si="303"/>
        <v>0</v>
      </c>
      <c r="U7631" s="99" t="str">
        <f>IFERROR(IF(#REF!="S",VLOOKUP('Raw Data'!A7631,References!#REF!,2,FALSE),(VLOOKUP($S7631,References!$B$3:$C$8,2,FALSE))),"")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4"/>
        <v>0</v>
      </c>
      <c r="T7632" s="98">
        <f t="shared" ref="T7632:T7695" si="305">IF(S7632="50 - Cleaning Fee",1,HOUR($R7632)+MINUTE(R7632)/60)</f>
        <v>0</v>
      </c>
      <c r="U7632" s="99" t="str">
        <f>IFERROR(IF(#REF!="S",VLOOKUP('Raw Data'!A7632,References!#REF!,2,FALSE),(VLOOKUP($S7632,References!$B$3:$C$8,2,FALSE))),"")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4"/>
        <v>0</v>
      </c>
      <c r="T7633" s="98">
        <f t="shared" si="305"/>
        <v>0</v>
      </c>
      <c r="U7633" s="99" t="str">
        <f>IFERROR(IF(#REF!="S",VLOOKUP('Raw Data'!A7633,References!#REF!,2,FALSE),(VLOOKUP($S7633,References!$B$3:$C$8,2,FALSE))),"")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4"/>
        <v>0</v>
      </c>
      <c r="T7634" s="98">
        <f t="shared" si="305"/>
        <v>0</v>
      </c>
      <c r="U7634" s="99" t="str">
        <f>IFERROR(IF(#REF!="S",VLOOKUP('Raw Data'!A7634,References!#REF!,2,FALSE),(VLOOKUP($S7634,References!$B$3:$C$8,2,FALSE))),"")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4"/>
        <v>0</v>
      </c>
      <c r="T7635" s="98">
        <f t="shared" si="305"/>
        <v>0</v>
      </c>
      <c r="U7635" s="99" t="str">
        <f>IFERROR(IF(#REF!="S",VLOOKUP('Raw Data'!A7635,References!#REF!,2,FALSE),(VLOOKUP($S7635,References!$B$3:$C$8,2,FALSE))),"")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4"/>
        <v>0</v>
      </c>
      <c r="T7636" s="98">
        <f t="shared" si="305"/>
        <v>0</v>
      </c>
      <c r="U7636" s="99" t="str">
        <f>IFERROR(IF(#REF!="S",VLOOKUP('Raw Data'!A7636,References!#REF!,2,FALSE),(VLOOKUP($S7636,References!$B$3:$C$8,2,FALSE))),"")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4"/>
        <v>0</v>
      </c>
      <c r="T7637" s="98">
        <f t="shared" si="305"/>
        <v>0</v>
      </c>
      <c r="U7637" s="99" t="str">
        <f>IFERROR(IF(#REF!="S",VLOOKUP('Raw Data'!A7637,References!#REF!,2,FALSE),(VLOOKUP($S7637,References!$B$3:$C$8,2,FALSE))),"")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4"/>
        <v>0</v>
      </c>
      <c r="T7638" s="98">
        <f t="shared" si="305"/>
        <v>0</v>
      </c>
      <c r="U7638" s="99" t="str">
        <f>IFERROR(IF(#REF!="S",VLOOKUP('Raw Data'!A7638,References!#REF!,2,FALSE),(VLOOKUP($S7638,References!$B$3:$C$8,2,FALSE))),"")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4"/>
        <v>0</v>
      </c>
      <c r="T7639" s="98">
        <f t="shared" si="305"/>
        <v>0</v>
      </c>
      <c r="U7639" s="99" t="str">
        <f>IFERROR(IF(#REF!="S",VLOOKUP('Raw Data'!A7639,References!#REF!,2,FALSE),(VLOOKUP($S7639,References!$B$3:$C$8,2,FALSE))),"")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4"/>
        <v>0</v>
      </c>
      <c r="T7640" s="98">
        <f t="shared" si="305"/>
        <v>0</v>
      </c>
      <c r="U7640" s="99" t="str">
        <f>IFERROR(IF(#REF!="S",VLOOKUP('Raw Data'!A7640,References!#REF!,2,FALSE),(VLOOKUP($S7640,References!$B$3:$C$8,2,FALSE))),"")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4"/>
        <v>0</v>
      </c>
      <c r="T7641" s="98">
        <f t="shared" si="305"/>
        <v>0</v>
      </c>
      <c r="U7641" s="99" t="str">
        <f>IFERROR(IF(#REF!="S",VLOOKUP('Raw Data'!A7641,References!#REF!,2,FALSE),(VLOOKUP($S7641,References!$B$3:$C$8,2,FALSE))),"")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4"/>
        <v>0</v>
      </c>
      <c r="T7642" s="98">
        <f t="shared" si="305"/>
        <v>0</v>
      </c>
      <c r="U7642" s="99" t="str">
        <f>IFERROR(IF(#REF!="S",VLOOKUP('Raw Data'!A7642,References!#REF!,2,FALSE),(VLOOKUP($S7642,References!$B$3:$C$8,2,FALSE))),"")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4"/>
        <v>0</v>
      </c>
      <c r="T7643" s="98">
        <f t="shared" si="305"/>
        <v>0</v>
      </c>
      <c r="U7643" s="99" t="str">
        <f>IFERROR(IF(#REF!="S",VLOOKUP('Raw Data'!A7643,References!#REF!,2,FALSE),(VLOOKUP($S7643,References!$B$3:$C$8,2,FALSE))),"")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4"/>
        <v>0</v>
      </c>
      <c r="T7644" s="98">
        <f t="shared" si="305"/>
        <v>0</v>
      </c>
      <c r="U7644" s="99" t="str">
        <f>IFERROR(IF(#REF!="S",VLOOKUP('Raw Data'!A7644,References!#REF!,2,FALSE),(VLOOKUP($S7644,References!$B$3:$C$8,2,FALSE))),"")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4"/>
        <v>0</v>
      </c>
      <c r="T7645" s="98">
        <f t="shared" si="305"/>
        <v>0</v>
      </c>
      <c r="U7645" s="99" t="str">
        <f>IFERROR(IF(#REF!="S",VLOOKUP('Raw Data'!A7645,References!#REF!,2,FALSE),(VLOOKUP($S7645,References!$B$3:$C$8,2,FALSE))),"")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4"/>
        <v>0</v>
      </c>
      <c r="T7646" s="98">
        <f t="shared" si="305"/>
        <v>0</v>
      </c>
      <c r="U7646" s="99" t="str">
        <f>IFERROR(IF(#REF!="S",VLOOKUP('Raw Data'!A7646,References!#REF!,2,FALSE),(VLOOKUP($S7646,References!$B$3:$C$8,2,FALSE))),"")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4"/>
        <v>0</v>
      </c>
      <c r="T7647" s="98">
        <f t="shared" si="305"/>
        <v>0</v>
      </c>
      <c r="U7647" s="99" t="str">
        <f>IFERROR(IF(#REF!="S",VLOOKUP('Raw Data'!A7647,References!#REF!,2,FALSE),(VLOOKUP($S7647,References!$B$3:$C$8,2,FALSE))),"")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4"/>
        <v>0</v>
      </c>
      <c r="T7648" s="98">
        <f t="shared" si="305"/>
        <v>0</v>
      </c>
      <c r="U7648" s="99" t="str">
        <f>IFERROR(IF(#REF!="S",VLOOKUP('Raw Data'!A7648,References!#REF!,2,FALSE),(VLOOKUP($S7648,References!$B$3:$C$8,2,FALSE))),"")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4"/>
        <v>0</v>
      </c>
      <c r="T7649" s="98">
        <f t="shared" si="305"/>
        <v>0</v>
      </c>
      <c r="U7649" s="99" t="str">
        <f>IFERROR(IF(#REF!="S",VLOOKUP('Raw Data'!A7649,References!#REF!,2,FALSE),(VLOOKUP($S7649,References!$B$3:$C$8,2,FALSE))),"")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4"/>
        <v>0</v>
      </c>
      <c r="T7650" s="98">
        <f t="shared" si="305"/>
        <v>0</v>
      </c>
      <c r="U7650" s="99" t="str">
        <f>IFERROR(IF(#REF!="S",VLOOKUP('Raw Data'!A7650,References!#REF!,2,FALSE),(VLOOKUP($S7650,References!$B$3:$C$8,2,FALSE))),"")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4"/>
        <v>0</v>
      </c>
      <c r="T7651" s="98">
        <f t="shared" si="305"/>
        <v>0</v>
      </c>
      <c r="U7651" s="99" t="str">
        <f>IFERROR(IF(#REF!="S",VLOOKUP('Raw Data'!A7651,References!#REF!,2,FALSE),(VLOOKUP($S7651,References!$B$3:$C$8,2,FALSE))),"")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4"/>
        <v>0</v>
      </c>
      <c r="T7652" s="98">
        <f t="shared" si="305"/>
        <v>0</v>
      </c>
      <c r="U7652" s="99" t="str">
        <f>IFERROR(IF(#REF!="S",VLOOKUP('Raw Data'!A7652,References!#REF!,2,FALSE),(VLOOKUP($S7652,References!$B$3:$C$8,2,FALSE))),"")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4"/>
        <v>0</v>
      </c>
      <c r="T7653" s="98">
        <f t="shared" si="305"/>
        <v>0</v>
      </c>
      <c r="U7653" s="99" t="str">
        <f>IFERROR(IF(#REF!="S",VLOOKUP('Raw Data'!A7653,References!#REF!,2,FALSE),(VLOOKUP($S7653,References!$B$3:$C$8,2,FALSE))),"")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4"/>
        <v>0</v>
      </c>
      <c r="T7654" s="98">
        <f t="shared" si="305"/>
        <v>0</v>
      </c>
      <c r="U7654" s="99" t="str">
        <f>IFERROR(IF(#REF!="S",VLOOKUP('Raw Data'!A7654,References!#REF!,2,FALSE),(VLOOKUP($S7654,References!$B$3:$C$8,2,FALSE))),"")</f>
        <v/>
      </c>
      <c r="W7654" s="66" t="str">
        <f>IFERROR(VLOOKUP($O7654,'Customer List'!$A$1:$J$488,10,FALSE),"")</f>
        <v/>
      </c>
    </row>
    <row r="7655" spans="18:23">
      <c r="R7655" s="97">
        <f t="shared" si="304"/>
        <v>0</v>
      </c>
      <c r="T7655" s="98">
        <f t="shared" si="305"/>
        <v>0</v>
      </c>
      <c r="U7655" s="99" t="str">
        <f>IFERROR(IF(#REF!="S",VLOOKUP('Raw Data'!A7655,References!#REF!,2,FALSE),(VLOOKUP($S7655,References!$B$3:$C$8,2,FALSE))),"")</f>
        <v/>
      </c>
      <c r="W7655" s="66" t="str">
        <f>IFERROR(VLOOKUP($O7655,'Customer List'!$A$1:$J$488,10,FALSE),"")</f>
        <v/>
      </c>
    </row>
    <row r="7656" spans="18:23">
      <c r="R7656" s="97">
        <f t="shared" ref="R7656:R7719" si="306">L7656-K7656</f>
        <v>0</v>
      </c>
      <c r="T7656" s="98">
        <f t="shared" si="305"/>
        <v>0</v>
      </c>
      <c r="U7656" s="99" t="str">
        <f>IFERROR(IF(#REF!="S",VLOOKUP('Raw Data'!A7656,References!#REF!,2,FALSE),(VLOOKUP($S7656,References!$B$3:$C$8,2,FALSE))),"")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6"/>
        <v>0</v>
      </c>
      <c r="T7657" s="98">
        <f t="shared" si="305"/>
        <v>0</v>
      </c>
      <c r="U7657" s="99" t="str">
        <f>IFERROR(IF(#REF!="S",VLOOKUP('Raw Data'!A7657,References!#REF!,2,FALSE),(VLOOKUP($S7657,References!$B$3:$C$8,2,FALSE))),"")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6"/>
        <v>0</v>
      </c>
      <c r="T7658" s="98">
        <f t="shared" si="305"/>
        <v>0</v>
      </c>
      <c r="U7658" s="99" t="str">
        <f>IFERROR(IF(#REF!="S",VLOOKUP('Raw Data'!A7658,References!#REF!,2,FALSE),(VLOOKUP($S7658,References!$B$3:$C$8,2,FALSE))),"")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6"/>
        <v>0</v>
      </c>
      <c r="T7659" s="98">
        <f t="shared" si="305"/>
        <v>0</v>
      </c>
      <c r="U7659" s="99" t="str">
        <f>IFERROR(IF(#REF!="S",VLOOKUP('Raw Data'!A7659,References!#REF!,2,FALSE),(VLOOKUP($S7659,References!$B$3:$C$8,2,FALSE))),"")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6"/>
        <v>0</v>
      </c>
      <c r="T7660" s="98">
        <f t="shared" si="305"/>
        <v>0</v>
      </c>
      <c r="U7660" s="99" t="str">
        <f>IFERROR(IF(#REF!="S",VLOOKUP('Raw Data'!A7660,References!#REF!,2,FALSE),(VLOOKUP($S7660,References!$B$3:$C$8,2,FALSE))),"")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6"/>
        <v>0</v>
      </c>
      <c r="T7661" s="98">
        <f t="shared" si="305"/>
        <v>0</v>
      </c>
      <c r="U7661" s="99" t="str">
        <f>IFERROR(IF(#REF!="S",VLOOKUP('Raw Data'!A7661,References!#REF!,2,FALSE),(VLOOKUP($S7661,References!$B$3:$C$8,2,FALSE))),"")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6"/>
        <v>0</v>
      </c>
      <c r="T7662" s="98">
        <f t="shared" si="305"/>
        <v>0</v>
      </c>
      <c r="U7662" s="99" t="str">
        <f>IFERROR(IF(#REF!="S",VLOOKUP('Raw Data'!A7662,References!#REF!,2,FALSE),(VLOOKUP($S7662,References!$B$3:$C$8,2,FALSE))),"")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6"/>
        <v>0</v>
      </c>
      <c r="T7663" s="98">
        <f t="shared" si="305"/>
        <v>0</v>
      </c>
      <c r="U7663" s="99" t="str">
        <f>IFERROR(IF(#REF!="S",VLOOKUP('Raw Data'!A7663,References!#REF!,2,FALSE),(VLOOKUP($S7663,References!$B$3:$C$8,2,FALSE))),"")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6"/>
        <v>0</v>
      </c>
      <c r="T7664" s="98">
        <f t="shared" si="305"/>
        <v>0</v>
      </c>
      <c r="U7664" s="99" t="str">
        <f>IFERROR(IF(#REF!="S",VLOOKUP('Raw Data'!A7664,References!#REF!,2,FALSE),(VLOOKUP($S7664,References!$B$3:$C$8,2,FALSE))),"")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6"/>
        <v>0</v>
      </c>
      <c r="T7665" s="98">
        <f t="shared" si="305"/>
        <v>0</v>
      </c>
      <c r="U7665" s="99" t="str">
        <f>IFERROR(IF(#REF!="S",VLOOKUP('Raw Data'!A7665,References!#REF!,2,FALSE),(VLOOKUP($S7665,References!$B$3:$C$8,2,FALSE))),"")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6"/>
        <v>0</v>
      </c>
      <c r="T7666" s="98">
        <f t="shared" si="305"/>
        <v>0</v>
      </c>
      <c r="U7666" s="99" t="str">
        <f>IFERROR(IF(#REF!="S",VLOOKUP('Raw Data'!A7666,References!#REF!,2,FALSE),(VLOOKUP($S7666,References!$B$3:$C$8,2,FALSE))),"")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6"/>
        <v>0</v>
      </c>
      <c r="T7667" s="98">
        <f t="shared" si="305"/>
        <v>0</v>
      </c>
      <c r="U7667" s="99" t="str">
        <f>IFERROR(IF(#REF!="S",VLOOKUP('Raw Data'!A7667,References!#REF!,2,FALSE),(VLOOKUP($S7667,References!$B$3:$C$8,2,FALSE))),"")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6"/>
        <v>0</v>
      </c>
      <c r="T7668" s="98">
        <f t="shared" si="305"/>
        <v>0</v>
      </c>
      <c r="U7668" s="99" t="str">
        <f>IFERROR(IF(#REF!="S",VLOOKUP('Raw Data'!A7668,References!#REF!,2,FALSE),(VLOOKUP($S7668,References!$B$3:$C$8,2,FALSE))),"")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6"/>
        <v>0</v>
      </c>
      <c r="T7669" s="98">
        <f t="shared" si="305"/>
        <v>0</v>
      </c>
      <c r="U7669" s="99" t="str">
        <f>IFERROR(IF(#REF!="S",VLOOKUP('Raw Data'!A7669,References!#REF!,2,FALSE),(VLOOKUP($S7669,References!$B$3:$C$8,2,FALSE))),"")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6"/>
        <v>0</v>
      </c>
      <c r="T7670" s="98">
        <f t="shared" si="305"/>
        <v>0</v>
      </c>
      <c r="U7670" s="99" t="str">
        <f>IFERROR(IF(#REF!="S",VLOOKUP('Raw Data'!A7670,References!#REF!,2,FALSE),(VLOOKUP($S7670,References!$B$3:$C$8,2,FALSE))),"")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6"/>
        <v>0</v>
      </c>
      <c r="T7671" s="98">
        <f t="shared" si="305"/>
        <v>0</v>
      </c>
      <c r="U7671" s="99" t="str">
        <f>IFERROR(IF(#REF!="S",VLOOKUP('Raw Data'!A7671,References!#REF!,2,FALSE),(VLOOKUP($S7671,References!$B$3:$C$8,2,FALSE))),"")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6"/>
        <v>0</v>
      </c>
      <c r="T7672" s="98">
        <f t="shared" si="305"/>
        <v>0</v>
      </c>
      <c r="U7672" s="99" t="str">
        <f>IFERROR(IF(#REF!="S",VLOOKUP('Raw Data'!A7672,References!#REF!,2,FALSE),(VLOOKUP($S7672,References!$B$3:$C$8,2,FALSE))),"")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6"/>
        <v>0</v>
      </c>
      <c r="T7673" s="98">
        <f t="shared" si="305"/>
        <v>0</v>
      </c>
      <c r="U7673" s="99" t="str">
        <f>IFERROR(IF(#REF!="S",VLOOKUP('Raw Data'!A7673,References!#REF!,2,FALSE),(VLOOKUP($S7673,References!$B$3:$C$8,2,FALSE))),"")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6"/>
        <v>0</v>
      </c>
      <c r="T7674" s="98">
        <f t="shared" si="305"/>
        <v>0</v>
      </c>
      <c r="U7674" s="99" t="str">
        <f>IFERROR(IF(#REF!="S",VLOOKUP('Raw Data'!A7674,References!#REF!,2,FALSE),(VLOOKUP($S7674,References!$B$3:$C$8,2,FALSE))),"")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6"/>
        <v>0</v>
      </c>
      <c r="T7675" s="98">
        <f t="shared" si="305"/>
        <v>0</v>
      </c>
      <c r="U7675" s="99" t="str">
        <f>IFERROR(IF(#REF!="S",VLOOKUP('Raw Data'!A7675,References!#REF!,2,FALSE),(VLOOKUP($S7675,References!$B$3:$C$8,2,FALSE))),"")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6"/>
        <v>0</v>
      </c>
      <c r="T7676" s="98">
        <f t="shared" si="305"/>
        <v>0</v>
      </c>
      <c r="U7676" s="99" t="str">
        <f>IFERROR(IF(#REF!="S",VLOOKUP('Raw Data'!A7676,References!#REF!,2,FALSE),(VLOOKUP($S7676,References!$B$3:$C$8,2,FALSE))),"")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6"/>
        <v>0</v>
      </c>
      <c r="T7677" s="98">
        <f t="shared" si="305"/>
        <v>0</v>
      </c>
      <c r="U7677" s="99" t="str">
        <f>IFERROR(IF(#REF!="S",VLOOKUP('Raw Data'!A7677,References!#REF!,2,FALSE),(VLOOKUP($S7677,References!$B$3:$C$8,2,FALSE))),"")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6"/>
        <v>0</v>
      </c>
      <c r="T7678" s="98">
        <f t="shared" si="305"/>
        <v>0</v>
      </c>
      <c r="U7678" s="99" t="str">
        <f>IFERROR(IF(#REF!="S",VLOOKUP('Raw Data'!A7678,References!#REF!,2,FALSE),(VLOOKUP($S7678,References!$B$3:$C$8,2,FALSE))),"")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6"/>
        <v>0</v>
      </c>
      <c r="T7679" s="98">
        <f t="shared" si="305"/>
        <v>0</v>
      </c>
      <c r="U7679" s="99" t="str">
        <f>IFERROR(IF(#REF!="S",VLOOKUP('Raw Data'!A7679,References!#REF!,2,FALSE),(VLOOKUP($S7679,References!$B$3:$C$8,2,FALSE))),"")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6"/>
        <v>0</v>
      </c>
      <c r="T7680" s="98">
        <f t="shared" si="305"/>
        <v>0</v>
      </c>
      <c r="U7680" s="99" t="str">
        <f>IFERROR(IF(#REF!="S",VLOOKUP('Raw Data'!A7680,References!#REF!,2,FALSE),(VLOOKUP($S7680,References!$B$3:$C$8,2,FALSE))),"")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6"/>
        <v>0</v>
      </c>
      <c r="T7681" s="98">
        <f t="shared" si="305"/>
        <v>0</v>
      </c>
      <c r="U7681" s="99" t="str">
        <f>IFERROR(IF(#REF!="S",VLOOKUP('Raw Data'!A7681,References!#REF!,2,FALSE),(VLOOKUP($S7681,References!$B$3:$C$8,2,FALSE))),"")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6"/>
        <v>0</v>
      </c>
      <c r="T7682" s="98">
        <f t="shared" si="305"/>
        <v>0</v>
      </c>
      <c r="U7682" s="99" t="str">
        <f>IFERROR(IF(#REF!="S",VLOOKUP('Raw Data'!A7682,References!#REF!,2,FALSE),(VLOOKUP($S7682,References!$B$3:$C$8,2,FALSE))),"")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6"/>
        <v>0</v>
      </c>
      <c r="T7683" s="98">
        <f t="shared" si="305"/>
        <v>0</v>
      </c>
      <c r="U7683" s="99" t="str">
        <f>IFERROR(IF(#REF!="S",VLOOKUP('Raw Data'!A7683,References!#REF!,2,FALSE),(VLOOKUP($S7683,References!$B$3:$C$8,2,FALSE))),"")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6"/>
        <v>0</v>
      </c>
      <c r="T7684" s="98">
        <f t="shared" si="305"/>
        <v>0</v>
      </c>
      <c r="U7684" s="99" t="str">
        <f>IFERROR(IF(#REF!="S",VLOOKUP('Raw Data'!A7684,References!#REF!,2,FALSE),(VLOOKUP($S7684,References!$B$3:$C$8,2,FALSE))),"")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6"/>
        <v>0</v>
      </c>
      <c r="T7685" s="98">
        <f t="shared" si="305"/>
        <v>0</v>
      </c>
      <c r="U7685" s="99" t="str">
        <f>IFERROR(IF(#REF!="S",VLOOKUP('Raw Data'!A7685,References!#REF!,2,FALSE),(VLOOKUP($S7685,References!$B$3:$C$8,2,FALSE))),"")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6"/>
        <v>0</v>
      </c>
      <c r="T7686" s="98">
        <f t="shared" si="305"/>
        <v>0</v>
      </c>
      <c r="U7686" s="99" t="str">
        <f>IFERROR(IF(#REF!="S",VLOOKUP('Raw Data'!A7686,References!#REF!,2,FALSE),(VLOOKUP($S7686,References!$B$3:$C$8,2,FALSE))),"")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6"/>
        <v>0</v>
      </c>
      <c r="T7687" s="98">
        <f t="shared" si="305"/>
        <v>0</v>
      </c>
      <c r="U7687" s="99" t="str">
        <f>IFERROR(IF(#REF!="S",VLOOKUP('Raw Data'!A7687,References!#REF!,2,FALSE),(VLOOKUP($S7687,References!$B$3:$C$8,2,FALSE))),"")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6"/>
        <v>0</v>
      </c>
      <c r="T7688" s="98">
        <f t="shared" si="305"/>
        <v>0</v>
      </c>
      <c r="U7688" s="99" t="str">
        <f>IFERROR(IF(#REF!="S",VLOOKUP('Raw Data'!A7688,References!#REF!,2,FALSE),(VLOOKUP($S7688,References!$B$3:$C$8,2,FALSE))),"")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6"/>
        <v>0</v>
      </c>
      <c r="T7689" s="98">
        <f t="shared" si="305"/>
        <v>0</v>
      </c>
      <c r="U7689" s="99" t="str">
        <f>IFERROR(IF(#REF!="S",VLOOKUP('Raw Data'!A7689,References!#REF!,2,FALSE),(VLOOKUP($S7689,References!$B$3:$C$8,2,FALSE))),"")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6"/>
        <v>0</v>
      </c>
      <c r="T7690" s="98">
        <f t="shared" si="305"/>
        <v>0</v>
      </c>
      <c r="U7690" s="99" t="str">
        <f>IFERROR(IF(#REF!="S",VLOOKUP('Raw Data'!A7690,References!#REF!,2,FALSE),(VLOOKUP($S7690,References!$B$3:$C$8,2,FALSE))),"")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6"/>
        <v>0</v>
      </c>
      <c r="T7691" s="98">
        <f t="shared" si="305"/>
        <v>0</v>
      </c>
      <c r="U7691" s="99" t="str">
        <f>IFERROR(IF(#REF!="S",VLOOKUP('Raw Data'!A7691,References!#REF!,2,FALSE),(VLOOKUP($S7691,References!$B$3:$C$8,2,FALSE))),"")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6"/>
        <v>0</v>
      </c>
      <c r="T7692" s="98">
        <f t="shared" si="305"/>
        <v>0</v>
      </c>
      <c r="U7692" s="99" t="str">
        <f>IFERROR(IF(#REF!="S",VLOOKUP('Raw Data'!A7692,References!#REF!,2,FALSE),(VLOOKUP($S7692,References!$B$3:$C$8,2,FALSE))),"")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6"/>
        <v>0</v>
      </c>
      <c r="T7693" s="98">
        <f t="shared" si="305"/>
        <v>0</v>
      </c>
      <c r="U7693" s="99" t="str">
        <f>IFERROR(IF(#REF!="S",VLOOKUP('Raw Data'!A7693,References!#REF!,2,FALSE),(VLOOKUP($S7693,References!$B$3:$C$8,2,FALSE))),"")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6"/>
        <v>0</v>
      </c>
      <c r="T7694" s="98">
        <f t="shared" si="305"/>
        <v>0</v>
      </c>
      <c r="U7694" s="99" t="str">
        <f>IFERROR(IF(#REF!="S",VLOOKUP('Raw Data'!A7694,References!#REF!,2,FALSE),(VLOOKUP($S7694,References!$B$3:$C$8,2,FALSE))),"")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6"/>
        <v>0</v>
      </c>
      <c r="T7695" s="98">
        <f t="shared" si="305"/>
        <v>0</v>
      </c>
      <c r="U7695" s="99" t="str">
        <f>IFERROR(IF(#REF!="S",VLOOKUP('Raw Data'!A7695,References!#REF!,2,FALSE),(VLOOKUP($S7695,References!$B$3:$C$8,2,FALSE))),"")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6"/>
        <v>0</v>
      </c>
      <c r="T7696" s="98">
        <f t="shared" ref="T7696:T7759" si="307">IF(S7696="50 - Cleaning Fee",1,HOUR($R7696)+MINUTE(R7696)/60)</f>
        <v>0</v>
      </c>
      <c r="U7696" s="99" t="str">
        <f>IFERROR(IF(#REF!="S",VLOOKUP('Raw Data'!A7696,References!#REF!,2,FALSE),(VLOOKUP($S7696,References!$B$3:$C$8,2,FALSE))),"")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6"/>
        <v>0</v>
      </c>
      <c r="T7697" s="98">
        <f t="shared" si="307"/>
        <v>0</v>
      </c>
      <c r="U7697" s="99" t="str">
        <f>IFERROR(IF(#REF!="S",VLOOKUP('Raw Data'!A7697,References!#REF!,2,FALSE),(VLOOKUP($S7697,References!$B$3:$C$8,2,FALSE))),"")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6"/>
        <v>0</v>
      </c>
      <c r="T7698" s="98">
        <f t="shared" si="307"/>
        <v>0</v>
      </c>
      <c r="U7698" s="99" t="str">
        <f>IFERROR(IF(#REF!="S",VLOOKUP('Raw Data'!A7698,References!#REF!,2,FALSE),(VLOOKUP($S7698,References!$B$3:$C$8,2,FALSE))),"")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6"/>
        <v>0</v>
      </c>
      <c r="T7699" s="98">
        <f t="shared" si="307"/>
        <v>0</v>
      </c>
      <c r="U7699" s="99" t="str">
        <f>IFERROR(IF(#REF!="S",VLOOKUP('Raw Data'!A7699,References!#REF!,2,FALSE),(VLOOKUP($S7699,References!$B$3:$C$8,2,FALSE))),"")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6"/>
        <v>0</v>
      </c>
      <c r="T7700" s="98">
        <f t="shared" si="307"/>
        <v>0</v>
      </c>
      <c r="U7700" s="99" t="str">
        <f>IFERROR(IF(#REF!="S",VLOOKUP('Raw Data'!A7700,References!#REF!,2,FALSE),(VLOOKUP($S7700,References!$B$3:$C$8,2,FALSE))),"")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6"/>
        <v>0</v>
      </c>
      <c r="T7701" s="98">
        <f t="shared" si="307"/>
        <v>0</v>
      </c>
      <c r="U7701" s="99" t="str">
        <f>IFERROR(IF(#REF!="S",VLOOKUP('Raw Data'!A7701,References!#REF!,2,FALSE),(VLOOKUP($S7701,References!$B$3:$C$8,2,FALSE))),"")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6"/>
        <v>0</v>
      </c>
      <c r="T7702" s="98">
        <f t="shared" si="307"/>
        <v>0</v>
      </c>
      <c r="U7702" s="99" t="str">
        <f>IFERROR(IF(#REF!="S",VLOOKUP('Raw Data'!A7702,References!#REF!,2,FALSE),(VLOOKUP($S7702,References!$B$3:$C$8,2,FALSE))),"")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6"/>
        <v>0</v>
      </c>
      <c r="T7703" s="98">
        <f t="shared" si="307"/>
        <v>0</v>
      </c>
      <c r="U7703" s="99" t="str">
        <f>IFERROR(IF(#REF!="S",VLOOKUP('Raw Data'!A7703,References!#REF!,2,FALSE),(VLOOKUP($S7703,References!$B$3:$C$8,2,FALSE))),"")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6"/>
        <v>0</v>
      </c>
      <c r="T7704" s="98">
        <f t="shared" si="307"/>
        <v>0</v>
      </c>
      <c r="U7704" s="99" t="str">
        <f>IFERROR(IF(#REF!="S",VLOOKUP('Raw Data'!A7704,References!#REF!,2,FALSE),(VLOOKUP($S7704,References!$B$3:$C$8,2,FALSE))),"")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6"/>
        <v>0</v>
      </c>
      <c r="T7705" s="98">
        <f t="shared" si="307"/>
        <v>0</v>
      </c>
      <c r="U7705" s="99" t="str">
        <f>IFERROR(IF(#REF!="S",VLOOKUP('Raw Data'!A7705,References!#REF!,2,FALSE),(VLOOKUP($S7705,References!$B$3:$C$8,2,FALSE))),"")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6"/>
        <v>0</v>
      </c>
      <c r="T7706" s="98">
        <f t="shared" si="307"/>
        <v>0</v>
      </c>
      <c r="U7706" s="99" t="str">
        <f>IFERROR(IF(#REF!="S",VLOOKUP('Raw Data'!A7706,References!#REF!,2,FALSE),(VLOOKUP($S7706,References!$B$3:$C$8,2,FALSE))),"")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6"/>
        <v>0</v>
      </c>
      <c r="T7707" s="98">
        <f t="shared" si="307"/>
        <v>0</v>
      </c>
      <c r="U7707" s="99" t="str">
        <f>IFERROR(IF(#REF!="S",VLOOKUP('Raw Data'!A7707,References!#REF!,2,FALSE),(VLOOKUP($S7707,References!$B$3:$C$8,2,FALSE))),"")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6"/>
        <v>0</v>
      </c>
      <c r="T7708" s="98">
        <f t="shared" si="307"/>
        <v>0</v>
      </c>
      <c r="U7708" s="99" t="str">
        <f>IFERROR(IF(#REF!="S",VLOOKUP('Raw Data'!A7708,References!#REF!,2,FALSE),(VLOOKUP($S7708,References!$B$3:$C$8,2,FALSE))),"")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6"/>
        <v>0</v>
      </c>
      <c r="T7709" s="98">
        <f t="shared" si="307"/>
        <v>0</v>
      </c>
      <c r="U7709" s="99" t="str">
        <f>IFERROR(IF(#REF!="S",VLOOKUP('Raw Data'!A7709,References!#REF!,2,FALSE),(VLOOKUP($S7709,References!$B$3:$C$8,2,FALSE))),"")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6"/>
        <v>0</v>
      </c>
      <c r="T7710" s="98">
        <f t="shared" si="307"/>
        <v>0</v>
      </c>
      <c r="U7710" s="99" t="str">
        <f>IFERROR(IF(#REF!="S",VLOOKUP('Raw Data'!A7710,References!#REF!,2,FALSE),(VLOOKUP($S7710,References!$B$3:$C$8,2,FALSE))),"")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6"/>
        <v>0</v>
      </c>
      <c r="T7711" s="98">
        <f t="shared" si="307"/>
        <v>0</v>
      </c>
      <c r="U7711" s="99" t="str">
        <f>IFERROR(IF(#REF!="S",VLOOKUP('Raw Data'!A7711,References!#REF!,2,FALSE),(VLOOKUP($S7711,References!$B$3:$C$8,2,FALSE))),"")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6"/>
        <v>0</v>
      </c>
      <c r="T7712" s="98">
        <f t="shared" si="307"/>
        <v>0</v>
      </c>
      <c r="U7712" s="99" t="str">
        <f>IFERROR(IF(#REF!="S",VLOOKUP('Raw Data'!A7712,References!#REF!,2,FALSE),(VLOOKUP($S7712,References!$B$3:$C$8,2,FALSE))),"")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6"/>
        <v>0</v>
      </c>
      <c r="T7713" s="98">
        <f t="shared" si="307"/>
        <v>0</v>
      </c>
      <c r="U7713" s="99" t="str">
        <f>IFERROR(IF(#REF!="S",VLOOKUP('Raw Data'!A7713,References!#REF!,2,FALSE),(VLOOKUP($S7713,References!$B$3:$C$8,2,FALSE))),"")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6"/>
        <v>0</v>
      </c>
      <c r="T7714" s="98">
        <f t="shared" si="307"/>
        <v>0</v>
      </c>
      <c r="U7714" s="99" t="str">
        <f>IFERROR(IF(#REF!="S",VLOOKUP('Raw Data'!A7714,References!#REF!,2,FALSE),(VLOOKUP($S7714,References!$B$3:$C$8,2,FALSE))),"")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6"/>
        <v>0</v>
      </c>
      <c r="T7715" s="98">
        <f t="shared" si="307"/>
        <v>0</v>
      </c>
      <c r="U7715" s="99" t="str">
        <f>IFERROR(IF(#REF!="S",VLOOKUP('Raw Data'!A7715,References!#REF!,2,FALSE),(VLOOKUP($S7715,References!$B$3:$C$8,2,FALSE))),"")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6"/>
        <v>0</v>
      </c>
      <c r="T7716" s="98">
        <f t="shared" si="307"/>
        <v>0</v>
      </c>
      <c r="U7716" s="99" t="str">
        <f>IFERROR(IF(#REF!="S",VLOOKUP('Raw Data'!A7716,References!#REF!,2,FALSE),(VLOOKUP($S7716,References!$B$3:$C$8,2,FALSE))),"")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6"/>
        <v>0</v>
      </c>
      <c r="T7717" s="98">
        <f t="shared" si="307"/>
        <v>0</v>
      </c>
      <c r="U7717" s="99" t="str">
        <f>IFERROR(IF(#REF!="S",VLOOKUP('Raw Data'!A7717,References!#REF!,2,FALSE),(VLOOKUP($S7717,References!$B$3:$C$8,2,FALSE))),"")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6"/>
        <v>0</v>
      </c>
      <c r="T7718" s="98">
        <f t="shared" si="307"/>
        <v>0</v>
      </c>
      <c r="U7718" s="99" t="str">
        <f>IFERROR(IF(#REF!="S",VLOOKUP('Raw Data'!A7718,References!#REF!,2,FALSE),(VLOOKUP($S7718,References!$B$3:$C$8,2,FALSE))),"")</f>
        <v/>
      </c>
      <c r="W7718" s="66" t="str">
        <f>IFERROR(VLOOKUP($O7718,'Customer List'!$A$1:$J$488,10,FALSE),"")</f>
        <v/>
      </c>
    </row>
    <row r="7719" spans="18:23">
      <c r="R7719" s="97">
        <f t="shared" si="306"/>
        <v>0</v>
      </c>
      <c r="T7719" s="98">
        <f t="shared" si="307"/>
        <v>0</v>
      </c>
      <c r="U7719" s="99" t="str">
        <f>IFERROR(IF(#REF!="S",VLOOKUP('Raw Data'!A7719,References!#REF!,2,FALSE),(VLOOKUP($S7719,References!$B$3:$C$8,2,FALSE))),"")</f>
        <v/>
      </c>
      <c r="W7719" s="66" t="str">
        <f>IFERROR(VLOOKUP($O7719,'Customer List'!$A$1:$J$488,10,FALSE),"")</f>
        <v/>
      </c>
    </row>
    <row r="7720" spans="18:23">
      <c r="R7720" s="97">
        <f t="shared" ref="R7720:R7783" si="308">L7720-K7720</f>
        <v>0</v>
      </c>
      <c r="T7720" s="98">
        <f t="shared" si="307"/>
        <v>0</v>
      </c>
      <c r="U7720" s="99" t="str">
        <f>IFERROR(IF(#REF!="S",VLOOKUP('Raw Data'!A7720,References!#REF!,2,FALSE),(VLOOKUP($S7720,References!$B$3:$C$8,2,FALSE))),"")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08"/>
        <v>0</v>
      </c>
      <c r="T7721" s="98">
        <f t="shared" si="307"/>
        <v>0</v>
      </c>
      <c r="U7721" s="99" t="str">
        <f>IFERROR(IF(#REF!="S",VLOOKUP('Raw Data'!A7721,References!#REF!,2,FALSE),(VLOOKUP($S7721,References!$B$3:$C$8,2,FALSE))),"")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08"/>
        <v>0</v>
      </c>
      <c r="T7722" s="98">
        <f t="shared" si="307"/>
        <v>0</v>
      </c>
      <c r="U7722" s="99" t="str">
        <f>IFERROR(IF(#REF!="S",VLOOKUP('Raw Data'!A7722,References!#REF!,2,FALSE),(VLOOKUP($S7722,References!$B$3:$C$8,2,FALSE))),"")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08"/>
        <v>0</v>
      </c>
      <c r="T7723" s="98">
        <f t="shared" si="307"/>
        <v>0</v>
      </c>
      <c r="U7723" s="99" t="str">
        <f>IFERROR(IF(#REF!="S",VLOOKUP('Raw Data'!A7723,References!#REF!,2,FALSE),(VLOOKUP($S7723,References!$B$3:$C$8,2,FALSE))),"")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08"/>
        <v>0</v>
      </c>
      <c r="T7724" s="98">
        <f t="shared" si="307"/>
        <v>0</v>
      </c>
      <c r="U7724" s="99" t="str">
        <f>IFERROR(IF(#REF!="S",VLOOKUP('Raw Data'!A7724,References!#REF!,2,FALSE),(VLOOKUP($S7724,References!$B$3:$C$8,2,FALSE))),"")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08"/>
        <v>0</v>
      </c>
      <c r="T7725" s="98">
        <f t="shared" si="307"/>
        <v>0</v>
      </c>
      <c r="U7725" s="99" t="str">
        <f>IFERROR(IF(#REF!="S",VLOOKUP('Raw Data'!A7725,References!#REF!,2,FALSE),(VLOOKUP($S7725,References!$B$3:$C$8,2,FALSE))),"")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08"/>
        <v>0</v>
      </c>
      <c r="T7726" s="98">
        <f t="shared" si="307"/>
        <v>0</v>
      </c>
      <c r="U7726" s="99" t="str">
        <f>IFERROR(IF(#REF!="S",VLOOKUP('Raw Data'!A7726,References!#REF!,2,FALSE),(VLOOKUP($S7726,References!$B$3:$C$8,2,FALSE))),"")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08"/>
        <v>0</v>
      </c>
      <c r="T7727" s="98">
        <f t="shared" si="307"/>
        <v>0</v>
      </c>
      <c r="U7727" s="99" t="str">
        <f>IFERROR(IF(#REF!="S",VLOOKUP('Raw Data'!A7727,References!#REF!,2,FALSE),(VLOOKUP($S7727,References!$B$3:$C$8,2,FALSE))),"")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08"/>
        <v>0</v>
      </c>
      <c r="T7728" s="98">
        <f t="shared" si="307"/>
        <v>0</v>
      </c>
      <c r="U7728" s="99" t="str">
        <f>IFERROR(IF(#REF!="S",VLOOKUP('Raw Data'!A7728,References!#REF!,2,FALSE),(VLOOKUP($S7728,References!$B$3:$C$8,2,FALSE))),"")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08"/>
        <v>0</v>
      </c>
      <c r="T7729" s="98">
        <f t="shared" si="307"/>
        <v>0</v>
      </c>
      <c r="U7729" s="99" t="str">
        <f>IFERROR(IF(#REF!="S",VLOOKUP('Raw Data'!A7729,References!#REF!,2,FALSE),(VLOOKUP($S7729,References!$B$3:$C$8,2,FALSE))),"")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08"/>
        <v>0</v>
      </c>
      <c r="T7730" s="98">
        <f t="shared" si="307"/>
        <v>0</v>
      </c>
      <c r="U7730" s="99" t="str">
        <f>IFERROR(IF(#REF!="S",VLOOKUP('Raw Data'!A7730,References!#REF!,2,FALSE),(VLOOKUP($S7730,References!$B$3:$C$8,2,FALSE))),"")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08"/>
        <v>0</v>
      </c>
      <c r="T7731" s="98">
        <f t="shared" si="307"/>
        <v>0</v>
      </c>
      <c r="U7731" s="99" t="str">
        <f>IFERROR(IF(#REF!="S",VLOOKUP('Raw Data'!A7731,References!#REF!,2,FALSE),(VLOOKUP($S7731,References!$B$3:$C$8,2,FALSE))),"")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08"/>
        <v>0</v>
      </c>
      <c r="T7732" s="98">
        <f t="shared" si="307"/>
        <v>0</v>
      </c>
      <c r="U7732" s="99" t="str">
        <f>IFERROR(IF(#REF!="S",VLOOKUP('Raw Data'!A7732,References!#REF!,2,FALSE),(VLOOKUP($S7732,References!$B$3:$C$8,2,FALSE))),"")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08"/>
        <v>0</v>
      </c>
      <c r="T7733" s="98">
        <f t="shared" si="307"/>
        <v>0</v>
      </c>
      <c r="U7733" s="99" t="str">
        <f>IFERROR(IF(#REF!="S",VLOOKUP('Raw Data'!A7733,References!#REF!,2,FALSE),(VLOOKUP($S7733,References!$B$3:$C$8,2,FALSE))),"")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08"/>
        <v>0</v>
      </c>
      <c r="T7734" s="98">
        <f t="shared" si="307"/>
        <v>0</v>
      </c>
      <c r="U7734" s="99" t="str">
        <f>IFERROR(IF(#REF!="S",VLOOKUP('Raw Data'!A7734,References!#REF!,2,FALSE),(VLOOKUP($S7734,References!$B$3:$C$8,2,FALSE))),"")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08"/>
        <v>0</v>
      </c>
      <c r="T7735" s="98">
        <f t="shared" si="307"/>
        <v>0</v>
      </c>
      <c r="U7735" s="99" t="str">
        <f>IFERROR(IF(#REF!="S",VLOOKUP('Raw Data'!A7735,References!#REF!,2,FALSE),(VLOOKUP($S7735,References!$B$3:$C$8,2,FALSE))),"")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08"/>
        <v>0</v>
      </c>
      <c r="T7736" s="98">
        <f t="shared" si="307"/>
        <v>0</v>
      </c>
      <c r="U7736" s="99" t="str">
        <f>IFERROR(IF(#REF!="S",VLOOKUP('Raw Data'!A7736,References!#REF!,2,FALSE),(VLOOKUP($S7736,References!$B$3:$C$8,2,FALSE))),"")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08"/>
        <v>0</v>
      </c>
      <c r="T7737" s="98">
        <f t="shared" si="307"/>
        <v>0</v>
      </c>
      <c r="U7737" s="99" t="str">
        <f>IFERROR(IF(#REF!="S",VLOOKUP('Raw Data'!A7737,References!#REF!,2,FALSE),(VLOOKUP($S7737,References!$B$3:$C$8,2,FALSE))),"")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08"/>
        <v>0</v>
      </c>
      <c r="T7738" s="98">
        <f t="shared" si="307"/>
        <v>0</v>
      </c>
      <c r="U7738" s="99" t="str">
        <f>IFERROR(IF(#REF!="S",VLOOKUP('Raw Data'!A7738,References!#REF!,2,FALSE),(VLOOKUP($S7738,References!$B$3:$C$8,2,FALSE))),"")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08"/>
        <v>0</v>
      </c>
      <c r="T7739" s="98">
        <f t="shared" si="307"/>
        <v>0</v>
      </c>
      <c r="U7739" s="99" t="str">
        <f>IFERROR(IF(#REF!="S",VLOOKUP('Raw Data'!A7739,References!#REF!,2,FALSE),(VLOOKUP($S7739,References!$B$3:$C$8,2,FALSE))),"")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08"/>
        <v>0</v>
      </c>
      <c r="T7740" s="98">
        <f t="shared" si="307"/>
        <v>0</v>
      </c>
      <c r="U7740" s="99" t="str">
        <f>IFERROR(IF(#REF!="S",VLOOKUP('Raw Data'!A7740,References!#REF!,2,FALSE),(VLOOKUP($S7740,References!$B$3:$C$8,2,FALSE))),"")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08"/>
        <v>0</v>
      </c>
      <c r="T7741" s="98">
        <f t="shared" si="307"/>
        <v>0</v>
      </c>
      <c r="U7741" s="99" t="str">
        <f>IFERROR(IF(#REF!="S",VLOOKUP('Raw Data'!A7741,References!#REF!,2,FALSE),(VLOOKUP($S7741,References!$B$3:$C$8,2,FALSE))),"")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08"/>
        <v>0</v>
      </c>
      <c r="T7742" s="98">
        <f t="shared" si="307"/>
        <v>0</v>
      </c>
      <c r="U7742" s="99" t="str">
        <f>IFERROR(IF(#REF!="S",VLOOKUP('Raw Data'!A7742,References!#REF!,2,FALSE),(VLOOKUP($S7742,References!$B$3:$C$8,2,FALSE))),"")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08"/>
        <v>0</v>
      </c>
      <c r="T7743" s="98">
        <f t="shared" si="307"/>
        <v>0</v>
      </c>
      <c r="U7743" s="99" t="str">
        <f>IFERROR(IF(#REF!="S",VLOOKUP('Raw Data'!A7743,References!#REF!,2,FALSE),(VLOOKUP($S7743,References!$B$3:$C$8,2,FALSE))),"")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08"/>
        <v>0</v>
      </c>
      <c r="T7744" s="98">
        <f t="shared" si="307"/>
        <v>0</v>
      </c>
      <c r="U7744" s="99" t="str">
        <f>IFERROR(IF(#REF!="S",VLOOKUP('Raw Data'!A7744,References!#REF!,2,FALSE),(VLOOKUP($S7744,References!$B$3:$C$8,2,FALSE))),"")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08"/>
        <v>0</v>
      </c>
      <c r="T7745" s="98">
        <f t="shared" si="307"/>
        <v>0</v>
      </c>
      <c r="U7745" s="99" t="str">
        <f>IFERROR(IF(#REF!="S",VLOOKUP('Raw Data'!A7745,References!#REF!,2,FALSE),(VLOOKUP($S7745,References!$B$3:$C$8,2,FALSE))),"")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08"/>
        <v>0</v>
      </c>
      <c r="T7746" s="98">
        <f t="shared" si="307"/>
        <v>0</v>
      </c>
      <c r="U7746" s="99" t="str">
        <f>IFERROR(IF(#REF!="S",VLOOKUP('Raw Data'!A7746,References!#REF!,2,FALSE),(VLOOKUP($S7746,References!$B$3:$C$8,2,FALSE))),"")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08"/>
        <v>0</v>
      </c>
      <c r="T7747" s="98">
        <f t="shared" si="307"/>
        <v>0</v>
      </c>
      <c r="U7747" s="99" t="str">
        <f>IFERROR(IF(#REF!="S",VLOOKUP('Raw Data'!A7747,References!#REF!,2,FALSE),(VLOOKUP($S7747,References!$B$3:$C$8,2,FALSE))),"")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08"/>
        <v>0</v>
      </c>
      <c r="T7748" s="98">
        <f t="shared" si="307"/>
        <v>0</v>
      </c>
      <c r="U7748" s="99" t="str">
        <f>IFERROR(IF(#REF!="S",VLOOKUP('Raw Data'!A7748,References!#REF!,2,FALSE),(VLOOKUP($S7748,References!$B$3:$C$8,2,FALSE))),"")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08"/>
        <v>0</v>
      </c>
      <c r="T7749" s="98">
        <f t="shared" si="307"/>
        <v>0</v>
      </c>
      <c r="U7749" s="99" t="str">
        <f>IFERROR(IF(#REF!="S",VLOOKUP('Raw Data'!A7749,References!#REF!,2,FALSE),(VLOOKUP($S7749,References!$B$3:$C$8,2,FALSE))),"")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08"/>
        <v>0</v>
      </c>
      <c r="T7750" s="98">
        <f t="shared" si="307"/>
        <v>0</v>
      </c>
      <c r="U7750" s="99" t="str">
        <f>IFERROR(IF(#REF!="S",VLOOKUP('Raw Data'!A7750,References!#REF!,2,FALSE),(VLOOKUP($S7750,References!$B$3:$C$8,2,FALSE))),"")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08"/>
        <v>0</v>
      </c>
      <c r="T7751" s="98">
        <f t="shared" si="307"/>
        <v>0</v>
      </c>
      <c r="U7751" s="99" t="str">
        <f>IFERROR(IF(#REF!="S",VLOOKUP('Raw Data'!A7751,References!#REF!,2,FALSE),(VLOOKUP($S7751,References!$B$3:$C$8,2,FALSE))),"")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08"/>
        <v>0</v>
      </c>
      <c r="T7752" s="98">
        <f t="shared" si="307"/>
        <v>0</v>
      </c>
      <c r="U7752" s="99" t="str">
        <f>IFERROR(IF(#REF!="S",VLOOKUP('Raw Data'!A7752,References!#REF!,2,FALSE),(VLOOKUP($S7752,References!$B$3:$C$8,2,FALSE))),"")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08"/>
        <v>0</v>
      </c>
      <c r="T7753" s="98">
        <f t="shared" si="307"/>
        <v>0</v>
      </c>
      <c r="U7753" s="99" t="str">
        <f>IFERROR(IF(#REF!="S",VLOOKUP('Raw Data'!A7753,References!#REF!,2,FALSE),(VLOOKUP($S7753,References!$B$3:$C$8,2,FALSE))),"")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08"/>
        <v>0</v>
      </c>
      <c r="T7754" s="98">
        <f t="shared" si="307"/>
        <v>0</v>
      </c>
      <c r="U7754" s="99" t="str">
        <f>IFERROR(IF(#REF!="S",VLOOKUP('Raw Data'!A7754,References!#REF!,2,FALSE),(VLOOKUP($S7754,References!$B$3:$C$8,2,FALSE))),"")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08"/>
        <v>0</v>
      </c>
      <c r="T7755" s="98">
        <f t="shared" si="307"/>
        <v>0</v>
      </c>
      <c r="U7755" s="99" t="str">
        <f>IFERROR(IF(#REF!="S",VLOOKUP('Raw Data'!A7755,References!#REF!,2,FALSE),(VLOOKUP($S7755,References!$B$3:$C$8,2,FALSE))),"")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08"/>
        <v>0</v>
      </c>
      <c r="T7756" s="98">
        <f t="shared" si="307"/>
        <v>0</v>
      </c>
      <c r="U7756" s="99" t="str">
        <f>IFERROR(IF(#REF!="S",VLOOKUP('Raw Data'!A7756,References!#REF!,2,FALSE),(VLOOKUP($S7756,References!$B$3:$C$8,2,FALSE))),"")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08"/>
        <v>0</v>
      </c>
      <c r="T7757" s="98">
        <f t="shared" si="307"/>
        <v>0</v>
      </c>
      <c r="U7757" s="99" t="str">
        <f>IFERROR(IF(#REF!="S",VLOOKUP('Raw Data'!A7757,References!#REF!,2,FALSE),(VLOOKUP($S7757,References!$B$3:$C$8,2,FALSE))),"")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08"/>
        <v>0</v>
      </c>
      <c r="T7758" s="98">
        <f t="shared" si="307"/>
        <v>0</v>
      </c>
      <c r="U7758" s="99" t="str">
        <f>IFERROR(IF(#REF!="S",VLOOKUP('Raw Data'!A7758,References!#REF!,2,FALSE),(VLOOKUP($S7758,References!$B$3:$C$8,2,FALSE))),"")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08"/>
        <v>0</v>
      </c>
      <c r="T7759" s="98">
        <f t="shared" si="307"/>
        <v>0</v>
      </c>
      <c r="U7759" s="99" t="str">
        <f>IFERROR(IF(#REF!="S",VLOOKUP('Raw Data'!A7759,References!#REF!,2,FALSE),(VLOOKUP($S7759,References!$B$3:$C$8,2,FALSE))),"")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08"/>
        <v>0</v>
      </c>
      <c r="T7760" s="98">
        <f t="shared" ref="T7760:T7823" si="309">IF(S7760="50 - Cleaning Fee",1,HOUR($R7760)+MINUTE(R7760)/60)</f>
        <v>0</v>
      </c>
      <c r="U7760" s="99" t="str">
        <f>IFERROR(IF(#REF!="S",VLOOKUP('Raw Data'!A7760,References!#REF!,2,FALSE),(VLOOKUP($S7760,References!$B$3:$C$8,2,FALSE))),"")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08"/>
        <v>0</v>
      </c>
      <c r="T7761" s="98">
        <f t="shared" si="309"/>
        <v>0</v>
      </c>
      <c r="U7761" s="99" t="str">
        <f>IFERROR(IF(#REF!="S",VLOOKUP('Raw Data'!A7761,References!#REF!,2,FALSE),(VLOOKUP($S7761,References!$B$3:$C$8,2,FALSE))),"")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08"/>
        <v>0</v>
      </c>
      <c r="T7762" s="98">
        <f t="shared" si="309"/>
        <v>0</v>
      </c>
      <c r="U7762" s="99" t="str">
        <f>IFERROR(IF(#REF!="S",VLOOKUP('Raw Data'!A7762,References!#REF!,2,FALSE),(VLOOKUP($S7762,References!$B$3:$C$8,2,FALSE))),"")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08"/>
        <v>0</v>
      </c>
      <c r="T7763" s="98">
        <f t="shared" si="309"/>
        <v>0</v>
      </c>
      <c r="U7763" s="99" t="str">
        <f>IFERROR(IF(#REF!="S",VLOOKUP('Raw Data'!A7763,References!#REF!,2,FALSE),(VLOOKUP($S7763,References!$B$3:$C$8,2,FALSE))),"")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08"/>
        <v>0</v>
      </c>
      <c r="T7764" s="98">
        <f t="shared" si="309"/>
        <v>0</v>
      </c>
      <c r="U7764" s="99" t="str">
        <f>IFERROR(IF(#REF!="S",VLOOKUP('Raw Data'!A7764,References!#REF!,2,FALSE),(VLOOKUP($S7764,References!$B$3:$C$8,2,FALSE))),"")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08"/>
        <v>0</v>
      </c>
      <c r="T7765" s="98">
        <f t="shared" si="309"/>
        <v>0</v>
      </c>
      <c r="U7765" s="99" t="str">
        <f>IFERROR(IF(#REF!="S",VLOOKUP('Raw Data'!A7765,References!#REF!,2,FALSE),(VLOOKUP($S7765,References!$B$3:$C$8,2,FALSE))),"")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08"/>
        <v>0</v>
      </c>
      <c r="T7766" s="98">
        <f t="shared" si="309"/>
        <v>0</v>
      </c>
      <c r="U7766" s="99" t="str">
        <f>IFERROR(IF(#REF!="S",VLOOKUP('Raw Data'!A7766,References!#REF!,2,FALSE),(VLOOKUP($S7766,References!$B$3:$C$8,2,FALSE))),"")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08"/>
        <v>0</v>
      </c>
      <c r="T7767" s="98">
        <f t="shared" si="309"/>
        <v>0</v>
      </c>
      <c r="U7767" s="99" t="str">
        <f>IFERROR(IF(#REF!="S",VLOOKUP('Raw Data'!A7767,References!#REF!,2,FALSE),(VLOOKUP($S7767,References!$B$3:$C$8,2,FALSE))),"")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08"/>
        <v>0</v>
      </c>
      <c r="T7768" s="98">
        <f t="shared" si="309"/>
        <v>0</v>
      </c>
      <c r="U7768" s="99" t="str">
        <f>IFERROR(IF(#REF!="S",VLOOKUP('Raw Data'!A7768,References!#REF!,2,FALSE),(VLOOKUP($S7768,References!$B$3:$C$8,2,FALSE))),"")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08"/>
        <v>0</v>
      </c>
      <c r="T7769" s="98">
        <f t="shared" si="309"/>
        <v>0</v>
      </c>
      <c r="U7769" s="99" t="str">
        <f>IFERROR(IF(#REF!="S",VLOOKUP('Raw Data'!A7769,References!#REF!,2,FALSE),(VLOOKUP($S7769,References!$B$3:$C$8,2,FALSE))),"")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08"/>
        <v>0</v>
      </c>
      <c r="T7770" s="98">
        <f t="shared" si="309"/>
        <v>0</v>
      </c>
      <c r="U7770" s="99" t="str">
        <f>IFERROR(IF(#REF!="S",VLOOKUP('Raw Data'!A7770,References!#REF!,2,FALSE),(VLOOKUP($S7770,References!$B$3:$C$8,2,FALSE))),"")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08"/>
        <v>0</v>
      </c>
      <c r="T7771" s="98">
        <f t="shared" si="309"/>
        <v>0</v>
      </c>
      <c r="U7771" s="99" t="str">
        <f>IFERROR(IF(#REF!="S",VLOOKUP('Raw Data'!A7771,References!#REF!,2,FALSE),(VLOOKUP($S7771,References!$B$3:$C$8,2,FALSE))),"")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08"/>
        <v>0</v>
      </c>
      <c r="T7772" s="98">
        <f t="shared" si="309"/>
        <v>0</v>
      </c>
      <c r="U7772" s="99" t="str">
        <f>IFERROR(IF(#REF!="S",VLOOKUP('Raw Data'!A7772,References!#REF!,2,FALSE),(VLOOKUP($S7772,References!$B$3:$C$8,2,FALSE))),"")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08"/>
        <v>0</v>
      </c>
      <c r="T7773" s="98">
        <f t="shared" si="309"/>
        <v>0</v>
      </c>
      <c r="U7773" s="99" t="str">
        <f>IFERROR(IF(#REF!="S",VLOOKUP('Raw Data'!A7773,References!#REF!,2,FALSE),(VLOOKUP($S7773,References!$B$3:$C$8,2,FALSE))),"")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08"/>
        <v>0</v>
      </c>
      <c r="T7774" s="98">
        <f t="shared" si="309"/>
        <v>0</v>
      </c>
      <c r="U7774" s="99" t="str">
        <f>IFERROR(IF(#REF!="S",VLOOKUP('Raw Data'!A7774,References!#REF!,2,FALSE),(VLOOKUP($S7774,References!$B$3:$C$8,2,FALSE))),"")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08"/>
        <v>0</v>
      </c>
      <c r="T7775" s="98">
        <f t="shared" si="309"/>
        <v>0</v>
      </c>
      <c r="U7775" s="99" t="str">
        <f>IFERROR(IF(#REF!="S",VLOOKUP('Raw Data'!A7775,References!#REF!,2,FALSE),(VLOOKUP($S7775,References!$B$3:$C$8,2,FALSE))),"")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08"/>
        <v>0</v>
      </c>
      <c r="T7776" s="98">
        <f t="shared" si="309"/>
        <v>0</v>
      </c>
      <c r="U7776" s="99" t="str">
        <f>IFERROR(IF(#REF!="S",VLOOKUP('Raw Data'!A7776,References!#REF!,2,FALSE),(VLOOKUP($S7776,References!$B$3:$C$8,2,FALSE))),"")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08"/>
        <v>0</v>
      </c>
      <c r="T7777" s="98">
        <f t="shared" si="309"/>
        <v>0</v>
      </c>
      <c r="U7777" s="99" t="str">
        <f>IFERROR(IF(#REF!="S",VLOOKUP('Raw Data'!A7777,References!#REF!,2,FALSE),(VLOOKUP($S7777,References!$B$3:$C$8,2,FALSE))),"")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08"/>
        <v>0</v>
      </c>
      <c r="T7778" s="98">
        <f t="shared" si="309"/>
        <v>0</v>
      </c>
      <c r="U7778" s="99" t="str">
        <f>IFERROR(IF(#REF!="S",VLOOKUP('Raw Data'!A7778,References!#REF!,2,FALSE),(VLOOKUP($S7778,References!$B$3:$C$8,2,FALSE))),"")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08"/>
        <v>0</v>
      </c>
      <c r="T7779" s="98">
        <f t="shared" si="309"/>
        <v>0</v>
      </c>
      <c r="U7779" s="99" t="str">
        <f>IFERROR(IF(#REF!="S",VLOOKUP('Raw Data'!A7779,References!#REF!,2,FALSE),(VLOOKUP($S7779,References!$B$3:$C$8,2,FALSE))),"")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08"/>
        <v>0</v>
      </c>
      <c r="T7780" s="98">
        <f t="shared" si="309"/>
        <v>0</v>
      </c>
      <c r="U7780" s="99" t="str">
        <f>IFERROR(IF(#REF!="S",VLOOKUP('Raw Data'!A7780,References!#REF!,2,FALSE),(VLOOKUP($S7780,References!$B$3:$C$8,2,FALSE))),"")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08"/>
        <v>0</v>
      </c>
      <c r="T7781" s="98">
        <f t="shared" si="309"/>
        <v>0</v>
      </c>
      <c r="U7781" s="99" t="str">
        <f>IFERROR(IF(#REF!="S",VLOOKUP('Raw Data'!A7781,References!#REF!,2,FALSE),(VLOOKUP($S7781,References!$B$3:$C$8,2,FALSE))),"")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08"/>
        <v>0</v>
      </c>
      <c r="T7782" s="98">
        <f t="shared" si="309"/>
        <v>0</v>
      </c>
      <c r="U7782" s="99" t="str">
        <f>IFERROR(IF(#REF!="S",VLOOKUP('Raw Data'!A7782,References!#REF!,2,FALSE),(VLOOKUP($S7782,References!$B$3:$C$8,2,FALSE))),"")</f>
        <v/>
      </c>
      <c r="W7782" s="66" t="str">
        <f>IFERROR(VLOOKUP($O7782,'Customer List'!$A$1:$J$488,10,FALSE),"")</f>
        <v/>
      </c>
    </row>
    <row r="7783" spans="18:23">
      <c r="R7783" s="97">
        <f t="shared" si="308"/>
        <v>0</v>
      </c>
      <c r="T7783" s="98">
        <f t="shared" si="309"/>
        <v>0</v>
      </c>
      <c r="U7783" s="99" t="str">
        <f>IFERROR(IF(#REF!="S",VLOOKUP('Raw Data'!A7783,References!#REF!,2,FALSE),(VLOOKUP($S7783,References!$B$3:$C$8,2,FALSE))),"")</f>
        <v/>
      </c>
      <c r="W7783" s="66" t="str">
        <f>IFERROR(VLOOKUP($O7783,'Customer List'!$A$1:$J$488,10,FALSE),"")</f>
        <v/>
      </c>
    </row>
    <row r="7784" spans="18:23">
      <c r="R7784" s="97">
        <f t="shared" ref="R7784:R7847" si="310">L7784-K7784</f>
        <v>0</v>
      </c>
      <c r="T7784" s="98">
        <f t="shared" si="309"/>
        <v>0</v>
      </c>
      <c r="U7784" s="99" t="str">
        <f>IFERROR(IF(#REF!="S",VLOOKUP('Raw Data'!A7784,References!#REF!,2,FALSE),(VLOOKUP($S7784,References!$B$3:$C$8,2,FALSE))),"")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0"/>
        <v>0</v>
      </c>
      <c r="T7785" s="98">
        <f t="shared" si="309"/>
        <v>0</v>
      </c>
      <c r="U7785" s="99" t="str">
        <f>IFERROR(IF(#REF!="S",VLOOKUP('Raw Data'!A7785,References!#REF!,2,FALSE),(VLOOKUP($S7785,References!$B$3:$C$8,2,FALSE))),"")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0"/>
        <v>0</v>
      </c>
      <c r="T7786" s="98">
        <f t="shared" si="309"/>
        <v>0</v>
      </c>
      <c r="U7786" s="99" t="str">
        <f>IFERROR(IF(#REF!="S",VLOOKUP('Raw Data'!A7786,References!#REF!,2,FALSE),(VLOOKUP($S7786,References!$B$3:$C$8,2,FALSE))),"")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0"/>
        <v>0</v>
      </c>
      <c r="T7787" s="98">
        <f t="shared" si="309"/>
        <v>0</v>
      </c>
      <c r="U7787" s="99" t="str">
        <f>IFERROR(IF(#REF!="S",VLOOKUP('Raw Data'!A7787,References!#REF!,2,FALSE),(VLOOKUP($S7787,References!$B$3:$C$8,2,FALSE))),"")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0"/>
        <v>0</v>
      </c>
      <c r="T7788" s="98">
        <f t="shared" si="309"/>
        <v>0</v>
      </c>
      <c r="U7788" s="99" t="str">
        <f>IFERROR(IF(#REF!="S",VLOOKUP('Raw Data'!A7788,References!#REF!,2,FALSE),(VLOOKUP($S7788,References!$B$3:$C$8,2,FALSE))),"")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0"/>
        <v>0</v>
      </c>
      <c r="T7789" s="98">
        <f t="shared" si="309"/>
        <v>0</v>
      </c>
      <c r="U7789" s="99" t="str">
        <f>IFERROR(IF(#REF!="S",VLOOKUP('Raw Data'!A7789,References!#REF!,2,FALSE),(VLOOKUP($S7789,References!$B$3:$C$8,2,FALSE))),"")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0"/>
        <v>0</v>
      </c>
      <c r="T7790" s="98">
        <f t="shared" si="309"/>
        <v>0</v>
      </c>
      <c r="U7790" s="99" t="str">
        <f>IFERROR(IF(#REF!="S",VLOOKUP('Raw Data'!A7790,References!#REF!,2,FALSE),(VLOOKUP($S7790,References!$B$3:$C$8,2,FALSE))),"")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0"/>
        <v>0</v>
      </c>
      <c r="T7791" s="98">
        <f t="shared" si="309"/>
        <v>0</v>
      </c>
      <c r="U7791" s="99" t="str">
        <f>IFERROR(IF(#REF!="S",VLOOKUP('Raw Data'!A7791,References!#REF!,2,FALSE),(VLOOKUP($S7791,References!$B$3:$C$8,2,FALSE))),"")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0"/>
        <v>0</v>
      </c>
      <c r="T7792" s="98">
        <f t="shared" si="309"/>
        <v>0</v>
      </c>
      <c r="U7792" s="99" t="str">
        <f>IFERROR(IF(#REF!="S",VLOOKUP('Raw Data'!A7792,References!#REF!,2,FALSE),(VLOOKUP($S7792,References!$B$3:$C$8,2,FALSE))),"")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0"/>
        <v>0</v>
      </c>
      <c r="T7793" s="98">
        <f t="shared" si="309"/>
        <v>0</v>
      </c>
      <c r="U7793" s="99" t="str">
        <f>IFERROR(IF(#REF!="S",VLOOKUP('Raw Data'!A7793,References!#REF!,2,FALSE),(VLOOKUP($S7793,References!$B$3:$C$8,2,FALSE))),"")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0"/>
        <v>0</v>
      </c>
      <c r="T7794" s="98">
        <f t="shared" si="309"/>
        <v>0</v>
      </c>
      <c r="U7794" s="99" t="str">
        <f>IFERROR(IF(#REF!="S",VLOOKUP('Raw Data'!A7794,References!#REF!,2,FALSE),(VLOOKUP($S7794,References!$B$3:$C$8,2,FALSE))),"")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0"/>
        <v>0</v>
      </c>
      <c r="T7795" s="98">
        <f t="shared" si="309"/>
        <v>0</v>
      </c>
      <c r="U7795" s="99" t="str">
        <f>IFERROR(IF(#REF!="S",VLOOKUP('Raw Data'!A7795,References!#REF!,2,FALSE),(VLOOKUP($S7795,References!$B$3:$C$8,2,FALSE))),"")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0"/>
        <v>0</v>
      </c>
      <c r="T7796" s="98">
        <f t="shared" si="309"/>
        <v>0</v>
      </c>
      <c r="U7796" s="99" t="str">
        <f>IFERROR(IF(#REF!="S",VLOOKUP('Raw Data'!A7796,References!#REF!,2,FALSE),(VLOOKUP($S7796,References!$B$3:$C$8,2,FALSE))),"")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0"/>
        <v>0</v>
      </c>
      <c r="T7797" s="98">
        <f t="shared" si="309"/>
        <v>0</v>
      </c>
      <c r="U7797" s="99" t="str">
        <f>IFERROR(IF(#REF!="S",VLOOKUP('Raw Data'!A7797,References!#REF!,2,FALSE),(VLOOKUP($S7797,References!$B$3:$C$8,2,FALSE))),"")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0"/>
        <v>0</v>
      </c>
      <c r="T7798" s="98">
        <f t="shared" si="309"/>
        <v>0</v>
      </c>
      <c r="U7798" s="99" t="str">
        <f>IFERROR(IF(#REF!="S",VLOOKUP('Raw Data'!A7798,References!#REF!,2,FALSE),(VLOOKUP($S7798,References!$B$3:$C$8,2,FALSE))),"")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0"/>
        <v>0</v>
      </c>
      <c r="T7799" s="98">
        <f t="shared" si="309"/>
        <v>0</v>
      </c>
      <c r="U7799" s="99" t="str">
        <f>IFERROR(IF(#REF!="S",VLOOKUP('Raw Data'!A7799,References!#REF!,2,FALSE),(VLOOKUP($S7799,References!$B$3:$C$8,2,FALSE))),"")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0"/>
        <v>0</v>
      </c>
      <c r="T7800" s="98">
        <f t="shared" si="309"/>
        <v>0</v>
      </c>
      <c r="U7800" s="99" t="str">
        <f>IFERROR(IF(#REF!="S",VLOOKUP('Raw Data'!A7800,References!#REF!,2,FALSE),(VLOOKUP($S7800,References!$B$3:$C$8,2,FALSE))),"")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0"/>
        <v>0</v>
      </c>
      <c r="T7801" s="98">
        <f t="shared" si="309"/>
        <v>0</v>
      </c>
      <c r="U7801" s="99" t="str">
        <f>IFERROR(IF(#REF!="S",VLOOKUP('Raw Data'!A7801,References!#REF!,2,FALSE),(VLOOKUP($S7801,References!$B$3:$C$8,2,FALSE))),"")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0"/>
        <v>0</v>
      </c>
      <c r="T7802" s="98">
        <f t="shared" si="309"/>
        <v>0</v>
      </c>
      <c r="U7802" s="99" t="str">
        <f>IFERROR(IF(#REF!="S",VLOOKUP('Raw Data'!A7802,References!#REF!,2,FALSE),(VLOOKUP($S7802,References!$B$3:$C$8,2,FALSE))),"")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0"/>
        <v>0</v>
      </c>
      <c r="T7803" s="98">
        <f t="shared" si="309"/>
        <v>0</v>
      </c>
      <c r="U7803" s="99" t="str">
        <f>IFERROR(IF(#REF!="S",VLOOKUP('Raw Data'!A7803,References!#REF!,2,FALSE),(VLOOKUP($S7803,References!$B$3:$C$8,2,FALSE))),"")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0"/>
        <v>0</v>
      </c>
      <c r="T7804" s="98">
        <f t="shared" si="309"/>
        <v>0</v>
      </c>
      <c r="U7804" s="99" t="str">
        <f>IFERROR(IF(#REF!="S",VLOOKUP('Raw Data'!A7804,References!#REF!,2,FALSE),(VLOOKUP($S7804,References!$B$3:$C$8,2,FALSE))),"")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0"/>
        <v>0</v>
      </c>
      <c r="T7805" s="98">
        <f t="shared" si="309"/>
        <v>0</v>
      </c>
      <c r="U7805" s="99" t="str">
        <f>IFERROR(IF(#REF!="S",VLOOKUP('Raw Data'!A7805,References!#REF!,2,FALSE),(VLOOKUP($S7805,References!$B$3:$C$8,2,FALSE))),"")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0"/>
        <v>0</v>
      </c>
      <c r="T7806" s="98">
        <f t="shared" si="309"/>
        <v>0</v>
      </c>
      <c r="U7806" s="99" t="str">
        <f>IFERROR(IF(#REF!="S",VLOOKUP('Raw Data'!A7806,References!#REF!,2,FALSE),(VLOOKUP($S7806,References!$B$3:$C$8,2,FALSE))),"")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0"/>
        <v>0</v>
      </c>
      <c r="T7807" s="98">
        <f t="shared" si="309"/>
        <v>0</v>
      </c>
      <c r="U7807" s="99" t="str">
        <f>IFERROR(IF(#REF!="S",VLOOKUP('Raw Data'!A7807,References!#REF!,2,FALSE),(VLOOKUP($S7807,References!$B$3:$C$8,2,FALSE))),"")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0"/>
        <v>0</v>
      </c>
      <c r="T7808" s="98">
        <f t="shared" si="309"/>
        <v>0</v>
      </c>
      <c r="U7808" s="99" t="str">
        <f>IFERROR(IF(#REF!="S",VLOOKUP('Raw Data'!A7808,References!#REF!,2,FALSE),(VLOOKUP($S7808,References!$B$3:$C$8,2,FALSE))),"")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0"/>
        <v>0</v>
      </c>
      <c r="T7809" s="98">
        <f t="shared" si="309"/>
        <v>0</v>
      </c>
      <c r="U7809" s="99" t="str">
        <f>IFERROR(IF(#REF!="S",VLOOKUP('Raw Data'!A7809,References!#REF!,2,FALSE),(VLOOKUP($S7809,References!$B$3:$C$8,2,FALSE))),"")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0"/>
        <v>0</v>
      </c>
      <c r="T7810" s="98">
        <f t="shared" si="309"/>
        <v>0</v>
      </c>
      <c r="U7810" s="99" t="str">
        <f>IFERROR(IF(#REF!="S",VLOOKUP('Raw Data'!A7810,References!#REF!,2,FALSE),(VLOOKUP($S7810,References!$B$3:$C$8,2,FALSE))),"")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0"/>
        <v>0</v>
      </c>
      <c r="T7811" s="98">
        <f t="shared" si="309"/>
        <v>0</v>
      </c>
      <c r="U7811" s="99" t="str">
        <f>IFERROR(IF(#REF!="S",VLOOKUP('Raw Data'!A7811,References!#REF!,2,FALSE),(VLOOKUP($S7811,References!$B$3:$C$8,2,FALSE))),"")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0"/>
        <v>0</v>
      </c>
      <c r="T7812" s="98">
        <f t="shared" si="309"/>
        <v>0</v>
      </c>
      <c r="U7812" s="99" t="str">
        <f>IFERROR(IF(#REF!="S",VLOOKUP('Raw Data'!A7812,References!#REF!,2,FALSE),(VLOOKUP($S7812,References!$B$3:$C$8,2,FALSE))),"")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0"/>
        <v>0</v>
      </c>
      <c r="T7813" s="98">
        <f t="shared" si="309"/>
        <v>0</v>
      </c>
      <c r="U7813" s="99" t="str">
        <f>IFERROR(IF(#REF!="S",VLOOKUP('Raw Data'!A7813,References!#REF!,2,FALSE),(VLOOKUP($S7813,References!$B$3:$C$8,2,FALSE))),"")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0"/>
        <v>0</v>
      </c>
      <c r="T7814" s="98">
        <f t="shared" si="309"/>
        <v>0</v>
      </c>
      <c r="U7814" s="99" t="str">
        <f>IFERROR(IF(#REF!="S",VLOOKUP('Raw Data'!A7814,References!#REF!,2,FALSE),(VLOOKUP($S7814,References!$B$3:$C$8,2,FALSE))),"")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0"/>
        <v>0</v>
      </c>
      <c r="T7815" s="98">
        <f t="shared" si="309"/>
        <v>0</v>
      </c>
      <c r="U7815" s="99" t="str">
        <f>IFERROR(IF(#REF!="S",VLOOKUP('Raw Data'!A7815,References!#REF!,2,FALSE),(VLOOKUP($S7815,References!$B$3:$C$8,2,FALSE))),"")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0"/>
        <v>0</v>
      </c>
      <c r="T7816" s="98">
        <f t="shared" si="309"/>
        <v>0</v>
      </c>
      <c r="U7816" s="99" t="str">
        <f>IFERROR(IF(#REF!="S",VLOOKUP('Raw Data'!A7816,References!#REF!,2,FALSE),(VLOOKUP($S7816,References!$B$3:$C$8,2,FALSE))),"")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0"/>
        <v>0</v>
      </c>
      <c r="T7817" s="98">
        <f t="shared" si="309"/>
        <v>0</v>
      </c>
      <c r="U7817" s="99" t="str">
        <f>IFERROR(IF(#REF!="S",VLOOKUP('Raw Data'!A7817,References!#REF!,2,FALSE),(VLOOKUP($S7817,References!$B$3:$C$8,2,FALSE))),"")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0"/>
        <v>0</v>
      </c>
      <c r="T7818" s="98">
        <f t="shared" si="309"/>
        <v>0</v>
      </c>
      <c r="U7818" s="99" t="str">
        <f>IFERROR(IF(#REF!="S",VLOOKUP('Raw Data'!A7818,References!#REF!,2,FALSE),(VLOOKUP($S7818,References!$B$3:$C$8,2,FALSE))),"")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0"/>
        <v>0</v>
      </c>
      <c r="T7819" s="98">
        <f t="shared" si="309"/>
        <v>0</v>
      </c>
      <c r="U7819" s="99" t="str">
        <f>IFERROR(IF(#REF!="S",VLOOKUP('Raw Data'!A7819,References!#REF!,2,FALSE),(VLOOKUP($S7819,References!$B$3:$C$8,2,FALSE))),"")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0"/>
        <v>0</v>
      </c>
      <c r="T7820" s="98">
        <f t="shared" si="309"/>
        <v>0</v>
      </c>
      <c r="U7820" s="99" t="str">
        <f>IFERROR(IF(#REF!="S",VLOOKUP('Raw Data'!A7820,References!#REF!,2,FALSE),(VLOOKUP($S7820,References!$B$3:$C$8,2,FALSE))),"")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0"/>
        <v>0</v>
      </c>
      <c r="T7821" s="98">
        <f t="shared" si="309"/>
        <v>0</v>
      </c>
      <c r="U7821" s="99" t="str">
        <f>IFERROR(IF(#REF!="S",VLOOKUP('Raw Data'!A7821,References!#REF!,2,FALSE),(VLOOKUP($S7821,References!$B$3:$C$8,2,FALSE))),"")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0"/>
        <v>0</v>
      </c>
      <c r="T7822" s="98">
        <f t="shared" si="309"/>
        <v>0</v>
      </c>
      <c r="U7822" s="99" t="str">
        <f>IFERROR(IF(#REF!="S",VLOOKUP('Raw Data'!A7822,References!#REF!,2,FALSE),(VLOOKUP($S7822,References!$B$3:$C$8,2,FALSE))),"")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0"/>
        <v>0</v>
      </c>
      <c r="T7823" s="98">
        <f t="shared" si="309"/>
        <v>0</v>
      </c>
      <c r="U7823" s="99" t="str">
        <f>IFERROR(IF(#REF!="S",VLOOKUP('Raw Data'!A7823,References!#REF!,2,FALSE),(VLOOKUP($S7823,References!$B$3:$C$8,2,FALSE))),"")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0"/>
        <v>0</v>
      </c>
      <c r="T7824" s="98">
        <f t="shared" ref="T7824:T7887" si="311">IF(S7824="50 - Cleaning Fee",1,HOUR($R7824)+MINUTE(R7824)/60)</f>
        <v>0</v>
      </c>
      <c r="U7824" s="99" t="str">
        <f>IFERROR(IF(#REF!="S",VLOOKUP('Raw Data'!A7824,References!#REF!,2,FALSE),(VLOOKUP($S7824,References!$B$3:$C$8,2,FALSE))),"")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0"/>
        <v>0</v>
      </c>
      <c r="T7825" s="98">
        <f t="shared" si="311"/>
        <v>0</v>
      </c>
      <c r="U7825" s="99" t="str">
        <f>IFERROR(IF(#REF!="S",VLOOKUP('Raw Data'!A7825,References!#REF!,2,FALSE),(VLOOKUP($S7825,References!$B$3:$C$8,2,FALSE))),"")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0"/>
        <v>0</v>
      </c>
      <c r="T7826" s="98">
        <f t="shared" si="311"/>
        <v>0</v>
      </c>
      <c r="U7826" s="99" t="str">
        <f>IFERROR(IF(#REF!="S",VLOOKUP('Raw Data'!A7826,References!#REF!,2,FALSE),(VLOOKUP($S7826,References!$B$3:$C$8,2,FALSE))),"")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0"/>
        <v>0</v>
      </c>
      <c r="T7827" s="98">
        <f t="shared" si="311"/>
        <v>0</v>
      </c>
      <c r="U7827" s="99" t="str">
        <f>IFERROR(IF(#REF!="S",VLOOKUP('Raw Data'!A7827,References!#REF!,2,FALSE),(VLOOKUP($S7827,References!$B$3:$C$8,2,FALSE))),"")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0"/>
        <v>0</v>
      </c>
      <c r="T7828" s="98">
        <f t="shared" si="311"/>
        <v>0</v>
      </c>
      <c r="U7828" s="99" t="str">
        <f>IFERROR(IF(#REF!="S",VLOOKUP('Raw Data'!A7828,References!#REF!,2,FALSE),(VLOOKUP($S7828,References!$B$3:$C$8,2,FALSE))),"")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0"/>
        <v>0</v>
      </c>
      <c r="T7829" s="98">
        <f t="shared" si="311"/>
        <v>0</v>
      </c>
      <c r="U7829" s="99" t="str">
        <f>IFERROR(IF(#REF!="S",VLOOKUP('Raw Data'!A7829,References!#REF!,2,FALSE),(VLOOKUP($S7829,References!$B$3:$C$8,2,FALSE))),"")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0"/>
        <v>0</v>
      </c>
      <c r="T7830" s="98">
        <f t="shared" si="311"/>
        <v>0</v>
      </c>
      <c r="U7830" s="99" t="str">
        <f>IFERROR(IF(#REF!="S",VLOOKUP('Raw Data'!A7830,References!#REF!,2,FALSE),(VLOOKUP($S7830,References!$B$3:$C$8,2,FALSE))),"")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0"/>
        <v>0</v>
      </c>
      <c r="T7831" s="98">
        <f t="shared" si="311"/>
        <v>0</v>
      </c>
      <c r="U7831" s="99" t="str">
        <f>IFERROR(IF(#REF!="S",VLOOKUP('Raw Data'!A7831,References!#REF!,2,FALSE),(VLOOKUP($S7831,References!$B$3:$C$8,2,FALSE))),"")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0"/>
        <v>0</v>
      </c>
      <c r="T7832" s="98">
        <f t="shared" si="311"/>
        <v>0</v>
      </c>
      <c r="U7832" s="99" t="str">
        <f>IFERROR(IF(#REF!="S",VLOOKUP('Raw Data'!A7832,References!#REF!,2,FALSE),(VLOOKUP($S7832,References!$B$3:$C$8,2,FALSE))),"")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0"/>
        <v>0</v>
      </c>
      <c r="T7833" s="98">
        <f t="shared" si="311"/>
        <v>0</v>
      </c>
      <c r="U7833" s="99" t="str">
        <f>IFERROR(IF(#REF!="S",VLOOKUP('Raw Data'!A7833,References!#REF!,2,FALSE),(VLOOKUP($S7833,References!$B$3:$C$8,2,FALSE))),"")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0"/>
        <v>0</v>
      </c>
      <c r="T7834" s="98">
        <f t="shared" si="311"/>
        <v>0</v>
      </c>
      <c r="U7834" s="99" t="str">
        <f>IFERROR(IF(#REF!="S",VLOOKUP('Raw Data'!A7834,References!#REF!,2,FALSE),(VLOOKUP($S7834,References!$B$3:$C$8,2,FALSE))),"")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0"/>
        <v>0</v>
      </c>
      <c r="T7835" s="98">
        <f t="shared" si="311"/>
        <v>0</v>
      </c>
      <c r="U7835" s="99" t="str">
        <f>IFERROR(IF(#REF!="S",VLOOKUP('Raw Data'!A7835,References!#REF!,2,FALSE),(VLOOKUP($S7835,References!$B$3:$C$8,2,FALSE))),"")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0"/>
        <v>0</v>
      </c>
      <c r="T7836" s="98">
        <f t="shared" si="311"/>
        <v>0</v>
      </c>
      <c r="U7836" s="99" t="str">
        <f>IFERROR(IF(#REF!="S",VLOOKUP('Raw Data'!A7836,References!#REF!,2,FALSE),(VLOOKUP($S7836,References!$B$3:$C$8,2,FALSE))),"")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0"/>
        <v>0</v>
      </c>
      <c r="T7837" s="98">
        <f t="shared" si="311"/>
        <v>0</v>
      </c>
      <c r="U7837" s="99" t="str">
        <f>IFERROR(IF(#REF!="S",VLOOKUP('Raw Data'!A7837,References!#REF!,2,FALSE),(VLOOKUP($S7837,References!$B$3:$C$8,2,FALSE))),"")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0"/>
        <v>0</v>
      </c>
      <c r="T7838" s="98">
        <f t="shared" si="311"/>
        <v>0</v>
      </c>
      <c r="U7838" s="99" t="str">
        <f>IFERROR(IF(#REF!="S",VLOOKUP('Raw Data'!A7838,References!#REF!,2,FALSE),(VLOOKUP($S7838,References!$B$3:$C$8,2,FALSE))),"")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0"/>
        <v>0</v>
      </c>
      <c r="T7839" s="98">
        <f t="shared" si="311"/>
        <v>0</v>
      </c>
      <c r="U7839" s="99" t="str">
        <f>IFERROR(IF(#REF!="S",VLOOKUP('Raw Data'!A7839,References!#REF!,2,FALSE),(VLOOKUP($S7839,References!$B$3:$C$8,2,FALSE))),"")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0"/>
        <v>0</v>
      </c>
      <c r="T7840" s="98">
        <f t="shared" si="311"/>
        <v>0</v>
      </c>
      <c r="U7840" s="99" t="str">
        <f>IFERROR(IF(#REF!="S",VLOOKUP('Raw Data'!A7840,References!#REF!,2,FALSE),(VLOOKUP($S7840,References!$B$3:$C$8,2,FALSE))),"")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0"/>
        <v>0</v>
      </c>
      <c r="T7841" s="98">
        <f t="shared" si="311"/>
        <v>0</v>
      </c>
      <c r="U7841" s="99" t="str">
        <f>IFERROR(IF(#REF!="S",VLOOKUP('Raw Data'!A7841,References!#REF!,2,FALSE),(VLOOKUP($S7841,References!$B$3:$C$8,2,FALSE))),"")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0"/>
        <v>0</v>
      </c>
      <c r="T7842" s="98">
        <f t="shared" si="311"/>
        <v>0</v>
      </c>
      <c r="U7842" s="99" t="str">
        <f>IFERROR(IF(#REF!="S",VLOOKUP('Raw Data'!A7842,References!#REF!,2,FALSE),(VLOOKUP($S7842,References!$B$3:$C$8,2,FALSE))),"")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0"/>
        <v>0</v>
      </c>
      <c r="T7843" s="98">
        <f t="shared" si="311"/>
        <v>0</v>
      </c>
      <c r="U7843" s="99" t="str">
        <f>IFERROR(IF(#REF!="S",VLOOKUP('Raw Data'!A7843,References!#REF!,2,FALSE),(VLOOKUP($S7843,References!$B$3:$C$8,2,FALSE))),"")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0"/>
        <v>0</v>
      </c>
      <c r="T7844" s="98">
        <f t="shared" si="311"/>
        <v>0</v>
      </c>
      <c r="U7844" s="99" t="str">
        <f>IFERROR(IF(#REF!="S",VLOOKUP('Raw Data'!A7844,References!#REF!,2,FALSE),(VLOOKUP($S7844,References!$B$3:$C$8,2,FALSE))),"")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0"/>
        <v>0</v>
      </c>
      <c r="T7845" s="98">
        <f t="shared" si="311"/>
        <v>0</v>
      </c>
      <c r="U7845" s="99" t="str">
        <f>IFERROR(IF(#REF!="S",VLOOKUP('Raw Data'!A7845,References!#REF!,2,FALSE),(VLOOKUP($S7845,References!$B$3:$C$8,2,FALSE))),"")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0"/>
        <v>0</v>
      </c>
      <c r="T7846" s="98">
        <f t="shared" si="311"/>
        <v>0</v>
      </c>
      <c r="U7846" s="99" t="str">
        <f>IFERROR(IF(#REF!="S",VLOOKUP('Raw Data'!A7846,References!#REF!,2,FALSE),(VLOOKUP($S7846,References!$B$3:$C$8,2,FALSE))),"")</f>
        <v/>
      </c>
      <c r="W7846" s="66" t="str">
        <f>IFERROR(VLOOKUP($O7846,'Customer List'!$A$1:$J$488,10,FALSE),"")</f>
        <v/>
      </c>
    </row>
    <row r="7847" spans="18:23">
      <c r="R7847" s="97">
        <f t="shared" si="310"/>
        <v>0</v>
      </c>
      <c r="T7847" s="98">
        <f t="shared" si="311"/>
        <v>0</v>
      </c>
      <c r="U7847" s="99" t="str">
        <f>IFERROR(IF(#REF!="S",VLOOKUP('Raw Data'!A7847,References!#REF!,2,FALSE),(VLOOKUP($S7847,References!$B$3:$C$8,2,FALSE))),"")</f>
        <v/>
      </c>
      <c r="W7847" s="66" t="str">
        <f>IFERROR(VLOOKUP($O7847,'Customer List'!$A$1:$J$488,10,FALSE),"")</f>
        <v/>
      </c>
    </row>
    <row r="7848" spans="18:23">
      <c r="R7848" s="97">
        <f t="shared" ref="R7848:R7911" si="312">L7848-K7848</f>
        <v>0</v>
      </c>
      <c r="T7848" s="98">
        <f t="shared" si="311"/>
        <v>0</v>
      </c>
      <c r="U7848" s="99" t="str">
        <f>IFERROR(IF(#REF!="S",VLOOKUP('Raw Data'!A7848,References!#REF!,2,FALSE),(VLOOKUP($S7848,References!$B$3:$C$8,2,FALSE))),"")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2"/>
        <v>0</v>
      </c>
      <c r="T7849" s="98">
        <f t="shared" si="311"/>
        <v>0</v>
      </c>
      <c r="U7849" s="99" t="str">
        <f>IFERROR(IF(#REF!="S",VLOOKUP('Raw Data'!A7849,References!#REF!,2,FALSE),(VLOOKUP($S7849,References!$B$3:$C$8,2,FALSE))),"")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2"/>
        <v>0</v>
      </c>
      <c r="T7850" s="98">
        <f t="shared" si="311"/>
        <v>0</v>
      </c>
      <c r="U7850" s="99" t="str">
        <f>IFERROR(IF(#REF!="S",VLOOKUP('Raw Data'!A7850,References!#REF!,2,FALSE),(VLOOKUP($S7850,References!$B$3:$C$8,2,FALSE))),"")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2"/>
        <v>0</v>
      </c>
      <c r="T7851" s="98">
        <f t="shared" si="311"/>
        <v>0</v>
      </c>
      <c r="U7851" s="99" t="str">
        <f>IFERROR(IF(#REF!="S",VLOOKUP('Raw Data'!A7851,References!#REF!,2,FALSE),(VLOOKUP($S7851,References!$B$3:$C$8,2,FALSE))),"")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2"/>
        <v>0</v>
      </c>
      <c r="T7852" s="98">
        <f t="shared" si="311"/>
        <v>0</v>
      </c>
      <c r="U7852" s="99" t="str">
        <f>IFERROR(IF(#REF!="S",VLOOKUP('Raw Data'!A7852,References!#REF!,2,FALSE),(VLOOKUP($S7852,References!$B$3:$C$8,2,FALSE))),"")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2"/>
        <v>0</v>
      </c>
      <c r="T7853" s="98">
        <f t="shared" si="311"/>
        <v>0</v>
      </c>
      <c r="U7853" s="99" t="str">
        <f>IFERROR(IF(#REF!="S",VLOOKUP('Raw Data'!A7853,References!#REF!,2,FALSE),(VLOOKUP($S7853,References!$B$3:$C$8,2,FALSE))),"")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2"/>
        <v>0</v>
      </c>
      <c r="T7854" s="98">
        <f t="shared" si="311"/>
        <v>0</v>
      </c>
      <c r="U7854" s="99" t="str">
        <f>IFERROR(IF(#REF!="S",VLOOKUP('Raw Data'!A7854,References!#REF!,2,FALSE),(VLOOKUP($S7854,References!$B$3:$C$8,2,FALSE))),"")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2"/>
        <v>0</v>
      </c>
      <c r="T7855" s="98">
        <f t="shared" si="311"/>
        <v>0</v>
      </c>
      <c r="U7855" s="99" t="str">
        <f>IFERROR(IF(#REF!="S",VLOOKUP('Raw Data'!A7855,References!#REF!,2,FALSE),(VLOOKUP($S7855,References!$B$3:$C$8,2,FALSE))),"")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2"/>
        <v>0</v>
      </c>
      <c r="T7856" s="98">
        <f t="shared" si="311"/>
        <v>0</v>
      </c>
      <c r="U7856" s="99" t="str">
        <f>IFERROR(IF(#REF!="S",VLOOKUP('Raw Data'!A7856,References!#REF!,2,FALSE),(VLOOKUP($S7856,References!$B$3:$C$8,2,FALSE))),"")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2"/>
        <v>0</v>
      </c>
      <c r="T7857" s="98">
        <f t="shared" si="311"/>
        <v>0</v>
      </c>
      <c r="U7857" s="99" t="str">
        <f>IFERROR(IF(#REF!="S",VLOOKUP('Raw Data'!A7857,References!#REF!,2,FALSE),(VLOOKUP($S7857,References!$B$3:$C$8,2,FALSE))),"")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2"/>
        <v>0</v>
      </c>
      <c r="T7858" s="98">
        <f t="shared" si="311"/>
        <v>0</v>
      </c>
      <c r="U7858" s="99" t="str">
        <f>IFERROR(IF(#REF!="S",VLOOKUP('Raw Data'!A7858,References!#REF!,2,FALSE),(VLOOKUP($S7858,References!$B$3:$C$8,2,FALSE))),"")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2"/>
        <v>0</v>
      </c>
      <c r="T7859" s="98">
        <f t="shared" si="311"/>
        <v>0</v>
      </c>
      <c r="U7859" s="99" t="str">
        <f>IFERROR(IF(#REF!="S",VLOOKUP('Raw Data'!A7859,References!#REF!,2,FALSE),(VLOOKUP($S7859,References!$B$3:$C$8,2,FALSE))),"")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2"/>
        <v>0</v>
      </c>
      <c r="T7860" s="98">
        <f t="shared" si="311"/>
        <v>0</v>
      </c>
      <c r="U7860" s="99" t="str">
        <f>IFERROR(IF(#REF!="S",VLOOKUP('Raw Data'!A7860,References!#REF!,2,FALSE),(VLOOKUP($S7860,References!$B$3:$C$8,2,FALSE))),"")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2"/>
        <v>0</v>
      </c>
      <c r="T7861" s="98">
        <f t="shared" si="311"/>
        <v>0</v>
      </c>
      <c r="U7861" s="99" t="str">
        <f>IFERROR(IF(#REF!="S",VLOOKUP('Raw Data'!A7861,References!#REF!,2,FALSE),(VLOOKUP($S7861,References!$B$3:$C$8,2,FALSE))),"")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2"/>
        <v>0</v>
      </c>
      <c r="T7862" s="98">
        <f t="shared" si="311"/>
        <v>0</v>
      </c>
      <c r="U7862" s="99" t="str">
        <f>IFERROR(IF(#REF!="S",VLOOKUP('Raw Data'!A7862,References!#REF!,2,FALSE),(VLOOKUP($S7862,References!$B$3:$C$8,2,FALSE))),"")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2"/>
        <v>0</v>
      </c>
      <c r="T7863" s="98">
        <f t="shared" si="311"/>
        <v>0</v>
      </c>
      <c r="U7863" s="99" t="str">
        <f>IFERROR(IF(#REF!="S",VLOOKUP('Raw Data'!A7863,References!#REF!,2,FALSE),(VLOOKUP($S7863,References!$B$3:$C$8,2,FALSE))),"")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2"/>
        <v>0</v>
      </c>
      <c r="T7864" s="98">
        <f t="shared" si="311"/>
        <v>0</v>
      </c>
      <c r="U7864" s="99" t="str">
        <f>IFERROR(IF(#REF!="S",VLOOKUP('Raw Data'!A7864,References!#REF!,2,FALSE),(VLOOKUP($S7864,References!$B$3:$C$8,2,FALSE))),"")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2"/>
        <v>0</v>
      </c>
      <c r="T7865" s="98">
        <f t="shared" si="311"/>
        <v>0</v>
      </c>
      <c r="U7865" s="99" t="str">
        <f>IFERROR(IF(#REF!="S",VLOOKUP('Raw Data'!A7865,References!#REF!,2,FALSE),(VLOOKUP($S7865,References!$B$3:$C$8,2,FALSE))),"")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2"/>
        <v>0</v>
      </c>
      <c r="T7866" s="98">
        <f t="shared" si="311"/>
        <v>0</v>
      </c>
      <c r="U7866" s="99" t="str">
        <f>IFERROR(IF(#REF!="S",VLOOKUP('Raw Data'!A7866,References!#REF!,2,FALSE),(VLOOKUP($S7866,References!$B$3:$C$8,2,FALSE))),"")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2"/>
        <v>0</v>
      </c>
      <c r="T7867" s="98">
        <f t="shared" si="311"/>
        <v>0</v>
      </c>
      <c r="U7867" s="99" t="str">
        <f>IFERROR(IF(#REF!="S",VLOOKUP('Raw Data'!A7867,References!#REF!,2,FALSE),(VLOOKUP($S7867,References!$B$3:$C$8,2,FALSE))),"")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2"/>
        <v>0</v>
      </c>
      <c r="T7868" s="98">
        <f t="shared" si="311"/>
        <v>0</v>
      </c>
      <c r="U7868" s="99" t="str">
        <f>IFERROR(IF(#REF!="S",VLOOKUP('Raw Data'!A7868,References!#REF!,2,FALSE),(VLOOKUP($S7868,References!$B$3:$C$8,2,FALSE))),"")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2"/>
        <v>0</v>
      </c>
      <c r="T7869" s="98">
        <f t="shared" si="311"/>
        <v>0</v>
      </c>
      <c r="U7869" s="99" t="str">
        <f>IFERROR(IF(#REF!="S",VLOOKUP('Raw Data'!A7869,References!#REF!,2,FALSE),(VLOOKUP($S7869,References!$B$3:$C$8,2,FALSE))),"")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2"/>
        <v>0</v>
      </c>
      <c r="T7870" s="98">
        <f t="shared" si="311"/>
        <v>0</v>
      </c>
      <c r="U7870" s="99" t="str">
        <f>IFERROR(IF(#REF!="S",VLOOKUP('Raw Data'!A7870,References!#REF!,2,FALSE),(VLOOKUP($S7870,References!$B$3:$C$8,2,FALSE))),"")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2"/>
        <v>0</v>
      </c>
      <c r="T7871" s="98">
        <f t="shared" si="311"/>
        <v>0</v>
      </c>
      <c r="U7871" s="99" t="str">
        <f>IFERROR(IF(#REF!="S",VLOOKUP('Raw Data'!A7871,References!#REF!,2,FALSE),(VLOOKUP($S7871,References!$B$3:$C$8,2,FALSE))),"")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2"/>
        <v>0</v>
      </c>
      <c r="T7872" s="98">
        <f t="shared" si="311"/>
        <v>0</v>
      </c>
      <c r="U7872" s="99" t="str">
        <f>IFERROR(IF(#REF!="S",VLOOKUP('Raw Data'!A7872,References!#REF!,2,FALSE),(VLOOKUP($S7872,References!$B$3:$C$8,2,FALSE))),"")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2"/>
        <v>0</v>
      </c>
      <c r="T7873" s="98">
        <f t="shared" si="311"/>
        <v>0</v>
      </c>
      <c r="U7873" s="99" t="str">
        <f>IFERROR(IF(#REF!="S",VLOOKUP('Raw Data'!A7873,References!#REF!,2,FALSE),(VLOOKUP($S7873,References!$B$3:$C$8,2,FALSE))),"")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2"/>
        <v>0</v>
      </c>
      <c r="T7874" s="98">
        <f t="shared" si="311"/>
        <v>0</v>
      </c>
      <c r="U7874" s="99" t="str">
        <f>IFERROR(IF(#REF!="S",VLOOKUP('Raw Data'!A7874,References!#REF!,2,FALSE),(VLOOKUP($S7874,References!$B$3:$C$8,2,FALSE))),"")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2"/>
        <v>0</v>
      </c>
      <c r="T7875" s="98">
        <f t="shared" si="311"/>
        <v>0</v>
      </c>
      <c r="U7875" s="99" t="str">
        <f>IFERROR(IF(#REF!="S",VLOOKUP('Raw Data'!A7875,References!#REF!,2,FALSE),(VLOOKUP($S7875,References!$B$3:$C$8,2,FALSE))),"")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2"/>
        <v>0</v>
      </c>
      <c r="T7876" s="98">
        <f t="shared" si="311"/>
        <v>0</v>
      </c>
      <c r="U7876" s="99" t="str">
        <f>IFERROR(IF(#REF!="S",VLOOKUP('Raw Data'!A7876,References!#REF!,2,FALSE),(VLOOKUP($S7876,References!$B$3:$C$8,2,FALSE))),"")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2"/>
        <v>0</v>
      </c>
      <c r="T7877" s="98">
        <f t="shared" si="311"/>
        <v>0</v>
      </c>
      <c r="U7877" s="99" t="str">
        <f>IFERROR(IF(#REF!="S",VLOOKUP('Raw Data'!A7877,References!#REF!,2,FALSE),(VLOOKUP($S7877,References!$B$3:$C$8,2,FALSE))),"")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2"/>
        <v>0</v>
      </c>
      <c r="T7878" s="98">
        <f t="shared" si="311"/>
        <v>0</v>
      </c>
      <c r="U7878" s="99" t="str">
        <f>IFERROR(IF(#REF!="S",VLOOKUP('Raw Data'!A7878,References!#REF!,2,FALSE),(VLOOKUP($S7878,References!$B$3:$C$8,2,FALSE))),"")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2"/>
        <v>0</v>
      </c>
      <c r="T7879" s="98">
        <f t="shared" si="311"/>
        <v>0</v>
      </c>
      <c r="U7879" s="99" t="str">
        <f>IFERROR(IF(#REF!="S",VLOOKUP('Raw Data'!A7879,References!#REF!,2,FALSE),(VLOOKUP($S7879,References!$B$3:$C$8,2,FALSE))),"")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2"/>
        <v>0</v>
      </c>
      <c r="T7880" s="98">
        <f t="shared" si="311"/>
        <v>0</v>
      </c>
      <c r="U7880" s="99" t="str">
        <f>IFERROR(IF(#REF!="S",VLOOKUP('Raw Data'!A7880,References!#REF!,2,FALSE),(VLOOKUP($S7880,References!$B$3:$C$8,2,FALSE))),"")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2"/>
        <v>0</v>
      </c>
      <c r="T7881" s="98">
        <f t="shared" si="311"/>
        <v>0</v>
      </c>
      <c r="U7881" s="99" t="str">
        <f>IFERROR(IF(#REF!="S",VLOOKUP('Raw Data'!A7881,References!#REF!,2,FALSE),(VLOOKUP($S7881,References!$B$3:$C$8,2,FALSE))),"")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2"/>
        <v>0</v>
      </c>
      <c r="T7882" s="98">
        <f t="shared" si="311"/>
        <v>0</v>
      </c>
      <c r="U7882" s="99" t="str">
        <f>IFERROR(IF(#REF!="S",VLOOKUP('Raw Data'!A7882,References!#REF!,2,FALSE),(VLOOKUP($S7882,References!$B$3:$C$8,2,FALSE))),"")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2"/>
        <v>0</v>
      </c>
      <c r="T7883" s="98">
        <f t="shared" si="311"/>
        <v>0</v>
      </c>
      <c r="U7883" s="99" t="str">
        <f>IFERROR(IF(#REF!="S",VLOOKUP('Raw Data'!A7883,References!#REF!,2,FALSE),(VLOOKUP($S7883,References!$B$3:$C$8,2,FALSE))),"")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2"/>
        <v>0</v>
      </c>
      <c r="T7884" s="98">
        <f t="shared" si="311"/>
        <v>0</v>
      </c>
      <c r="U7884" s="99" t="str">
        <f>IFERROR(IF(#REF!="S",VLOOKUP('Raw Data'!A7884,References!#REF!,2,FALSE),(VLOOKUP($S7884,References!$B$3:$C$8,2,FALSE))),"")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2"/>
        <v>0</v>
      </c>
      <c r="T7885" s="98">
        <f t="shared" si="311"/>
        <v>0</v>
      </c>
      <c r="U7885" s="99" t="str">
        <f>IFERROR(IF(#REF!="S",VLOOKUP('Raw Data'!A7885,References!#REF!,2,FALSE),(VLOOKUP($S7885,References!$B$3:$C$8,2,FALSE))),"")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2"/>
        <v>0</v>
      </c>
      <c r="T7886" s="98">
        <f t="shared" si="311"/>
        <v>0</v>
      </c>
      <c r="U7886" s="99" t="str">
        <f>IFERROR(IF(#REF!="S",VLOOKUP('Raw Data'!A7886,References!#REF!,2,FALSE),(VLOOKUP($S7886,References!$B$3:$C$8,2,FALSE))),"")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2"/>
        <v>0</v>
      </c>
      <c r="T7887" s="98">
        <f t="shared" si="311"/>
        <v>0</v>
      </c>
      <c r="U7887" s="99" t="str">
        <f>IFERROR(IF(#REF!="S",VLOOKUP('Raw Data'!A7887,References!#REF!,2,FALSE),(VLOOKUP($S7887,References!$B$3:$C$8,2,FALSE))),"")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2"/>
        <v>0</v>
      </c>
      <c r="T7888" s="98">
        <f t="shared" ref="T7888:T7951" si="313">IF(S7888="50 - Cleaning Fee",1,HOUR($R7888)+MINUTE(R7888)/60)</f>
        <v>0</v>
      </c>
      <c r="U7888" s="99" t="str">
        <f>IFERROR(IF(#REF!="S",VLOOKUP('Raw Data'!A7888,References!#REF!,2,FALSE),(VLOOKUP($S7888,References!$B$3:$C$8,2,FALSE))),"")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2"/>
        <v>0</v>
      </c>
      <c r="T7889" s="98">
        <f t="shared" si="313"/>
        <v>0</v>
      </c>
      <c r="U7889" s="99" t="str">
        <f>IFERROR(IF(#REF!="S",VLOOKUP('Raw Data'!A7889,References!#REF!,2,FALSE),(VLOOKUP($S7889,References!$B$3:$C$8,2,FALSE))),"")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2"/>
        <v>0</v>
      </c>
      <c r="T7890" s="98">
        <f t="shared" si="313"/>
        <v>0</v>
      </c>
      <c r="U7890" s="99" t="str">
        <f>IFERROR(IF(#REF!="S",VLOOKUP('Raw Data'!A7890,References!#REF!,2,FALSE),(VLOOKUP($S7890,References!$B$3:$C$8,2,FALSE))),"")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2"/>
        <v>0</v>
      </c>
      <c r="T7891" s="98">
        <f t="shared" si="313"/>
        <v>0</v>
      </c>
      <c r="U7891" s="99" t="str">
        <f>IFERROR(IF(#REF!="S",VLOOKUP('Raw Data'!A7891,References!#REF!,2,FALSE),(VLOOKUP($S7891,References!$B$3:$C$8,2,FALSE))),"")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2"/>
        <v>0</v>
      </c>
      <c r="T7892" s="98">
        <f t="shared" si="313"/>
        <v>0</v>
      </c>
      <c r="U7892" s="99" t="str">
        <f>IFERROR(IF(#REF!="S",VLOOKUP('Raw Data'!A7892,References!#REF!,2,FALSE),(VLOOKUP($S7892,References!$B$3:$C$8,2,FALSE))),"")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2"/>
        <v>0</v>
      </c>
      <c r="T7893" s="98">
        <f t="shared" si="313"/>
        <v>0</v>
      </c>
      <c r="U7893" s="99" t="str">
        <f>IFERROR(IF(#REF!="S",VLOOKUP('Raw Data'!A7893,References!#REF!,2,FALSE),(VLOOKUP($S7893,References!$B$3:$C$8,2,FALSE))),"")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2"/>
        <v>0</v>
      </c>
      <c r="T7894" s="98">
        <f t="shared" si="313"/>
        <v>0</v>
      </c>
      <c r="U7894" s="99" t="str">
        <f>IFERROR(IF(#REF!="S",VLOOKUP('Raw Data'!A7894,References!#REF!,2,FALSE),(VLOOKUP($S7894,References!$B$3:$C$8,2,FALSE))),"")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2"/>
        <v>0</v>
      </c>
      <c r="T7895" s="98">
        <f t="shared" si="313"/>
        <v>0</v>
      </c>
      <c r="U7895" s="99" t="str">
        <f>IFERROR(IF(#REF!="S",VLOOKUP('Raw Data'!A7895,References!#REF!,2,FALSE),(VLOOKUP($S7895,References!$B$3:$C$8,2,FALSE))),"")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2"/>
        <v>0</v>
      </c>
      <c r="T7896" s="98">
        <f t="shared" si="313"/>
        <v>0</v>
      </c>
      <c r="U7896" s="99" t="str">
        <f>IFERROR(IF(#REF!="S",VLOOKUP('Raw Data'!A7896,References!#REF!,2,FALSE),(VLOOKUP($S7896,References!$B$3:$C$8,2,FALSE))),"")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2"/>
        <v>0</v>
      </c>
      <c r="T7897" s="98">
        <f t="shared" si="313"/>
        <v>0</v>
      </c>
      <c r="U7897" s="99" t="str">
        <f>IFERROR(IF(#REF!="S",VLOOKUP('Raw Data'!A7897,References!#REF!,2,FALSE),(VLOOKUP($S7897,References!$B$3:$C$8,2,FALSE))),"")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2"/>
        <v>0</v>
      </c>
      <c r="T7898" s="98">
        <f t="shared" si="313"/>
        <v>0</v>
      </c>
      <c r="U7898" s="99" t="str">
        <f>IFERROR(IF(#REF!="S",VLOOKUP('Raw Data'!A7898,References!#REF!,2,FALSE),(VLOOKUP($S7898,References!$B$3:$C$8,2,FALSE))),"")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2"/>
        <v>0</v>
      </c>
      <c r="T7899" s="98">
        <f t="shared" si="313"/>
        <v>0</v>
      </c>
      <c r="U7899" s="99" t="str">
        <f>IFERROR(IF(#REF!="S",VLOOKUP('Raw Data'!A7899,References!#REF!,2,FALSE),(VLOOKUP($S7899,References!$B$3:$C$8,2,FALSE))),"")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2"/>
        <v>0</v>
      </c>
      <c r="T7900" s="98">
        <f t="shared" si="313"/>
        <v>0</v>
      </c>
      <c r="U7900" s="99" t="str">
        <f>IFERROR(IF(#REF!="S",VLOOKUP('Raw Data'!A7900,References!#REF!,2,FALSE),(VLOOKUP($S7900,References!$B$3:$C$8,2,FALSE))),"")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2"/>
        <v>0</v>
      </c>
      <c r="T7901" s="98">
        <f t="shared" si="313"/>
        <v>0</v>
      </c>
      <c r="U7901" s="99" t="str">
        <f>IFERROR(IF(#REF!="S",VLOOKUP('Raw Data'!A7901,References!#REF!,2,FALSE),(VLOOKUP($S7901,References!$B$3:$C$8,2,FALSE))),"")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2"/>
        <v>0</v>
      </c>
      <c r="T7902" s="98">
        <f t="shared" si="313"/>
        <v>0</v>
      </c>
      <c r="U7902" s="99" t="str">
        <f>IFERROR(IF(#REF!="S",VLOOKUP('Raw Data'!A7902,References!#REF!,2,FALSE),(VLOOKUP($S7902,References!$B$3:$C$8,2,FALSE))),"")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2"/>
        <v>0</v>
      </c>
      <c r="T7903" s="98">
        <f t="shared" si="313"/>
        <v>0</v>
      </c>
      <c r="U7903" s="99" t="str">
        <f>IFERROR(IF(#REF!="S",VLOOKUP('Raw Data'!A7903,References!#REF!,2,FALSE),(VLOOKUP($S7903,References!$B$3:$C$8,2,FALSE))),"")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2"/>
        <v>0</v>
      </c>
      <c r="T7904" s="98">
        <f t="shared" si="313"/>
        <v>0</v>
      </c>
      <c r="U7904" s="99" t="str">
        <f>IFERROR(IF(#REF!="S",VLOOKUP('Raw Data'!A7904,References!#REF!,2,FALSE),(VLOOKUP($S7904,References!$B$3:$C$8,2,FALSE))),"")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2"/>
        <v>0</v>
      </c>
      <c r="T7905" s="98">
        <f t="shared" si="313"/>
        <v>0</v>
      </c>
      <c r="U7905" s="99" t="str">
        <f>IFERROR(IF(#REF!="S",VLOOKUP('Raw Data'!A7905,References!#REF!,2,FALSE),(VLOOKUP($S7905,References!$B$3:$C$8,2,FALSE))),"")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2"/>
        <v>0</v>
      </c>
      <c r="T7906" s="98">
        <f t="shared" si="313"/>
        <v>0</v>
      </c>
      <c r="U7906" s="99" t="str">
        <f>IFERROR(IF(#REF!="S",VLOOKUP('Raw Data'!A7906,References!#REF!,2,FALSE),(VLOOKUP($S7906,References!$B$3:$C$8,2,FALSE))),"")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2"/>
        <v>0</v>
      </c>
      <c r="T7907" s="98">
        <f t="shared" si="313"/>
        <v>0</v>
      </c>
      <c r="U7907" s="99" t="str">
        <f>IFERROR(IF(#REF!="S",VLOOKUP('Raw Data'!A7907,References!#REF!,2,FALSE),(VLOOKUP($S7907,References!$B$3:$C$8,2,FALSE))),"")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2"/>
        <v>0</v>
      </c>
      <c r="T7908" s="98">
        <f t="shared" si="313"/>
        <v>0</v>
      </c>
      <c r="U7908" s="99" t="str">
        <f>IFERROR(IF(#REF!="S",VLOOKUP('Raw Data'!A7908,References!#REF!,2,FALSE),(VLOOKUP($S7908,References!$B$3:$C$8,2,FALSE))),"")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2"/>
        <v>0</v>
      </c>
      <c r="T7909" s="98">
        <f t="shared" si="313"/>
        <v>0</v>
      </c>
      <c r="U7909" s="99" t="str">
        <f>IFERROR(IF(#REF!="S",VLOOKUP('Raw Data'!A7909,References!#REF!,2,FALSE),(VLOOKUP($S7909,References!$B$3:$C$8,2,FALSE))),"")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2"/>
        <v>0</v>
      </c>
      <c r="T7910" s="98">
        <f t="shared" si="313"/>
        <v>0</v>
      </c>
      <c r="U7910" s="99" t="str">
        <f>IFERROR(IF(#REF!="S",VLOOKUP('Raw Data'!A7910,References!#REF!,2,FALSE),(VLOOKUP($S7910,References!$B$3:$C$8,2,FALSE))),"")</f>
        <v/>
      </c>
      <c r="W7910" s="66" t="str">
        <f>IFERROR(VLOOKUP($O7910,'Customer List'!$A$1:$J$488,10,FALSE),"")</f>
        <v/>
      </c>
    </row>
    <row r="7911" spans="18:23">
      <c r="R7911" s="97">
        <f t="shared" si="312"/>
        <v>0</v>
      </c>
      <c r="T7911" s="98">
        <f t="shared" si="313"/>
        <v>0</v>
      </c>
      <c r="U7911" s="99" t="str">
        <f>IFERROR(IF(#REF!="S",VLOOKUP('Raw Data'!A7911,References!#REF!,2,FALSE),(VLOOKUP($S7911,References!$B$3:$C$8,2,FALSE))),"")</f>
        <v/>
      </c>
      <c r="W7911" s="66" t="str">
        <f>IFERROR(VLOOKUP($O7911,'Customer List'!$A$1:$J$488,10,FALSE),"")</f>
        <v/>
      </c>
    </row>
    <row r="7912" spans="18:23">
      <c r="R7912" s="97">
        <f t="shared" ref="R7912:R7975" si="314">L7912-K7912</f>
        <v>0</v>
      </c>
      <c r="T7912" s="98">
        <f t="shared" si="313"/>
        <v>0</v>
      </c>
      <c r="U7912" s="99" t="str">
        <f>IFERROR(IF(#REF!="S",VLOOKUP('Raw Data'!A7912,References!#REF!,2,FALSE),(VLOOKUP($S7912,References!$B$3:$C$8,2,FALSE))),"")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4"/>
        <v>0</v>
      </c>
      <c r="T7913" s="98">
        <f t="shared" si="313"/>
        <v>0</v>
      </c>
      <c r="U7913" s="99" t="str">
        <f>IFERROR(IF(#REF!="S",VLOOKUP('Raw Data'!A7913,References!#REF!,2,FALSE),(VLOOKUP($S7913,References!$B$3:$C$8,2,FALSE))),"")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4"/>
        <v>0</v>
      </c>
      <c r="T7914" s="98">
        <f t="shared" si="313"/>
        <v>0</v>
      </c>
      <c r="U7914" s="99" t="str">
        <f>IFERROR(IF(#REF!="S",VLOOKUP('Raw Data'!A7914,References!#REF!,2,FALSE),(VLOOKUP($S7914,References!$B$3:$C$8,2,FALSE))),"")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4"/>
        <v>0</v>
      </c>
      <c r="T7915" s="98">
        <f t="shared" si="313"/>
        <v>0</v>
      </c>
      <c r="U7915" s="99" t="str">
        <f>IFERROR(IF(#REF!="S",VLOOKUP('Raw Data'!A7915,References!#REF!,2,FALSE),(VLOOKUP($S7915,References!$B$3:$C$8,2,FALSE))),"")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4"/>
        <v>0</v>
      </c>
      <c r="T7916" s="98">
        <f t="shared" si="313"/>
        <v>0</v>
      </c>
      <c r="U7916" s="99" t="str">
        <f>IFERROR(IF(#REF!="S",VLOOKUP('Raw Data'!A7916,References!#REF!,2,FALSE),(VLOOKUP($S7916,References!$B$3:$C$8,2,FALSE))),"")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4"/>
        <v>0</v>
      </c>
      <c r="T7917" s="98">
        <f t="shared" si="313"/>
        <v>0</v>
      </c>
      <c r="U7917" s="99" t="str">
        <f>IFERROR(IF(#REF!="S",VLOOKUP('Raw Data'!A7917,References!#REF!,2,FALSE),(VLOOKUP($S7917,References!$B$3:$C$8,2,FALSE))),"")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4"/>
        <v>0</v>
      </c>
      <c r="T7918" s="98">
        <f t="shared" si="313"/>
        <v>0</v>
      </c>
      <c r="U7918" s="99" t="str">
        <f>IFERROR(IF(#REF!="S",VLOOKUP('Raw Data'!A7918,References!#REF!,2,FALSE),(VLOOKUP($S7918,References!$B$3:$C$8,2,FALSE))),"")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4"/>
        <v>0</v>
      </c>
      <c r="T7919" s="98">
        <f t="shared" si="313"/>
        <v>0</v>
      </c>
      <c r="U7919" s="99" t="str">
        <f>IFERROR(IF(#REF!="S",VLOOKUP('Raw Data'!A7919,References!#REF!,2,FALSE),(VLOOKUP($S7919,References!$B$3:$C$8,2,FALSE))),"")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4"/>
        <v>0</v>
      </c>
      <c r="T7920" s="98">
        <f t="shared" si="313"/>
        <v>0</v>
      </c>
      <c r="U7920" s="99" t="str">
        <f>IFERROR(IF(#REF!="S",VLOOKUP('Raw Data'!A7920,References!#REF!,2,FALSE),(VLOOKUP($S7920,References!$B$3:$C$8,2,FALSE))),"")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4"/>
        <v>0</v>
      </c>
      <c r="T7921" s="98">
        <f t="shared" si="313"/>
        <v>0</v>
      </c>
      <c r="U7921" s="99" t="str">
        <f>IFERROR(IF(#REF!="S",VLOOKUP('Raw Data'!A7921,References!#REF!,2,FALSE),(VLOOKUP($S7921,References!$B$3:$C$8,2,FALSE))),"")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4"/>
        <v>0</v>
      </c>
      <c r="T7922" s="98">
        <f t="shared" si="313"/>
        <v>0</v>
      </c>
      <c r="U7922" s="99" t="str">
        <f>IFERROR(IF(#REF!="S",VLOOKUP('Raw Data'!A7922,References!#REF!,2,FALSE),(VLOOKUP($S7922,References!$B$3:$C$8,2,FALSE))),"")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4"/>
        <v>0</v>
      </c>
      <c r="T7923" s="98">
        <f t="shared" si="313"/>
        <v>0</v>
      </c>
      <c r="U7923" s="99" t="str">
        <f>IFERROR(IF(#REF!="S",VLOOKUP('Raw Data'!A7923,References!#REF!,2,FALSE),(VLOOKUP($S7923,References!$B$3:$C$8,2,FALSE))),"")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4"/>
        <v>0</v>
      </c>
      <c r="T7924" s="98">
        <f t="shared" si="313"/>
        <v>0</v>
      </c>
      <c r="U7924" s="99" t="str">
        <f>IFERROR(IF(#REF!="S",VLOOKUP('Raw Data'!A7924,References!#REF!,2,FALSE),(VLOOKUP($S7924,References!$B$3:$C$8,2,FALSE))),"")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4"/>
        <v>0</v>
      </c>
      <c r="T7925" s="98">
        <f t="shared" si="313"/>
        <v>0</v>
      </c>
      <c r="U7925" s="99" t="str">
        <f>IFERROR(IF(#REF!="S",VLOOKUP('Raw Data'!A7925,References!#REF!,2,FALSE),(VLOOKUP($S7925,References!$B$3:$C$8,2,FALSE))),"")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4"/>
        <v>0</v>
      </c>
      <c r="T7926" s="98">
        <f t="shared" si="313"/>
        <v>0</v>
      </c>
      <c r="U7926" s="99" t="str">
        <f>IFERROR(IF(#REF!="S",VLOOKUP('Raw Data'!A7926,References!#REF!,2,FALSE),(VLOOKUP($S7926,References!$B$3:$C$8,2,FALSE))),"")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4"/>
        <v>0</v>
      </c>
      <c r="T7927" s="98">
        <f t="shared" si="313"/>
        <v>0</v>
      </c>
      <c r="U7927" s="99" t="str">
        <f>IFERROR(IF(#REF!="S",VLOOKUP('Raw Data'!A7927,References!#REF!,2,FALSE),(VLOOKUP($S7927,References!$B$3:$C$8,2,FALSE))),"")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4"/>
        <v>0</v>
      </c>
      <c r="T7928" s="98">
        <f t="shared" si="313"/>
        <v>0</v>
      </c>
      <c r="U7928" s="99" t="str">
        <f>IFERROR(IF(#REF!="S",VLOOKUP('Raw Data'!A7928,References!#REF!,2,FALSE),(VLOOKUP($S7928,References!$B$3:$C$8,2,FALSE))),"")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4"/>
        <v>0</v>
      </c>
      <c r="T7929" s="98">
        <f t="shared" si="313"/>
        <v>0</v>
      </c>
      <c r="U7929" s="99" t="str">
        <f>IFERROR(IF(#REF!="S",VLOOKUP('Raw Data'!A7929,References!#REF!,2,FALSE),(VLOOKUP($S7929,References!$B$3:$C$8,2,FALSE))),"")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4"/>
        <v>0</v>
      </c>
      <c r="T7930" s="98">
        <f t="shared" si="313"/>
        <v>0</v>
      </c>
      <c r="U7930" s="99" t="str">
        <f>IFERROR(IF(#REF!="S",VLOOKUP('Raw Data'!A7930,References!#REF!,2,FALSE),(VLOOKUP($S7930,References!$B$3:$C$8,2,FALSE))),"")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4"/>
        <v>0</v>
      </c>
      <c r="T7931" s="98">
        <f t="shared" si="313"/>
        <v>0</v>
      </c>
      <c r="U7931" s="99" t="str">
        <f>IFERROR(IF(#REF!="S",VLOOKUP('Raw Data'!A7931,References!#REF!,2,FALSE),(VLOOKUP($S7931,References!$B$3:$C$8,2,FALSE))),"")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4"/>
        <v>0</v>
      </c>
      <c r="T7932" s="98">
        <f t="shared" si="313"/>
        <v>0</v>
      </c>
      <c r="U7932" s="99" t="str">
        <f>IFERROR(IF(#REF!="S",VLOOKUP('Raw Data'!A7932,References!#REF!,2,FALSE),(VLOOKUP($S7932,References!$B$3:$C$8,2,FALSE))),"")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4"/>
        <v>0</v>
      </c>
      <c r="T7933" s="98">
        <f t="shared" si="313"/>
        <v>0</v>
      </c>
      <c r="U7933" s="99" t="str">
        <f>IFERROR(IF(#REF!="S",VLOOKUP('Raw Data'!A7933,References!#REF!,2,FALSE),(VLOOKUP($S7933,References!$B$3:$C$8,2,FALSE))),"")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4"/>
        <v>0</v>
      </c>
      <c r="T7934" s="98">
        <f t="shared" si="313"/>
        <v>0</v>
      </c>
      <c r="U7934" s="99" t="str">
        <f>IFERROR(IF(#REF!="S",VLOOKUP('Raw Data'!A7934,References!#REF!,2,FALSE),(VLOOKUP($S7934,References!$B$3:$C$8,2,FALSE))),"")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4"/>
        <v>0</v>
      </c>
      <c r="T7935" s="98">
        <f t="shared" si="313"/>
        <v>0</v>
      </c>
      <c r="U7935" s="99" t="str">
        <f>IFERROR(IF(#REF!="S",VLOOKUP('Raw Data'!A7935,References!#REF!,2,FALSE),(VLOOKUP($S7935,References!$B$3:$C$8,2,FALSE))),"")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4"/>
        <v>0</v>
      </c>
      <c r="T7936" s="98">
        <f t="shared" si="313"/>
        <v>0</v>
      </c>
      <c r="U7936" s="99" t="str">
        <f>IFERROR(IF(#REF!="S",VLOOKUP('Raw Data'!A7936,References!#REF!,2,FALSE),(VLOOKUP($S7936,References!$B$3:$C$8,2,FALSE))),"")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4"/>
        <v>0</v>
      </c>
      <c r="T7937" s="98">
        <f t="shared" si="313"/>
        <v>0</v>
      </c>
      <c r="U7937" s="99" t="str">
        <f>IFERROR(IF(#REF!="S",VLOOKUP('Raw Data'!A7937,References!#REF!,2,FALSE),(VLOOKUP($S7937,References!$B$3:$C$8,2,FALSE))),"")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4"/>
        <v>0</v>
      </c>
      <c r="T7938" s="98">
        <f t="shared" si="313"/>
        <v>0</v>
      </c>
      <c r="U7938" s="99" t="str">
        <f>IFERROR(IF(#REF!="S",VLOOKUP('Raw Data'!A7938,References!#REF!,2,FALSE),(VLOOKUP($S7938,References!$B$3:$C$8,2,FALSE))),"")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4"/>
        <v>0</v>
      </c>
      <c r="T7939" s="98">
        <f t="shared" si="313"/>
        <v>0</v>
      </c>
      <c r="U7939" s="99" t="str">
        <f>IFERROR(IF(#REF!="S",VLOOKUP('Raw Data'!A7939,References!#REF!,2,FALSE),(VLOOKUP($S7939,References!$B$3:$C$8,2,FALSE))),"")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4"/>
        <v>0</v>
      </c>
      <c r="T7940" s="98">
        <f t="shared" si="313"/>
        <v>0</v>
      </c>
      <c r="U7940" s="99" t="str">
        <f>IFERROR(IF(#REF!="S",VLOOKUP('Raw Data'!A7940,References!#REF!,2,FALSE),(VLOOKUP($S7940,References!$B$3:$C$8,2,FALSE))),"")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4"/>
        <v>0</v>
      </c>
      <c r="T7941" s="98">
        <f t="shared" si="313"/>
        <v>0</v>
      </c>
      <c r="U7941" s="99" t="str">
        <f>IFERROR(IF(#REF!="S",VLOOKUP('Raw Data'!A7941,References!#REF!,2,FALSE),(VLOOKUP($S7941,References!$B$3:$C$8,2,FALSE))),"")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4"/>
        <v>0</v>
      </c>
      <c r="T7942" s="98">
        <f t="shared" si="313"/>
        <v>0</v>
      </c>
      <c r="U7942" s="99" t="str">
        <f>IFERROR(IF(#REF!="S",VLOOKUP('Raw Data'!A7942,References!#REF!,2,FALSE),(VLOOKUP($S7942,References!$B$3:$C$8,2,FALSE))),"")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4"/>
        <v>0</v>
      </c>
      <c r="T7943" s="98">
        <f t="shared" si="313"/>
        <v>0</v>
      </c>
      <c r="U7943" s="99" t="str">
        <f>IFERROR(IF(#REF!="S",VLOOKUP('Raw Data'!A7943,References!#REF!,2,FALSE),(VLOOKUP($S7943,References!$B$3:$C$8,2,FALSE))),"")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4"/>
        <v>0</v>
      </c>
      <c r="T7944" s="98">
        <f t="shared" si="313"/>
        <v>0</v>
      </c>
      <c r="U7944" s="99" t="str">
        <f>IFERROR(IF(#REF!="S",VLOOKUP('Raw Data'!A7944,References!#REF!,2,FALSE),(VLOOKUP($S7944,References!$B$3:$C$8,2,FALSE))),"")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4"/>
        <v>0</v>
      </c>
      <c r="T7945" s="98">
        <f t="shared" si="313"/>
        <v>0</v>
      </c>
      <c r="U7945" s="99" t="str">
        <f>IFERROR(IF(#REF!="S",VLOOKUP('Raw Data'!A7945,References!#REF!,2,FALSE),(VLOOKUP($S7945,References!$B$3:$C$8,2,FALSE))),"")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4"/>
        <v>0</v>
      </c>
      <c r="T7946" s="98">
        <f t="shared" si="313"/>
        <v>0</v>
      </c>
      <c r="U7946" s="99" t="str">
        <f>IFERROR(IF(#REF!="S",VLOOKUP('Raw Data'!A7946,References!#REF!,2,FALSE),(VLOOKUP($S7946,References!$B$3:$C$8,2,FALSE))),"")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4"/>
        <v>0</v>
      </c>
      <c r="T7947" s="98">
        <f t="shared" si="313"/>
        <v>0</v>
      </c>
      <c r="U7947" s="99" t="str">
        <f>IFERROR(IF(#REF!="S",VLOOKUP('Raw Data'!A7947,References!#REF!,2,FALSE),(VLOOKUP($S7947,References!$B$3:$C$8,2,FALSE))),"")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4"/>
        <v>0</v>
      </c>
      <c r="T7948" s="98">
        <f t="shared" si="313"/>
        <v>0</v>
      </c>
      <c r="U7948" s="99" t="str">
        <f>IFERROR(IF(#REF!="S",VLOOKUP('Raw Data'!A7948,References!#REF!,2,FALSE),(VLOOKUP($S7948,References!$B$3:$C$8,2,FALSE))),"")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4"/>
        <v>0</v>
      </c>
      <c r="T7949" s="98">
        <f t="shared" si="313"/>
        <v>0</v>
      </c>
      <c r="U7949" s="99" t="str">
        <f>IFERROR(IF(#REF!="S",VLOOKUP('Raw Data'!A7949,References!#REF!,2,FALSE),(VLOOKUP($S7949,References!$B$3:$C$8,2,FALSE))),"")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4"/>
        <v>0</v>
      </c>
      <c r="T7950" s="98">
        <f t="shared" si="313"/>
        <v>0</v>
      </c>
      <c r="U7950" s="99" t="str">
        <f>IFERROR(IF(#REF!="S",VLOOKUP('Raw Data'!A7950,References!#REF!,2,FALSE),(VLOOKUP($S7950,References!$B$3:$C$8,2,FALSE))),"")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4"/>
        <v>0</v>
      </c>
      <c r="T7951" s="98">
        <f t="shared" si="313"/>
        <v>0</v>
      </c>
      <c r="U7951" s="99" t="str">
        <f>IFERROR(IF(#REF!="S",VLOOKUP('Raw Data'!A7951,References!#REF!,2,FALSE),(VLOOKUP($S7951,References!$B$3:$C$8,2,FALSE))),"")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4"/>
        <v>0</v>
      </c>
      <c r="T7952" s="98">
        <f t="shared" ref="T7952:T8015" si="315">IF(S7952="50 - Cleaning Fee",1,HOUR($R7952)+MINUTE(R7952)/60)</f>
        <v>0</v>
      </c>
      <c r="U7952" s="99" t="str">
        <f>IFERROR(IF(#REF!="S",VLOOKUP('Raw Data'!A7952,References!#REF!,2,FALSE),(VLOOKUP($S7952,References!$B$3:$C$8,2,FALSE))),"")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4"/>
        <v>0</v>
      </c>
      <c r="T7953" s="98">
        <f t="shared" si="315"/>
        <v>0</v>
      </c>
      <c r="U7953" s="99" t="str">
        <f>IFERROR(IF(#REF!="S",VLOOKUP('Raw Data'!A7953,References!#REF!,2,FALSE),(VLOOKUP($S7953,References!$B$3:$C$8,2,FALSE))),"")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4"/>
        <v>0</v>
      </c>
      <c r="T7954" s="98">
        <f t="shared" si="315"/>
        <v>0</v>
      </c>
      <c r="U7954" s="99" t="str">
        <f>IFERROR(IF(#REF!="S",VLOOKUP('Raw Data'!A7954,References!#REF!,2,FALSE),(VLOOKUP($S7954,References!$B$3:$C$8,2,FALSE))),"")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4"/>
        <v>0</v>
      </c>
      <c r="T7955" s="98">
        <f t="shared" si="315"/>
        <v>0</v>
      </c>
      <c r="U7955" s="99" t="str">
        <f>IFERROR(IF(#REF!="S",VLOOKUP('Raw Data'!A7955,References!#REF!,2,FALSE),(VLOOKUP($S7955,References!$B$3:$C$8,2,FALSE))),"")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4"/>
        <v>0</v>
      </c>
      <c r="T7956" s="98">
        <f t="shared" si="315"/>
        <v>0</v>
      </c>
      <c r="U7956" s="99" t="str">
        <f>IFERROR(IF(#REF!="S",VLOOKUP('Raw Data'!A7956,References!#REF!,2,FALSE),(VLOOKUP($S7956,References!$B$3:$C$8,2,FALSE))),"")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4"/>
        <v>0</v>
      </c>
      <c r="T7957" s="98">
        <f t="shared" si="315"/>
        <v>0</v>
      </c>
      <c r="U7957" s="99" t="str">
        <f>IFERROR(IF(#REF!="S",VLOOKUP('Raw Data'!A7957,References!#REF!,2,FALSE),(VLOOKUP($S7957,References!$B$3:$C$8,2,FALSE))),"")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4"/>
        <v>0</v>
      </c>
      <c r="T7958" s="98">
        <f t="shared" si="315"/>
        <v>0</v>
      </c>
      <c r="U7958" s="99" t="str">
        <f>IFERROR(IF(#REF!="S",VLOOKUP('Raw Data'!A7958,References!#REF!,2,FALSE),(VLOOKUP($S7958,References!$B$3:$C$8,2,FALSE))),"")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4"/>
        <v>0</v>
      </c>
      <c r="T7959" s="98">
        <f t="shared" si="315"/>
        <v>0</v>
      </c>
      <c r="U7959" s="99" t="str">
        <f>IFERROR(IF(#REF!="S",VLOOKUP('Raw Data'!A7959,References!#REF!,2,FALSE),(VLOOKUP($S7959,References!$B$3:$C$8,2,FALSE))),"")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4"/>
        <v>0</v>
      </c>
      <c r="T7960" s="98">
        <f t="shared" si="315"/>
        <v>0</v>
      </c>
      <c r="U7960" s="99" t="str">
        <f>IFERROR(IF(#REF!="S",VLOOKUP('Raw Data'!A7960,References!#REF!,2,FALSE),(VLOOKUP($S7960,References!$B$3:$C$8,2,FALSE))),"")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4"/>
        <v>0</v>
      </c>
      <c r="T7961" s="98">
        <f t="shared" si="315"/>
        <v>0</v>
      </c>
      <c r="U7961" s="99" t="str">
        <f>IFERROR(IF(#REF!="S",VLOOKUP('Raw Data'!A7961,References!#REF!,2,FALSE),(VLOOKUP($S7961,References!$B$3:$C$8,2,FALSE))),"")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4"/>
        <v>0</v>
      </c>
      <c r="T7962" s="98">
        <f t="shared" si="315"/>
        <v>0</v>
      </c>
      <c r="U7962" s="99" t="str">
        <f>IFERROR(IF(#REF!="S",VLOOKUP('Raw Data'!A7962,References!#REF!,2,FALSE),(VLOOKUP($S7962,References!$B$3:$C$8,2,FALSE))),"")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4"/>
        <v>0</v>
      </c>
      <c r="T7963" s="98">
        <f t="shared" si="315"/>
        <v>0</v>
      </c>
      <c r="U7963" s="99" t="str">
        <f>IFERROR(IF(#REF!="S",VLOOKUP('Raw Data'!A7963,References!#REF!,2,FALSE),(VLOOKUP($S7963,References!$B$3:$C$8,2,FALSE))),"")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4"/>
        <v>0</v>
      </c>
      <c r="T7964" s="98">
        <f t="shared" si="315"/>
        <v>0</v>
      </c>
      <c r="U7964" s="99" t="str">
        <f>IFERROR(IF(#REF!="S",VLOOKUP('Raw Data'!A7964,References!#REF!,2,FALSE),(VLOOKUP($S7964,References!$B$3:$C$8,2,FALSE))),"")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4"/>
        <v>0</v>
      </c>
      <c r="T7965" s="98">
        <f t="shared" si="315"/>
        <v>0</v>
      </c>
      <c r="U7965" s="99" t="str">
        <f>IFERROR(IF(#REF!="S",VLOOKUP('Raw Data'!A7965,References!#REF!,2,FALSE),(VLOOKUP($S7965,References!$B$3:$C$8,2,FALSE))),"")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4"/>
        <v>0</v>
      </c>
      <c r="T7966" s="98">
        <f t="shared" si="315"/>
        <v>0</v>
      </c>
      <c r="U7966" s="99" t="str">
        <f>IFERROR(IF(#REF!="S",VLOOKUP('Raw Data'!A7966,References!#REF!,2,FALSE),(VLOOKUP($S7966,References!$B$3:$C$8,2,FALSE))),"")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4"/>
        <v>0</v>
      </c>
      <c r="T7967" s="98">
        <f t="shared" si="315"/>
        <v>0</v>
      </c>
      <c r="U7967" s="99" t="str">
        <f>IFERROR(IF(#REF!="S",VLOOKUP('Raw Data'!A7967,References!#REF!,2,FALSE),(VLOOKUP($S7967,References!$B$3:$C$8,2,FALSE))),"")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4"/>
        <v>0</v>
      </c>
      <c r="T7968" s="98">
        <f t="shared" si="315"/>
        <v>0</v>
      </c>
      <c r="U7968" s="99" t="str">
        <f>IFERROR(IF(#REF!="S",VLOOKUP('Raw Data'!A7968,References!#REF!,2,FALSE),(VLOOKUP($S7968,References!$B$3:$C$8,2,FALSE))),"")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4"/>
        <v>0</v>
      </c>
      <c r="T7969" s="98">
        <f t="shared" si="315"/>
        <v>0</v>
      </c>
      <c r="U7969" s="99" t="str">
        <f>IFERROR(IF(#REF!="S",VLOOKUP('Raw Data'!A7969,References!#REF!,2,FALSE),(VLOOKUP($S7969,References!$B$3:$C$8,2,FALSE))),"")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4"/>
        <v>0</v>
      </c>
      <c r="T7970" s="98">
        <f t="shared" si="315"/>
        <v>0</v>
      </c>
      <c r="U7970" s="99" t="str">
        <f>IFERROR(IF(#REF!="S",VLOOKUP('Raw Data'!A7970,References!#REF!,2,FALSE),(VLOOKUP($S7970,References!$B$3:$C$8,2,FALSE))),"")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4"/>
        <v>0</v>
      </c>
      <c r="T7971" s="98">
        <f t="shared" si="315"/>
        <v>0</v>
      </c>
      <c r="U7971" s="99" t="str">
        <f>IFERROR(IF(#REF!="S",VLOOKUP('Raw Data'!A7971,References!#REF!,2,FALSE),(VLOOKUP($S7971,References!$B$3:$C$8,2,FALSE))),"")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4"/>
        <v>0</v>
      </c>
      <c r="T7972" s="98">
        <f t="shared" si="315"/>
        <v>0</v>
      </c>
      <c r="U7972" s="99" t="str">
        <f>IFERROR(IF(#REF!="S",VLOOKUP('Raw Data'!A7972,References!#REF!,2,FALSE),(VLOOKUP($S7972,References!$B$3:$C$8,2,FALSE))),"")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4"/>
        <v>0</v>
      </c>
      <c r="T7973" s="98">
        <f t="shared" si="315"/>
        <v>0</v>
      </c>
      <c r="U7973" s="99" t="str">
        <f>IFERROR(IF(#REF!="S",VLOOKUP('Raw Data'!A7973,References!#REF!,2,FALSE),(VLOOKUP($S7973,References!$B$3:$C$8,2,FALSE))),"")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4"/>
        <v>0</v>
      </c>
      <c r="T7974" s="98">
        <f t="shared" si="315"/>
        <v>0</v>
      </c>
      <c r="U7974" s="99" t="str">
        <f>IFERROR(IF(#REF!="S",VLOOKUP('Raw Data'!A7974,References!#REF!,2,FALSE),(VLOOKUP($S7974,References!$B$3:$C$8,2,FALSE))),"")</f>
        <v/>
      </c>
      <c r="W7974" s="66" t="str">
        <f>IFERROR(VLOOKUP($O7974,'Customer List'!$A$1:$J$488,10,FALSE),"")</f>
        <v/>
      </c>
    </row>
    <row r="7975" spans="18:23">
      <c r="R7975" s="97">
        <f t="shared" si="314"/>
        <v>0</v>
      </c>
      <c r="T7975" s="98">
        <f t="shared" si="315"/>
        <v>0</v>
      </c>
      <c r="U7975" s="99" t="str">
        <f>IFERROR(IF(#REF!="S",VLOOKUP('Raw Data'!A7975,References!#REF!,2,FALSE),(VLOOKUP($S7975,References!$B$3:$C$8,2,FALSE))),"")</f>
        <v/>
      </c>
      <c r="W7975" s="66" t="str">
        <f>IFERROR(VLOOKUP($O7975,'Customer List'!$A$1:$J$488,10,FALSE),"")</f>
        <v/>
      </c>
    </row>
    <row r="7976" spans="18:23">
      <c r="R7976" s="97">
        <f t="shared" ref="R7976:R8039" si="316">L7976-K7976</f>
        <v>0</v>
      </c>
      <c r="T7976" s="98">
        <f t="shared" si="315"/>
        <v>0</v>
      </c>
      <c r="U7976" s="99" t="str">
        <f>IFERROR(IF(#REF!="S",VLOOKUP('Raw Data'!A7976,References!#REF!,2,FALSE),(VLOOKUP($S7976,References!$B$3:$C$8,2,FALSE))),"")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6"/>
        <v>0</v>
      </c>
      <c r="T7977" s="98">
        <f t="shared" si="315"/>
        <v>0</v>
      </c>
      <c r="U7977" s="99" t="str">
        <f>IFERROR(IF(#REF!="S",VLOOKUP('Raw Data'!A7977,References!#REF!,2,FALSE),(VLOOKUP($S7977,References!$B$3:$C$8,2,FALSE))),"")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6"/>
        <v>0</v>
      </c>
      <c r="T7978" s="98">
        <f t="shared" si="315"/>
        <v>0</v>
      </c>
      <c r="U7978" s="99" t="str">
        <f>IFERROR(IF(#REF!="S",VLOOKUP('Raw Data'!A7978,References!#REF!,2,FALSE),(VLOOKUP($S7978,References!$B$3:$C$8,2,FALSE))),"")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6"/>
        <v>0</v>
      </c>
      <c r="T7979" s="98">
        <f t="shared" si="315"/>
        <v>0</v>
      </c>
      <c r="U7979" s="99" t="str">
        <f>IFERROR(IF(#REF!="S",VLOOKUP('Raw Data'!A7979,References!#REF!,2,FALSE),(VLOOKUP($S7979,References!$B$3:$C$8,2,FALSE))),"")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6"/>
        <v>0</v>
      </c>
      <c r="T7980" s="98">
        <f t="shared" si="315"/>
        <v>0</v>
      </c>
      <c r="U7980" s="99" t="str">
        <f>IFERROR(IF(#REF!="S",VLOOKUP('Raw Data'!A7980,References!#REF!,2,FALSE),(VLOOKUP($S7980,References!$B$3:$C$8,2,FALSE))),"")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6"/>
        <v>0</v>
      </c>
      <c r="T7981" s="98">
        <f t="shared" si="315"/>
        <v>0</v>
      </c>
      <c r="U7981" s="99" t="str">
        <f>IFERROR(IF(#REF!="S",VLOOKUP('Raw Data'!A7981,References!#REF!,2,FALSE),(VLOOKUP($S7981,References!$B$3:$C$8,2,FALSE))),"")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6"/>
        <v>0</v>
      </c>
      <c r="T7982" s="98">
        <f t="shared" si="315"/>
        <v>0</v>
      </c>
      <c r="U7982" s="99" t="str">
        <f>IFERROR(IF(#REF!="S",VLOOKUP('Raw Data'!A7982,References!#REF!,2,FALSE),(VLOOKUP($S7982,References!$B$3:$C$8,2,FALSE))),"")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6"/>
        <v>0</v>
      </c>
      <c r="T7983" s="98">
        <f t="shared" si="315"/>
        <v>0</v>
      </c>
      <c r="U7983" s="99" t="str">
        <f>IFERROR(IF(#REF!="S",VLOOKUP('Raw Data'!A7983,References!#REF!,2,FALSE),(VLOOKUP($S7983,References!$B$3:$C$8,2,FALSE))),"")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6"/>
        <v>0</v>
      </c>
      <c r="T7984" s="98">
        <f t="shared" si="315"/>
        <v>0</v>
      </c>
      <c r="U7984" s="99" t="str">
        <f>IFERROR(IF(#REF!="S",VLOOKUP('Raw Data'!A7984,References!#REF!,2,FALSE),(VLOOKUP($S7984,References!$B$3:$C$8,2,FALSE))),"")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6"/>
        <v>0</v>
      </c>
      <c r="T7985" s="98">
        <f t="shared" si="315"/>
        <v>0</v>
      </c>
      <c r="U7985" s="99" t="str">
        <f>IFERROR(IF(#REF!="S",VLOOKUP('Raw Data'!A7985,References!#REF!,2,FALSE),(VLOOKUP($S7985,References!$B$3:$C$8,2,FALSE))),"")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6"/>
        <v>0</v>
      </c>
      <c r="T7986" s="98">
        <f t="shared" si="315"/>
        <v>0</v>
      </c>
      <c r="U7986" s="99" t="str">
        <f>IFERROR(IF(#REF!="S",VLOOKUP('Raw Data'!A7986,References!#REF!,2,FALSE),(VLOOKUP($S7986,References!$B$3:$C$8,2,FALSE))),"")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6"/>
        <v>0</v>
      </c>
      <c r="T7987" s="98">
        <f t="shared" si="315"/>
        <v>0</v>
      </c>
      <c r="U7987" s="99" t="str">
        <f>IFERROR(IF(#REF!="S",VLOOKUP('Raw Data'!A7987,References!#REF!,2,FALSE),(VLOOKUP($S7987,References!$B$3:$C$8,2,FALSE))),"")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6"/>
        <v>0</v>
      </c>
      <c r="T7988" s="98">
        <f t="shared" si="315"/>
        <v>0</v>
      </c>
      <c r="U7988" s="99" t="str">
        <f>IFERROR(IF(#REF!="S",VLOOKUP('Raw Data'!A7988,References!#REF!,2,FALSE),(VLOOKUP($S7988,References!$B$3:$C$8,2,FALSE))),"")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6"/>
        <v>0</v>
      </c>
      <c r="T7989" s="98">
        <f t="shared" si="315"/>
        <v>0</v>
      </c>
      <c r="U7989" s="99" t="str">
        <f>IFERROR(IF(#REF!="S",VLOOKUP('Raw Data'!A7989,References!#REF!,2,FALSE),(VLOOKUP($S7989,References!$B$3:$C$8,2,FALSE))),"")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6"/>
        <v>0</v>
      </c>
      <c r="T7990" s="98">
        <f t="shared" si="315"/>
        <v>0</v>
      </c>
      <c r="U7990" s="99" t="str">
        <f>IFERROR(IF(#REF!="S",VLOOKUP('Raw Data'!A7990,References!#REF!,2,FALSE),(VLOOKUP($S7990,References!$B$3:$C$8,2,FALSE))),"")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6"/>
        <v>0</v>
      </c>
      <c r="T7991" s="98">
        <f t="shared" si="315"/>
        <v>0</v>
      </c>
      <c r="U7991" s="99" t="str">
        <f>IFERROR(IF(#REF!="S",VLOOKUP('Raw Data'!A7991,References!#REF!,2,FALSE),(VLOOKUP($S7991,References!$B$3:$C$8,2,FALSE))),"")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6"/>
        <v>0</v>
      </c>
      <c r="T7992" s="98">
        <f t="shared" si="315"/>
        <v>0</v>
      </c>
      <c r="U7992" s="99" t="str">
        <f>IFERROR(IF(#REF!="S",VLOOKUP('Raw Data'!A7992,References!#REF!,2,FALSE),(VLOOKUP($S7992,References!$B$3:$C$8,2,FALSE))),"")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6"/>
        <v>0</v>
      </c>
      <c r="T7993" s="98">
        <f t="shared" si="315"/>
        <v>0</v>
      </c>
      <c r="U7993" s="99" t="str">
        <f>IFERROR(IF(#REF!="S",VLOOKUP('Raw Data'!A7993,References!#REF!,2,FALSE),(VLOOKUP($S7993,References!$B$3:$C$8,2,FALSE))),"")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6"/>
        <v>0</v>
      </c>
      <c r="T7994" s="98">
        <f t="shared" si="315"/>
        <v>0</v>
      </c>
      <c r="U7994" s="99" t="str">
        <f>IFERROR(IF(#REF!="S",VLOOKUP('Raw Data'!A7994,References!#REF!,2,FALSE),(VLOOKUP($S7994,References!$B$3:$C$8,2,FALSE))),"")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6"/>
        <v>0</v>
      </c>
      <c r="T7995" s="98">
        <f t="shared" si="315"/>
        <v>0</v>
      </c>
      <c r="U7995" s="99" t="str">
        <f>IFERROR(IF(#REF!="S",VLOOKUP('Raw Data'!A7995,References!#REF!,2,FALSE),(VLOOKUP($S7995,References!$B$3:$C$8,2,FALSE))),"")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6"/>
        <v>0</v>
      </c>
      <c r="T7996" s="98">
        <f t="shared" si="315"/>
        <v>0</v>
      </c>
      <c r="U7996" s="99" t="str">
        <f>IFERROR(IF(#REF!="S",VLOOKUP('Raw Data'!A7996,References!#REF!,2,FALSE),(VLOOKUP($S7996,References!$B$3:$C$8,2,FALSE))),"")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6"/>
        <v>0</v>
      </c>
      <c r="T7997" s="98">
        <f t="shared" si="315"/>
        <v>0</v>
      </c>
      <c r="U7997" s="99" t="str">
        <f>IFERROR(IF(#REF!="S",VLOOKUP('Raw Data'!A7997,References!#REF!,2,FALSE),(VLOOKUP($S7997,References!$B$3:$C$8,2,FALSE))),"")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6"/>
        <v>0</v>
      </c>
      <c r="T7998" s="98">
        <f t="shared" si="315"/>
        <v>0</v>
      </c>
      <c r="U7998" s="99" t="str">
        <f>IFERROR(IF(#REF!="S",VLOOKUP('Raw Data'!A7998,References!#REF!,2,FALSE),(VLOOKUP($S7998,References!$B$3:$C$8,2,FALSE))),"")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6"/>
        <v>0</v>
      </c>
      <c r="T7999" s="98">
        <f t="shared" si="315"/>
        <v>0</v>
      </c>
      <c r="U7999" s="99" t="str">
        <f>IFERROR(IF(#REF!="S",VLOOKUP('Raw Data'!A7999,References!#REF!,2,FALSE),(VLOOKUP($S7999,References!$B$3:$C$8,2,FALSE))),"")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6"/>
        <v>0</v>
      </c>
      <c r="T8000" s="98">
        <f t="shared" si="315"/>
        <v>0</v>
      </c>
      <c r="U8000" s="99" t="str">
        <f>IFERROR(IF(#REF!="S",VLOOKUP('Raw Data'!A8000,References!#REF!,2,FALSE),(VLOOKUP($S8000,References!$B$3:$C$8,2,FALSE))),"")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6"/>
        <v>0</v>
      </c>
      <c r="T8001" s="98">
        <f t="shared" si="315"/>
        <v>0</v>
      </c>
      <c r="U8001" s="99" t="str">
        <f>IFERROR(IF(#REF!="S",VLOOKUP('Raw Data'!A8001,References!#REF!,2,FALSE),(VLOOKUP($S8001,References!$B$3:$C$8,2,FALSE))),"")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6"/>
        <v>0</v>
      </c>
      <c r="T8002" s="98">
        <f t="shared" si="315"/>
        <v>0</v>
      </c>
      <c r="U8002" s="99" t="str">
        <f>IFERROR(IF(#REF!="S",VLOOKUP('Raw Data'!A8002,References!#REF!,2,FALSE),(VLOOKUP($S8002,References!$B$3:$C$8,2,FALSE))),"")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6"/>
        <v>0</v>
      </c>
      <c r="T8003" s="98">
        <f t="shared" si="315"/>
        <v>0</v>
      </c>
      <c r="U8003" s="99" t="str">
        <f>IFERROR(IF(#REF!="S",VLOOKUP('Raw Data'!A8003,References!#REF!,2,FALSE),(VLOOKUP($S8003,References!$B$3:$C$8,2,FALSE))),"")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6"/>
        <v>0</v>
      </c>
      <c r="T8004" s="98">
        <f t="shared" si="315"/>
        <v>0</v>
      </c>
      <c r="U8004" s="99" t="str">
        <f>IFERROR(IF(#REF!="S",VLOOKUP('Raw Data'!A8004,References!#REF!,2,FALSE),(VLOOKUP($S8004,References!$B$3:$C$8,2,FALSE))),"")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6"/>
        <v>0</v>
      </c>
      <c r="T8005" s="98">
        <f t="shared" si="315"/>
        <v>0</v>
      </c>
      <c r="U8005" s="99" t="str">
        <f>IFERROR(IF(#REF!="S",VLOOKUP('Raw Data'!A8005,References!#REF!,2,FALSE),(VLOOKUP($S8005,References!$B$3:$C$8,2,FALSE))),"")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6"/>
        <v>0</v>
      </c>
      <c r="T8006" s="98">
        <f t="shared" si="315"/>
        <v>0</v>
      </c>
      <c r="U8006" s="99" t="str">
        <f>IFERROR(IF(#REF!="S",VLOOKUP('Raw Data'!A8006,References!#REF!,2,FALSE),(VLOOKUP($S8006,References!$B$3:$C$8,2,FALSE))),"")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6"/>
        <v>0</v>
      </c>
      <c r="T8007" s="98">
        <f t="shared" si="315"/>
        <v>0</v>
      </c>
      <c r="U8007" s="99" t="str">
        <f>IFERROR(IF(#REF!="S",VLOOKUP('Raw Data'!A8007,References!#REF!,2,FALSE),(VLOOKUP($S8007,References!$B$3:$C$8,2,FALSE))),"")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6"/>
        <v>0</v>
      </c>
      <c r="T8008" s="98">
        <f t="shared" si="315"/>
        <v>0</v>
      </c>
      <c r="U8008" s="99" t="str">
        <f>IFERROR(IF(#REF!="S",VLOOKUP('Raw Data'!A8008,References!#REF!,2,FALSE),(VLOOKUP($S8008,References!$B$3:$C$8,2,FALSE))),"")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6"/>
        <v>0</v>
      </c>
      <c r="T8009" s="98">
        <f t="shared" si="315"/>
        <v>0</v>
      </c>
      <c r="U8009" s="99" t="str">
        <f>IFERROR(IF(#REF!="S",VLOOKUP('Raw Data'!A8009,References!#REF!,2,FALSE),(VLOOKUP($S8009,References!$B$3:$C$8,2,FALSE))),"")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6"/>
        <v>0</v>
      </c>
      <c r="T8010" s="98">
        <f t="shared" si="315"/>
        <v>0</v>
      </c>
      <c r="U8010" s="99" t="str">
        <f>IFERROR(IF(#REF!="S",VLOOKUP('Raw Data'!A8010,References!#REF!,2,FALSE),(VLOOKUP($S8010,References!$B$3:$C$8,2,FALSE))),"")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6"/>
        <v>0</v>
      </c>
      <c r="T8011" s="98">
        <f t="shared" si="315"/>
        <v>0</v>
      </c>
      <c r="U8011" s="99" t="str">
        <f>IFERROR(IF(#REF!="S",VLOOKUP('Raw Data'!A8011,References!#REF!,2,FALSE),(VLOOKUP($S8011,References!$B$3:$C$8,2,FALSE))),"")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6"/>
        <v>0</v>
      </c>
      <c r="T8012" s="98">
        <f t="shared" si="315"/>
        <v>0</v>
      </c>
      <c r="U8012" s="99" t="str">
        <f>IFERROR(IF(#REF!="S",VLOOKUP('Raw Data'!A8012,References!#REF!,2,FALSE),(VLOOKUP($S8012,References!$B$3:$C$8,2,FALSE))),"")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6"/>
        <v>0</v>
      </c>
      <c r="T8013" s="98">
        <f t="shared" si="315"/>
        <v>0</v>
      </c>
      <c r="U8013" s="99" t="str">
        <f>IFERROR(IF(#REF!="S",VLOOKUP('Raw Data'!A8013,References!#REF!,2,FALSE),(VLOOKUP($S8013,References!$B$3:$C$8,2,FALSE))),"")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6"/>
        <v>0</v>
      </c>
      <c r="T8014" s="98">
        <f t="shared" si="315"/>
        <v>0</v>
      </c>
      <c r="U8014" s="99" t="str">
        <f>IFERROR(IF(#REF!="S",VLOOKUP('Raw Data'!A8014,References!#REF!,2,FALSE),(VLOOKUP($S8014,References!$B$3:$C$8,2,FALSE))),"")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6"/>
        <v>0</v>
      </c>
      <c r="T8015" s="98">
        <f t="shared" si="315"/>
        <v>0</v>
      </c>
      <c r="U8015" s="99" t="str">
        <f>IFERROR(IF(#REF!="S",VLOOKUP('Raw Data'!A8015,References!#REF!,2,FALSE),(VLOOKUP($S8015,References!$B$3:$C$8,2,FALSE))),"")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6"/>
        <v>0</v>
      </c>
      <c r="T8016" s="98">
        <f t="shared" ref="T8016:T8079" si="317">IF(S8016="50 - Cleaning Fee",1,HOUR($R8016)+MINUTE(R8016)/60)</f>
        <v>0</v>
      </c>
      <c r="U8016" s="99" t="str">
        <f>IFERROR(IF(#REF!="S",VLOOKUP('Raw Data'!A8016,References!#REF!,2,FALSE),(VLOOKUP($S8016,References!$B$3:$C$8,2,FALSE))),"")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6"/>
        <v>0</v>
      </c>
      <c r="T8017" s="98">
        <f t="shared" si="317"/>
        <v>0</v>
      </c>
      <c r="U8017" s="99" t="str">
        <f>IFERROR(IF(#REF!="S",VLOOKUP('Raw Data'!A8017,References!#REF!,2,FALSE),(VLOOKUP($S8017,References!$B$3:$C$8,2,FALSE))),"")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6"/>
        <v>0</v>
      </c>
      <c r="T8018" s="98">
        <f t="shared" si="317"/>
        <v>0</v>
      </c>
      <c r="U8018" s="99" t="str">
        <f>IFERROR(IF(#REF!="S",VLOOKUP('Raw Data'!A8018,References!#REF!,2,FALSE),(VLOOKUP($S8018,References!$B$3:$C$8,2,FALSE))),"")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6"/>
        <v>0</v>
      </c>
      <c r="T8019" s="98">
        <f t="shared" si="317"/>
        <v>0</v>
      </c>
      <c r="U8019" s="99" t="str">
        <f>IFERROR(IF(#REF!="S",VLOOKUP('Raw Data'!A8019,References!#REF!,2,FALSE),(VLOOKUP($S8019,References!$B$3:$C$8,2,FALSE))),"")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6"/>
        <v>0</v>
      </c>
      <c r="T8020" s="98">
        <f t="shared" si="317"/>
        <v>0</v>
      </c>
      <c r="U8020" s="99" t="str">
        <f>IFERROR(IF(#REF!="S",VLOOKUP('Raw Data'!A8020,References!#REF!,2,FALSE),(VLOOKUP($S8020,References!$B$3:$C$8,2,FALSE))),"")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6"/>
        <v>0</v>
      </c>
      <c r="T8021" s="98">
        <f t="shared" si="317"/>
        <v>0</v>
      </c>
      <c r="U8021" s="99" t="str">
        <f>IFERROR(IF(#REF!="S",VLOOKUP('Raw Data'!A8021,References!#REF!,2,FALSE),(VLOOKUP($S8021,References!$B$3:$C$8,2,FALSE))),"")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6"/>
        <v>0</v>
      </c>
      <c r="T8022" s="98">
        <f t="shared" si="317"/>
        <v>0</v>
      </c>
      <c r="U8022" s="99" t="str">
        <f>IFERROR(IF(#REF!="S",VLOOKUP('Raw Data'!A8022,References!#REF!,2,FALSE),(VLOOKUP($S8022,References!$B$3:$C$8,2,FALSE))),"")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6"/>
        <v>0</v>
      </c>
      <c r="T8023" s="98">
        <f t="shared" si="317"/>
        <v>0</v>
      </c>
      <c r="U8023" s="99" t="str">
        <f>IFERROR(IF(#REF!="S",VLOOKUP('Raw Data'!A8023,References!#REF!,2,FALSE),(VLOOKUP($S8023,References!$B$3:$C$8,2,FALSE))),"")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6"/>
        <v>0</v>
      </c>
      <c r="T8024" s="98">
        <f t="shared" si="317"/>
        <v>0</v>
      </c>
      <c r="U8024" s="99" t="str">
        <f>IFERROR(IF(#REF!="S",VLOOKUP('Raw Data'!A8024,References!#REF!,2,FALSE),(VLOOKUP($S8024,References!$B$3:$C$8,2,FALSE))),"")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6"/>
        <v>0</v>
      </c>
      <c r="T8025" s="98">
        <f t="shared" si="317"/>
        <v>0</v>
      </c>
      <c r="U8025" s="99" t="str">
        <f>IFERROR(IF(#REF!="S",VLOOKUP('Raw Data'!A8025,References!#REF!,2,FALSE),(VLOOKUP($S8025,References!$B$3:$C$8,2,FALSE))),"")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6"/>
        <v>0</v>
      </c>
      <c r="T8026" s="98">
        <f t="shared" si="317"/>
        <v>0</v>
      </c>
      <c r="U8026" s="99" t="str">
        <f>IFERROR(IF(#REF!="S",VLOOKUP('Raw Data'!A8026,References!#REF!,2,FALSE),(VLOOKUP($S8026,References!$B$3:$C$8,2,FALSE))),"")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6"/>
        <v>0</v>
      </c>
      <c r="T8027" s="98">
        <f t="shared" si="317"/>
        <v>0</v>
      </c>
      <c r="U8027" s="99" t="str">
        <f>IFERROR(IF(#REF!="S",VLOOKUP('Raw Data'!A8027,References!#REF!,2,FALSE),(VLOOKUP($S8027,References!$B$3:$C$8,2,FALSE))),"")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6"/>
        <v>0</v>
      </c>
      <c r="T8028" s="98">
        <f t="shared" si="317"/>
        <v>0</v>
      </c>
      <c r="U8028" s="99" t="str">
        <f>IFERROR(IF(#REF!="S",VLOOKUP('Raw Data'!A8028,References!#REF!,2,FALSE),(VLOOKUP($S8028,References!$B$3:$C$8,2,FALSE))),"")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6"/>
        <v>0</v>
      </c>
      <c r="T8029" s="98">
        <f t="shared" si="317"/>
        <v>0</v>
      </c>
      <c r="U8029" s="99" t="str">
        <f>IFERROR(IF(#REF!="S",VLOOKUP('Raw Data'!A8029,References!#REF!,2,FALSE),(VLOOKUP($S8029,References!$B$3:$C$8,2,FALSE))),"")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6"/>
        <v>0</v>
      </c>
      <c r="T8030" s="98">
        <f t="shared" si="317"/>
        <v>0</v>
      </c>
      <c r="U8030" s="99" t="str">
        <f>IFERROR(IF(#REF!="S",VLOOKUP('Raw Data'!A8030,References!#REF!,2,FALSE),(VLOOKUP($S8030,References!$B$3:$C$8,2,FALSE))),"")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6"/>
        <v>0</v>
      </c>
      <c r="T8031" s="98">
        <f t="shared" si="317"/>
        <v>0</v>
      </c>
      <c r="U8031" s="99" t="str">
        <f>IFERROR(IF(#REF!="S",VLOOKUP('Raw Data'!A8031,References!#REF!,2,FALSE),(VLOOKUP($S8031,References!$B$3:$C$8,2,FALSE))),"")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6"/>
        <v>0</v>
      </c>
      <c r="T8032" s="98">
        <f t="shared" si="317"/>
        <v>0</v>
      </c>
      <c r="U8032" s="99" t="str">
        <f>IFERROR(IF(#REF!="S",VLOOKUP('Raw Data'!A8032,References!#REF!,2,FALSE),(VLOOKUP($S8032,References!$B$3:$C$8,2,FALSE))),"")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6"/>
        <v>0</v>
      </c>
      <c r="T8033" s="98">
        <f t="shared" si="317"/>
        <v>0</v>
      </c>
      <c r="U8033" s="99" t="str">
        <f>IFERROR(IF(#REF!="S",VLOOKUP('Raw Data'!A8033,References!#REF!,2,FALSE),(VLOOKUP($S8033,References!$B$3:$C$8,2,FALSE))),"")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6"/>
        <v>0</v>
      </c>
      <c r="T8034" s="98">
        <f t="shared" si="317"/>
        <v>0</v>
      </c>
      <c r="U8034" s="99" t="str">
        <f>IFERROR(IF(#REF!="S",VLOOKUP('Raw Data'!A8034,References!#REF!,2,FALSE),(VLOOKUP($S8034,References!$B$3:$C$8,2,FALSE))),"")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6"/>
        <v>0</v>
      </c>
      <c r="T8035" s="98">
        <f t="shared" si="317"/>
        <v>0</v>
      </c>
      <c r="U8035" s="99" t="str">
        <f>IFERROR(IF(#REF!="S",VLOOKUP('Raw Data'!A8035,References!#REF!,2,FALSE),(VLOOKUP($S8035,References!$B$3:$C$8,2,FALSE))),"")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6"/>
        <v>0</v>
      </c>
      <c r="T8036" s="98">
        <f t="shared" si="317"/>
        <v>0</v>
      </c>
      <c r="U8036" s="99" t="str">
        <f>IFERROR(IF(#REF!="S",VLOOKUP('Raw Data'!A8036,References!#REF!,2,FALSE),(VLOOKUP($S8036,References!$B$3:$C$8,2,FALSE))),"")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6"/>
        <v>0</v>
      </c>
      <c r="T8037" s="98">
        <f t="shared" si="317"/>
        <v>0</v>
      </c>
      <c r="U8037" s="99" t="str">
        <f>IFERROR(IF(#REF!="S",VLOOKUP('Raw Data'!A8037,References!#REF!,2,FALSE),(VLOOKUP($S8037,References!$B$3:$C$8,2,FALSE))),"")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6"/>
        <v>0</v>
      </c>
      <c r="T8038" s="98">
        <f t="shared" si="317"/>
        <v>0</v>
      </c>
      <c r="U8038" s="99" t="str">
        <f>IFERROR(IF(#REF!="S",VLOOKUP('Raw Data'!A8038,References!#REF!,2,FALSE),(VLOOKUP($S8038,References!$B$3:$C$8,2,FALSE))),"")</f>
        <v/>
      </c>
      <c r="W8038" s="66" t="str">
        <f>IFERROR(VLOOKUP($O8038,'Customer List'!$A$1:$J$488,10,FALSE),"")</f>
        <v/>
      </c>
    </row>
    <row r="8039" spans="18:23">
      <c r="R8039" s="97">
        <f t="shared" si="316"/>
        <v>0</v>
      </c>
      <c r="T8039" s="98">
        <f t="shared" si="317"/>
        <v>0</v>
      </c>
      <c r="U8039" s="99" t="str">
        <f>IFERROR(IF(#REF!="S",VLOOKUP('Raw Data'!A8039,References!#REF!,2,FALSE),(VLOOKUP($S8039,References!$B$3:$C$8,2,FALSE))),"")</f>
        <v/>
      </c>
      <c r="W8039" s="66" t="str">
        <f>IFERROR(VLOOKUP($O8039,'Customer List'!$A$1:$J$488,10,FALSE),"")</f>
        <v/>
      </c>
    </row>
    <row r="8040" spans="18:23">
      <c r="R8040" s="97">
        <f t="shared" ref="R8040:R8103" si="318">L8040-K8040</f>
        <v>0</v>
      </c>
      <c r="T8040" s="98">
        <f t="shared" si="317"/>
        <v>0</v>
      </c>
      <c r="U8040" s="99" t="str">
        <f>IFERROR(IF(#REF!="S",VLOOKUP('Raw Data'!A8040,References!#REF!,2,FALSE),(VLOOKUP($S8040,References!$B$3:$C$8,2,FALSE))),"")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18"/>
        <v>0</v>
      </c>
      <c r="T8041" s="98">
        <f t="shared" si="317"/>
        <v>0</v>
      </c>
      <c r="U8041" s="99" t="str">
        <f>IFERROR(IF(#REF!="S",VLOOKUP('Raw Data'!A8041,References!#REF!,2,FALSE),(VLOOKUP($S8041,References!$B$3:$C$8,2,FALSE))),"")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18"/>
        <v>0</v>
      </c>
      <c r="T8042" s="98">
        <f t="shared" si="317"/>
        <v>0</v>
      </c>
      <c r="U8042" s="99" t="str">
        <f>IFERROR(IF(#REF!="S",VLOOKUP('Raw Data'!A8042,References!#REF!,2,FALSE),(VLOOKUP($S8042,References!$B$3:$C$8,2,FALSE))),"")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18"/>
        <v>0</v>
      </c>
      <c r="T8043" s="98">
        <f t="shared" si="317"/>
        <v>0</v>
      </c>
      <c r="U8043" s="99" t="str">
        <f>IFERROR(IF(#REF!="S",VLOOKUP('Raw Data'!A8043,References!#REF!,2,FALSE),(VLOOKUP($S8043,References!$B$3:$C$8,2,FALSE))),"")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18"/>
        <v>0</v>
      </c>
      <c r="T8044" s="98">
        <f t="shared" si="317"/>
        <v>0</v>
      </c>
      <c r="U8044" s="99" t="str">
        <f>IFERROR(IF(#REF!="S",VLOOKUP('Raw Data'!A8044,References!#REF!,2,FALSE),(VLOOKUP($S8044,References!$B$3:$C$8,2,FALSE))),"")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18"/>
        <v>0</v>
      </c>
      <c r="T8045" s="98">
        <f t="shared" si="317"/>
        <v>0</v>
      </c>
      <c r="U8045" s="99" t="str">
        <f>IFERROR(IF(#REF!="S",VLOOKUP('Raw Data'!A8045,References!#REF!,2,FALSE),(VLOOKUP($S8045,References!$B$3:$C$8,2,FALSE))),"")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18"/>
        <v>0</v>
      </c>
      <c r="T8046" s="98">
        <f t="shared" si="317"/>
        <v>0</v>
      </c>
      <c r="U8046" s="99" t="str">
        <f>IFERROR(IF(#REF!="S",VLOOKUP('Raw Data'!A8046,References!#REF!,2,FALSE),(VLOOKUP($S8046,References!$B$3:$C$8,2,FALSE))),"")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18"/>
        <v>0</v>
      </c>
      <c r="T8047" s="98">
        <f t="shared" si="317"/>
        <v>0</v>
      </c>
      <c r="U8047" s="99" t="str">
        <f>IFERROR(IF(#REF!="S",VLOOKUP('Raw Data'!A8047,References!#REF!,2,FALSE),(VLOOKUP($S8047,References!$B$3:$C$8,2,FALSE))),"")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18"/>
        <v>0</v>
      </c>
      <c r="T8048" s="98">
        <f t="shared" si="317"/>
        <v>0</v>
      </c>
      <c r="U8048" s="99" t="str">
        <f>IFERROR(IF(#REF!="S",VLOOKUP('Raw Data'!A8048,References!#REF!,2,FALSE),(VLOOKUP($S8048,References!$B$3:$C$8,2,FALSE))),"")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18"/>
        <v>0</v>
      </c>
      <c r="T8049" s="98">
        <f t="shared" si="317"/>
        <v>0</v>
      </c>
      <c r="U8049" s="99" t="str">
        <f>IFERROR(IF(#REF!="S",VLOOKUP('Raw Data'!A8049,References!#REF!,2,FALSE),(VLOOKUP($S8049,References!$B$3:$C$8,2,FALSE))),"")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18"/>
        <v>0</v>
      </c>
      <c r="T8050" s="98">
        <f t="shared" si="317"/>
        <v>0</v>
      </c>
      <c r="U8050" s="99" t="str">
        <f>IFERROR(IF(#REF!="S",VLOOKUP('Raw Data'!A8050,References!#REF!,2,FALSE),(VLOOKUP($S8050,References!$B$3:$C$8,2,FALSE))),"")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18"/>
        <v>0</v>
      </c>
      <c r="T8051" s="98">
        <f t="shared" si="317"/>
        <v>0</v>
      </c>
      <c r="U8051" s="99" t="str">
        <f>IFERROR(IF(#REF!="S",VLOOKUP('Raw Data'!A8051,References!#REF!,2,FALSE),(VLOOKUP($S8051,References!$B$3:$C$8,2,FALSE))),"")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18"/>
        <v>0</v>
      </c>
      <c r="T8052" s="98">
        <f t="shared" si="317"/>
        <v>0</v>
      </c>
      <c r="U8052" s="99" t="str">
        <f>IFERROR(IF(#REF!="S",VLOOKUP('Raw Data'!A8052,References!#REF!,2,FALSE),(VLOOKUP($S8052,References!$B$3:$C$8,2,FALSE))),"")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18"/>
        <v>0</v>
      </c>
      <c r="T8053" s="98">
        <f t="shared" si="317"/>
        <v>0</v>
      </c>
      <c r="U8053" s="99" t="str">
        <f>IFERROR(IF(#REF!="S",VLOOKUP('Raw Data'!A8053,References!#REF!,2,FALSE),(VLOOKUP($S8053,References!$B$3:$C$8,2,FALSE))),"")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18"/>
        <v>0</v>
      </c>
      <c r="T8054" s="98">
        <f t="shared" si="317"/>
        <v>0</v>
      </c>
      <c r="U8054" s="99" t="str">
        <f>IFERROR(IF(#REF!="S",VLOOKUP('Raw Data'!A8054,References!#REF!,2,FALSE),(VLOOKUP($S8054,References!$B$3:$C$8,2,FALSE))),"")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18"/>
        <v>0</v>
      </c>
      <c r="T8055" s="98">
        <f t="shared" si="317"/>
        <v>0</v>
      </c>
      <c r="U8055" s="99" t="str">
        <f>IFERROR(IF(#REF!="S",VLOOKUP('Raw Data'!A8055,References!#REF!,2,FALSE),(VLOOKUP($S8055,References!$B$3:$C$8,2,FALSE))),"")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18"/>
        <v>0</v>
      </c>
      <c r="T8056" s="98">
        <f t="shared" si="317"/>
        <v>0</v>
      </c>
      <c r="U8056" s="99" t="str">
        <f>IFERROR(IF(#REF!="S",VLOOKUP('Raw Data'!A8056,References!#REF!,2,FALSE),(VLOOKUP($S8056,References!$B$3:$C$8,2,FALSE))),"")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18"/>
        <v>0</v>
      </c>
      <c r="T8057" s="98">
        <f t="shared" si="317"/>
        <v>0</v>
      </c>
      <c r="U8057" s="99" t="str">
        <f>IFERROR(IF(#REF!="S",VLOOKUP('Raw Data'!A8057,References!#REF!,2,FALSE),(VLOOKUP($S8057,References!$B$3:$C$8,2,FALSE))),"")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18"/>
        <v>0</v>
      </c>
      <c r="T8058" s="98">
        <f t="shared" si="317"/>
        <v>0</v>
      </c>
      <c r="U8058" s="99" t="str">
        <f>IFERROR(IF(#REF!="S",VLOOKUP('Raw Data'!A8058,References!#REF!,2,FALSE),(VLOOKUP($S8058,References!$B$3:$C$8,2,FALSE))),"")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18"/>
        <v>0</v>
      </c>
      <c r="T8059" s="98">
        <f t="shared" si="317"/>
        <v>0</v>
      </c>
      <c r="U8059" s="99" t="str">
        <f>IFERROR(IF(#REF!="S",VLOOKUP('Raw Data'!A8059,References!#REF!,2,FALSE),(VLOOKUP($S8059,References!$B$3:$C$8,2,FALSE))),"")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18"/>
        <v>0</v>
      </c>
      <c r="T8060" s="98">
        <f t="shared" si="317"/>
        <v>0</v>
      </c>
      <c r="U8060" s="99" t="str">
        <f>IFERROR(IF(#REF!="S",VLOOKUP('Raw Data'!A8060,References!#REF!,2,FALSE),(VLOOKUP($S8060,References!$B$3:$C$8,2,FALSE))),"")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18"/>
        <v>0</v>
      </c>
      <c r="T8061" s="98">
        <f t="shared" si="317"/>
        <v>0</v>
      </c>
      <c r="U8061" s="99" t="str">
        <f>IFERROR(IF(#REF!="S",VLOOKUP('Raw Data'!A8061,References!#REF!,2,FALSE),(VLOOKUP($S8061,References!$B$3:$C$8,2,FALSE))),"")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18"/>
        <v>0</v>
      </c>
      <c r="T8062" s="98">
        <f t="shared" si="317"/>
        <v>0</v>
      </c>
      <c r="U8062" s="99" t="str">
        <f>IFERROR(IF(#REF!="S",VLOOKUP('Raw Data'!A8062,References!#REF!,2,FALSE),(VLOOKUP($S8062,References!$B$3:$C$8,2,FALSE))),"")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18"/>
        <v>0</v>
      </c>
      <c r="T8063" s="98">
        <f t="shared" si="317"/>
        <v>0</v>
      </c>
      <c r="U8063" s="99" t="str">
        <f>IFERROR(IF(#REF!="S",VLOOKUP('Raw Data'!A8063,References!#REF!,2,FALSE),(VLOOKUP($S8063,References!$B$3:$C$8,2,FALSE))),"")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18"/>
        <v>0</v>
      </c>
      <c r="T8064" s="98">
        <f t="shared" si="317"/>
        <v>0</v>
      </c>
      <c r="U8064" s="99" t="str">
        <f>IFERROR(IF(#REF!="S",VLOOKUP('Raw Data'!A8064,References!#REF!,2,FALSE),(VLOOKUP($S8064,References!$B$3:$C$8,2,FALSE))),"")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18"/>
        <v>0</v>
      </c>
      <c r="T8065" s="98">
        <f t="shared" si="317"/>
        <v>0</v>
      </c>
      <c r="U8065" s="99" t="str">
        <f>IFERROR(IF(#REF!="S",VLOOKUP('Raw Data'!A8065,References!#REF!,2,FALSE),(VLOOKUP($S8065,References!$B$3:$C$8,2,FALSE))),"")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18"/>
        <v>0</v>
      </c>
      <c r="T8066" s="98">
        <f t="shared" si="317"/>
        <v>0</v>
      </c>
      <c r="U8066" s="99" t="str">
        <f>IFERROR(IF(#REF!="S",VLOOKUP('Raw Data'!A8066,References!#REF!,2,FALSE),(VLOOKUP($S8066,References!$B$3:$C$8,2,FALSE))),"")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18"/>
        <v>0</v>
      </c>
      <c r="T8067" s="98">
        <f t="shared" si="317"/>
        <v>0</v>
      </c>
      <c r="U8067" s="99" t="str">
        <f>IFERROR(IF(#REF!="S",VLOOKUP('Raw Data'!A8067,References!#REF!,2,FALSE),(VLOOKUP($S8067,References!$B$3:$C$8,2,FALSE))),"")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18"/>
        <v>0</v>
      </c>
      <c r="T8068" s="98">
        <f t="shared" si="317"/>
        <v>0</v>
      </c>
      <c r="U8068" s="99" t="str">
        <f>IFERROR(IF(#REF!="S",VLOOKUP('Raw Data'!A8068,References!#REF!,2,FALSE),(VLOOKUP($S8068,References!$B$3:$C$8,2,FALSE))),"")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18"/>
        <v>0</v>
      </c>
      <c r="T8069" s="98">
        <f t="shared" si="317"/>
        <v>0</v>
      </c>
      <c r="U8069" s="99" t="str">
        <f>IFERROR(IF(#REF!="S",VLOOKUP('Raw Data'!A8069,References!#REF!,2,FALSE),(VLOOKUP($S8069,References!$B$3:$C$8,2,FALSE))),"")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18"/>
        <v>0</v>
      </c>
      <c r="T8070" s="98">
        <f t="shared" si="317"/>
        <v>0</v>
      </c>
      <c r="U8070" s="99" t="str">
        <f>IFERROR(IF(#REF!="S",VLOOKUP('Raw Data'!A8070,References!#REF!,2,FALSE),(VLOOKUP($S8070,References!$B$3:$C$8,2,FALSE))),"")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18"/>
        <v>0</v>
      </c>
      <c r="T8071" s="98">
        <f t="shared" si="317"/>
        <v>0</v>
      </c>
      <c r="U8071" s="99" t="str">
        <f>IFERROR(IF(#REF!="S",VLOOKUP('Raw Data'!A8071,References!#REF!,2,FALSE),(VLOOKUP($S8071,References!$B$3:$C$8,2,FALSE))),"")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18"/>
        <v>0</v>
      </c>
      <c r="T8072" s="98">
        <f t="shared" si="317"/>
        <v>0</v>
      </c>
      <c r="U8072" s="99" t="str">
        <f>IFERROR(IF(#REF!="S",VLOOKUP('Raw Data'!A8072,References!#REF!,2,FALSE),(VLOOKUP($S8072,References!$B$3:$C$8,2,FALSE))),"")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18"/>
        <v>0</v>
      </c>
      <c r="T8073" s="98">
        <f t="shared" si="317"/>
        <v>0</v>
      </c>
      <c r="U8073" s="99" t="str">
        <f>IFERROR(IF(#REF!="S",VLOOKUP('Raw Data'!A8073,References!#REF!,2,FALSE),(VLOOKUP($S8073,References!$B$3:$C$8,2,FALSE))),"")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18"/>
        <v>0</v>
      </c>
      <c r="T8074" s="98">
        <f t="shared" si="317"/>
        <v>0</v>
      </c>
      <c r="U8074" s="99" t="str">
        <f>IFERROR(IF(#REF!="S",VLOOKUP('Raw Data'!A8074,References!#REF!,2,FALSE),(VLOOKUP($S8074,References!$B$3:$C$8,2,FALSE))),"")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18"/>
        <v>0</v>
      </c>
      <c r="T8075" s="98">
        <f t="shared" si="317"/>
        <v>0</v>
      </c>
      <c r="U8075" s="99" t="str">
        <f>IFERROR(IF(#REF!="S",VLOOKUP('Raw Data'!A8075,References!#REF!,2,FALSE),(VLOOKUP($S8075,References!$B$3:$C$8,2,FALSE))),"")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18"/>
        <v>0</v>
      </c>
      <c r="T8076" s="98">
        <f t="shared" si="317"/>
        <v>0</v>
      </c>
      <c r="U8076" s="99" t="str">
        <f>IFERROR(IF(#REF!="S",VLOOKUP('Raw Data'!A8076,References!#REF!,2,FALSE),(VLOOKUP($S8076,References!$B$3:$C$8,2,FALSE))),"")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18"/>
        <v>0</v>
      </c>
      <c r="T8077" s="98">
        <f t="shared" si="317"/>
        <v>0</v>
      </c>
      <c r="U8077" s="99" t="str">
        <f>IFERROR(IF(#REF!="S",VLOOKUP('Raw Data'!A8077,References!#REF!,2,FALSE),(VLOOKUP($S8077,References!$B$3:$C$8,2,FALSE))),"")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18"/>
        <v>0</v>
      </c>
      <c r="T8078" s="98">
        <f t="shared" si="317"/>
        <v>0</v>
      </c>
      <c r="U8078" s="99" t="str">
        <f>IFERROR(IF(#REF!="S",VLOOKUP('Raw Data'!A8078,References!#REF!,2,FALSE),(VLOOKUP($S8078,References!$B$3:$C$8,2,FALSE))),"")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18"/>
        <v>0</v>
      </c>
      <c r="T8079" s="98">
        <f t="shared" si="317"/>
        <v>0</v>
      </c>
      <c r="U8079" s="99" t="str">
        <f>IFERROR(IF(#REF!="S",VLOOKUP('Raw Data'!A8079,References!#REF!,2,FALSE),(VLOOKUP($S8079,References!$B$3:$C$8,2,FALSE))),"")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18"/>
        <v>0</v>
      </c>
      <c r="T8080" s="98">
        <f t="shared" ref="T8080:T8143" si="319">IF(S8080="50 - Cleaning Fee",1,HOUR($R8080)+MINUTE(R8080)/60)</f>
        <v>0</v>
      </c>
      <c r="U8080" s="99" t="str">
        <f>IFERROR(IF(#REF!="S",VLOOKUP('Raw Data'!A8080,References!#REF!,2,FALSE),(VLOOKUP($S8080,References!$B$3:$C$8,2,FALSE))),"")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18"/>
        <v>0</v>
      </c>
      <c r="T8081" s="98">
        <f t="shared" si="319"/>
        <v>0</v>
      </c>
      <c r="U8081" s="99" t="str">
        <f>IFERROR(IF(#REF!="S",VLOOKUP('Raw Data'!A8081,References!#REF!,2,FALSE),(VLOOKUP($S8081,References!$B$3:$C$8,2,FALSE))),"")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18"/>
        <v>0</v>
      </c>
      <c r="T8082" s="98">
        <f t="shared" si="319"/>
        <v>0</v>
      </c>
      <c r="U8082" s="99" t="str">
        <f>IFERROR(IF(#REF!="S",VLOOKUP('Raw Data'!A8082,References!#REF!,2,FALSE),(VLOOKUP($S8082,References!$B$3:$C$8,2,FALSE))),"")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18"/>
        <v>0</v>
      </c>
      <c r="T8083" s="98">
        <f t="shared" si="319"/>
        <v>0</v>
      </c>
      <c r="U8083" s="99" t="str">
        <f>IFERROR(IF(#REF!="S",VLOOKUP('Raw Data'!A8083,References!#REF!,2,FALSE),(VLOOKUP($S8083,References!$B$3:$C$8,2,FALSE))),"")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18"/>
        <v>0</v>
      </c>
      <c r="T8084" s="98">
        <f t="shared" si="319"/>
        <v>0</v>
      </c>
      <c r="U8084" s="99" t="str">
        <f>IFERROR(IF(#REF!="S",VLOOKUP('Raw Data'!A8084,References!#REF!,2,FALSE),(VLOOKUP($S8084,References!$B$3:$C$8,2,FALSE))),"")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18"/>
        <v>0</v>
      </c>
      <c r="T8085" s="98">
        <f t="shared" si="319"/>
        <v>0</v>
      </c>
      <c r="U8085" s="99" t="str">
        <f>IFERROR(IF(#REF!="S",VLOOKUP('Raw Data'!A8085,References!#REF!,2,FALSE),(VLOOKUP($S8085,References!$B$3:$C$8,2,FALSE))),"")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18"/>
        <v>0</v>
      </c>
      <c r="T8086" s="98">
        <f t="shared" si="319"/>
        <v>0</v>
      </c>
      <c r="U8086" s="99" t="str">
        <f>IFERROR(IF(#REF!="S",VLOOKUP('Raw Data'!A8086,References!#REF!,2,FALSE),(VLOOKUP($S8086,References!$B$3:$C$8,2,FALSE))),"")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18"/>
        <v>0</v>
      </c>
      <c r="T8087" s="98">
        <f t="shared" si="319"/>
        <v>0</v>
      </c>
      <c r="U8087" s="99" t="str">
        <f>IFERROR(IF(#REF!="S",VLOOKUP('Raw Data'!A8087,References!#REF!,2,FALSE),(VLOOKUP($S8087,References!$B$3:$C$8,2,FALSE))),"")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18"/>
        <v>0</v>
      </c>
      <c r="T8088" s="98">
        <f t="shared" si="319"/>
        <v>0</v>
      </c>
      <c r="U8088" s="99" t="str">
        <f>IFERROR(IF(#REF!="S",VLOOKUP('Raw Data'!A8088,References!#REF!,2,FALSE),(VLOOKUP($S8088,References!$B$3:$C$8,2,FALSE))),"")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18"/>
        <v>0</v>
      </c>
      <c r="T8089" s="98">
        <f t="shared" si="319"/>
        <v>0</v>
      </c>
      <c r="U8089" s="99" t="str">
        <f>IFERROR(IF(#REF!="S",VLOOKUP('Raw Data'!A8089,References!#REF!,2,FALSE),(VLOOKUP($S8089,References!$B$3:$C$8,2,FALSE))),"")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18"/>
        <v>0</v>
      </c>
      <c r="T8090" s="98">
        <f t="shared" si="319"/>
        <v>0</v>
      </c>
      <c r="U8090" s="99" t="str">
        <f>IFERROR(IF(#REF!="S",VLOOKUP('Raw Data'!A8090,References!#REF!,2,FALSE),(VLOOKUP($S8090,References!$B$3:$C$8,2,FALSE))),"")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18"/>
        <v>0</v>
      </c>
      <c r="T8091" s="98">
        <f t="shared" si="319"/>
        <v>0</v>
      </c>
      <c r="U8091" s="99" t="str">
        <f>IFERROR(IF(#REF!="S",VLOOKUP('Raw Data'!A8091,References!#REF!,2,FALSE),(VLOOKUP($S8091,References!$B$3:$C$8,2,FALSE))),"")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18"/>
        <v>0</v>
      </c>
      <c r="T8092" s="98">
        <f t="shared" si="319"/>
        <v>0</v>
      </c>
      <c r="U8092" s="99" t="str">
        <f>IFERROR(IF(#REF!="S",VLOOKUP('Raw Data'!A8092,References!#REF!,2,FALSE),(VLOOKUP($S8092,References!$B$3:$C$8,2,FALSE))),"")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18"/>
        <v>0</v>
      </c>
      <c r="T8093" s="98">
        <f t="shared" si="319"/>
        <v>0</v>
      </c>
      <c r="U8093" s="99" t="str">
        <f>IFERROR(IF(#REF!="S",VLOOKUP('Raw Data'!A8093,References!#REF!,2,FALSE),(VLOOKUP($S8093,References!$B$3:$C$8,2,FALSE))),"")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18"/>
        <v>0</v>
      </c>
      <c r="T8094" s="98">
        <f t="shared" si="319"/>
        <v>0</v>
      </c>
      <c r="U8094" s="99" t="str">
        <f>IFERROR(IF(#REF!="S",VLOOKUP('Raw Data'!A8094,References!#REF!,2,FALSE),(VLOOKUP($S8094,References!$B$3:$C$8,2,FALSE))),"")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18"/>
        <v>0</v>
      </c>
      <c r="T8095" s="98">
        <f t="shared" si="319"/>
        <v>0</v>
      </c>
      <c r="U8095" s="99" t="str">
        <f>IFERROR(IF(#REF!="S",VLOOKUP('Raw Data'!A8095,References!#REF!,2,FALSE),(VLOOKUP($S8095,References!$B$3:$C$8,2,FALSE))),"")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18"/>
        <v>0</v>
      </c>
      <c r="T8096" s="98">
        <f t="shared" si="319"/>
        <v>0</v>
      </c>
      <c r="U8096" s="99" t="str">
        <f>IFERROR(IF(#REF!="S",VLOOKUP('Raw Data'!A8096,References!#REF!,2,FALSE),(VLOOKUP($S8096,References!$B$3:$C$8,2,FALSE))),"")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18"/>
        <v>0</v>
      </c>
      <c r="T8097" s="98">
        <f t="shared" si="319"/>
        <v>0</v>
      </c>
      <c r="U8097" s="99" t="str">
        <f>IFERROR(IF(#REF!="S",VLOOKUP('Raw Data'!A8097,References!#REF!,2,FALSE),(VLOOKUP($S8097,References!$B$3:$C$8,2,FALSE))),"")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18"/>
        <v>0</v>
      </c>
      <c r="T8098" s="98">
        <f t="shared" si="319"/>
        <v>0</v>
      </c>
      <c r="U8098" s="99" t="str">
        <f>IFERROR(IF(#REF!="S",VLOOKUP('Raw Data'!A8098,References!#REF!,2,FALSE),(VLOOKUP($S8098,References!$B$3:$C$8,2,FALSE))),"")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18"/>
        <v>0</v>
      </c>
      <c r="T8099" s="98">
        <f t="shared" si="319"/>
        <v>0</v>
      </c>
      <c r="U8099" s="99" t="str">
        <f>IFERROR(IF(#REF!="S",VLOOKUP('Raw Data'!A8099,References!#REF!,2,FALSE),(VLOOKUP($S8099,References!$B$3:$C$8,2,FALSE))),"")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18"/>
        <v>0</v>
      </c>
      <c r="T8100" s="98">
        <f t="shared" si="319"/>
        <v>0</v>
      </c>
      <c r="U8100" s="99" t="str">
        <f>IFERROR(IF(#REF!="S",VLOOKUP('Raw Data'!A8100,References!#REF!,2,FALSE),(VLOOKUP($S8100,References!$B$3:$C$8,2,FALSE))),"")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18"/>
        <v>0</v>
      </c>
      <c r="T8101" s="98">
        <f t="shared" si="319"/>
        <v>0</v>
      </c>
      <c r="U8101" s="99" t="str">
        <f>IFERROR(IF(#REF!="S",VLOOKUP('Raw Data'!A8101,References!#REF!,2,FALSE),(VLOOKUP($S8101,References!$B$3:$C$8,2,FALSE))),"")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18"/>
        <v>0</v>
      </c>
      <c r="T8102" s="98">
        <f t="shared" si="319"/>
        <v>0</v>
      </c>
      <c r="U8102" s="99" t="str">
        <f>IFERROR(IF(#REF!="S",VLOOKUP('Raw Data'!A8102,References!#REF!,2,FALSE),(VLOOKUP($S8102,References!$B$3:$C$8,2,FALSE))),"")</f>
        <v/>
      </c>
      <c r="W8102" s="66" t="str">
        <f>IFERROR(VLOOKUP($O8102,'Customer List'!$A$1:$J$488,10,FALSE),"")</f>
        <v/>
      </c>
    </row>
    <row r="8103" spans="18:23">
      <c r="R8103" s="97">
        <f t="shared" si="318"/>
        <v>0</v>
      </c>
      <c r="T8103" s="98">
        <f t="shared" si="319"/>
        <v>0</v>
      </c>
      <c r="U8103" s="99" t="str">
        <f>IFERROR(IF(#REF!="S",VLOOKUP('Raw Data'!A8103,References!#REF!,2,FALSE),(VLOOKUP($S8103,References!$B$3:$C$8,2,FALSE))),"")</f>
        <v/>
      </c>
      <c r="W8103" s="66" t="str">
        <f>IFERROR(VLOOKUP($O8103,'Customer List'!$A$1:$J$488,10,FALSE),"")</f>
        <v/>
      </c>
    </row>
    <row r="8104" spans="18:23">
      <c r="R8104" s="97">
        <f t="shared" ref="R8104:R8167" si="320">L8104-K8104</f>
        <v>0</v>
      </c>
      <c r="T8104" s="98">
        <f t="shared" si="319"/>
        <v>0</v>
      </c>
      <c r="U8104" s="99" t="str">
        <f>IFERROR(IF(#REF!="S",VLOOKUP('Raw Data'!A8104,References!#REF!,2,FALSE),(VLOOKUP($S8104,References!$B$3:$C$8,2,FALSE))),"")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0"/>
        <v>0</v>
      </c>
      <c r="T8105" s="98">
        <f t="shared" si="319"/>
        <v>0</v>
      </c>
      <c r="U8105" s="99" t="str">
        <f>IFERROR(IF(#REF!="S",VLOOKUP('Raw Data'!A8105,References!#REF!,2,FALSE),(VLOOKUP($S8105,References!$B$3:$C$8,2,FALSE))),"")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0"/>
        <v>0</v>
      </c>
      <c r="T8106" s="98">
        <f t="shared" si="319"/>
        <v>0</v>
      </c>
      <c r="U8106" s="99" t="str">
        <f>IFERROR(IF(#REF!="S",VLOOKUP('Raw Data'!A8106,References!#REF!,2,FALSE),(VLOOKUP($S8106,References!$B$3:$C$8,2,FALSE))),"")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0"/>
        <v>0</v>
      </c>
      <c r="T8107" s="98">
        <f t="shared" si="319"/>
        <v>0</v>
      </c>
      <c r="U8107" s="99" t="str">
        <f>IFERROR(IF(#REF!="S",VLOOKUP('Raw Data'!A8107,References!#REF!,2,FALSE),(VLOOKUP($S8107,References!$B$3:$C$8,2,FALSE))),"")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0"/>
        <v>0</v>
      </c>
      <c r="T8108" s="98">
        <f t="shared" si="319"/>
        <v>0</v>
      </c>
      <c r="U8108" s="99" t="str">
        <f>IFERROR(IF(#REF!="S",VLOOKUP('Raw Data'!A8108,References!#REF!,2,FALSE),(VLOOKUP($S8108,References!$B$3:$C$8,2,FALSE))),"")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0"/>
        <v>0</v>
      </c>
      <c r="T8109" s="98">
        <f t="shared" si="319"/>
        <v>0</v>
      </c>
      <c r="U8109" s="99" t="str">
        <f>IFERROR(IF(#REF!="S",VLOOKUP('Raw Data'!A8109,References!#REF!,2,FALSE),(VLOOKUP($S8109,References!$B$3:$C$8,2,FALSE))),"")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0"/>
        <v>0</v>
      </c>
      <c r="T8110" s="98">
        <f t="shared" si="319"/>
        <v>0</v>
      </c>
      <c r="U8110" s="99" t="str">
        <f>IFERROR(IF(#REF!="S",VLOOKUP('Raw Data'!A8110,References!#REF!,2,FALSE),(VLOOKUP($S8110,References!$B$3:$C$8,2,FALSE))),"")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0"/>
        <v>0</v>
      </c>
      <c r="T8111" s="98">
        <f t="shared" si="319"/>
        <v>0</v>
      </c>
      <c r="U8111" s="99" t="str">
        <f>IFERROR(IF(#REF!="S",VLOOKUP('Raw Data'!A8111,References!#REF!,2,FALSE),(VLOOKUP($S8111,References!$B$3:$C$8,2,FALSE))),"")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0"/>
        <v>0</v>
      </c>
      <c r="T8112" s="98">
        <f t="shared" si="319"/>
        <v>0</v>
      </c>
      <c r="U8112" s="99" t="str">
        <f>IFERROR(IF(#REF!="S",VLOOKUP('Raw Data'!A8112,References!#REF!,2,FALSE),(VLOOKUP($S8112,References!$B$3:$C$8,2,FALSE))),"")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0"/>
        <v>0</v>
      </c>
      <c r="T8113" s="98">
        <f t="shared" si="319"/>
        <v>0</v>
      </c>
      <c r="U8113" s="99" t="str">
        <f>IFERROR(IF(#REF!="S",VLOOKUP('Raw Data'!A8113,References!#REF!,2,FALSE),(VLOOKUP($S8113,References!$B$3:$C$8,2,FALSE))),"")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0"/>
        <v>0</v>
      </c>
      <c r="T8114" s="98">
        <f t="shared" si="319"/>
        <v>0</v>
      </c>
      <c r="U8114" s="99" t="str">
        <f>IFERROR(IF(#REF!="S",VLOOKUP('Raw Data'!A8114,References!#REF!,2,FALSE),(VLOOKUP($S8114,References!$B$3:$C$8,2,FALSE))),"")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0"/>
        <v>0</v>
      </c>
      <c r="T8115" s="98">
        <f t="shared" si="319"/>
        <v>0</v>
      </c>
      <c r="U8115" s="99" t="str">
        <f>IFERROR(IF(#REF!="S",VLOOKUP('Raw Data'!A8115,References!#REF!,2,FALSE),(VLOOKUP($S8115,References!$B$3:$C$8,2,FALSE))),"")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0"/>
        <v>0</v>
      </c>
      <c r="T8116" s="98">
        <f t="shared" si="319"/>
        <v>0</v>
      </c>
      <c r="U8116" s="99" t="str">
        <f>IFERROR(IF(#REF!="S",VLOOKUP('Raw Data'!A8116,References!#REF!,2,FALSE),(VLOOKUP($S8116,References!$B$3:$C$8,2,FALSE))),"")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0"/>
        <v>0</v>
      </c>
      <c r="T8117" s="98">
        <f t="shared" si="319"/>
        <v>0</v>
      </c>
      <c r="U8117" s="99" t="str">
        <f>IFERROR(IF(#REF!="S",VLOOKUP('Raw Data'!A8117,References!#REF!,2,FALSE),(VLOOKUP($S8117,References!$B$3:$C$8,2,FALSE))),"")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0"/>
        <v>0</v>
      </c>
      <c r="T8118" s="98">
        <f t="shared" si="319"/>
        <v>0</v>
      </c>
      <c r="U8118" s="99" t="str">
        <f>IFERROR(IF(#REF!="S",VLOOKUP('Raw Data'!A8118,References!#REF!,2,FALSE),(VLOOKUP($S8118,References!$B$3:$C$8,2,FALSE))),"")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0"/>
        <v>0</v>
      </c>
      <c r="T8119" s="98">
        <f t="shared" si="319"/>
        <v>0</v>
      </c>
      <c r="U8119" s="99" t="str">
        <f>IFERROR(IF(#REF!="S",VLOOKUP('Raw Data'!A8119,References!#REF!,2,FALSE),(VLOOKUP($S8119,References!$B$3:$C$8,2,FALSE))),"")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0"/>
        <v>0</v>
      </c>
      <c r="T8120" s="98">
        <f t="shared" si="319"/>
        <v>0</v>
      </c>
      <c r="U8120" s="99" t="str">
        <f>IFERROR(IF(#REF!="S",VLOOKUP('Raw Data'!A8120,References!#REF!,2,FALSE),(VLOOKUP($S8120,References!$B$3:$C$8,2,FALSE))),"")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0"/>
        <v>0</v>
      </c>
      <c r="T8121" s="98">
        <f t="shared" si="319"/>
        <v>0</v>
      </c>
      <c r="U8121" s="99" t="str">
        <f>IFERROR(IF(#REF!="S",VLOOKUP('Raw Data'!A8121,References!#REF!,2,FALSE),(VLOOKUP($S8121,References!$B$3:$C$8,2,FALSE))),"")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0"/>
        <v>0</v>
      </c>
      <c r="T8122" s="98">
        <f t="shared" si="319"/>
        <v>0</v>
      </c>
      <c r="U8122" s="99" t="str">
        <f>IFERROR(IF(#REF!="S",VLOOKUP('Raw Data'!A8122,References!#REF!,2,FALSE),(VLOOKUP($S8122,References!$B$3:$C$8,2,FALSE))),"")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0"/>
        <v>0</v>
      </c>
      <c r="T8123" s="98">
        <f t="shared" si="319"/>
        <v>0</v>
      </c>
      <c r="U8123" s="99" t="str">
        <f>IFERROR(IF(#REF!="S",VLOOKUP('Raw Data'!A8123,References!#REF!,2,FALSE),(VLOOKUP($S8123,References!$B$3:$C$8,2,FALSE))),"")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0"/>
        <v>0</v>
      </c>
      <c r="T8124" s="98">
        <f t="shared" si="319"/>
        <v>0</v>
      </c>
      <c r="U8124" s="99" t="str">
        <f>IFERROR(IF(#REF!="S",VLOOKUP('Raw Data'!A8124,References!#REF!,2,FALSE),(VLOOKUP($S8124,References!$B$3:$C$8,2,FALSE))),"")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0"/>
        <v>0</v>
      </c>
      <c r="T8125" s="98">
        <f t="shared" si="319"/>
        <v>0</v>
      </c>
      <c r="U8125" s="99" t="str">
        <f>IFERROR(IF(#REF!="S",VLOOKUP('Raw Data'!A8125,References!#REF!,2,FALSE),(VLOOKUP($S8125,References!$B$3:$C$8,2,FALSE))),"")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0"/>
        <v>0</v>
      </c>
      <c r="T8126" s="98">
        <f t="shared" si="319"/>
        <v>0</v>
      </c>
      <c r="U8126" s="99" t="str">
        <f>IFERROR(IF(#REF!="S",VLOOKUP('Raw Data'!A8126,References!#REF!,2,FALSE),(VLOOKUP($S8126,References!$B$3:$C$8,2,FALSE))),"")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0"/>
        <v>0</v>
      </c>
      <c r="T8127" s="98">
        <f t="shared" si="319"/>
        <v>0</v>
      </c>
      <c r="U8127" s="99" t="str">
        <f>IFERROR(IF(#REF!="S",VLOOKUP('Raw Data'!A8127,References!#REF!,2,FALSE),(VLOOKUP($S8127,References!$B$3:$C$8,2,FALSE))),"")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0"/>
        <v>0</v>
      </c>
      <c r="T8128" s="98">
        <f t="shared" si="319"/>
        <v>0</v>
      </c>
      <c r="U8128" s="99" t="str">
        <f>IFERROR(IF(#REF!="S",VLOOKUP('Raw Data'!A8128,References!#REF!,2,FALSE),(VLOOKUP($S8128,References!$B$3:$C$8,2,FALSE))),"")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0"/>
        <v>0</v>
      </c>
      <c r="T8129" s="98">
        <f t="shared" si="319"/>
        <v>0</v>
      </c>
      <c r="U8129" s="99" t="str">
        <f>IFERROR(IF(#REF!="S",VLOOKUP('Raw Data'!A8129,References!#REF!,2,FALSE),(VLOOKUP($S8129,References!$B$3:$C$8,2,FALSE))),"")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0"/>
        <v>0</v>
      </c>
      <c r="T8130" s="98">
        <f t="shared" si="319"/>
        <v>0</v>
      </c>
      <c r="U8130" s="99" t="str">
        <f>IFERROR(IF(#REF!="S",VLOOKUP('Raw Data'!A8130,References!#REF!,2,FALSE),(VLOOKUP($S8130,References!$B$3:$C$8,2,FALSE))),"")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0"/>
        <v>0</v>
      </c>
      <c r="T8131" s="98">
        <f t="shared" si="319"/>
        <v>0</v>
      </c>
      <c r="U8131" s="99" t="str">
        <f>IFERROR(IF(#REF!="S",VLOOKUP('Raw Data'!A8131,References!#REF!,2,FALSE),(VLOOKUP($S8131,References!$B$3:$C$8,2,FALSE))),"")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0"/>
        <v>0</v>
      </c>
      <c r="T8132" s="98">
        <f t="shared" si="319"/>
        <v>0</v>
      </c>
      <c r="U8132" s="99" t="str">
        <f>IFERROR(IF(#REF!="S",VLOOKUP('Raw Data'!A8132,References!#REF!,2,FALSE),(VLOOKUP($S8132,References!$B$3:$C$8,2,FALSE))),"")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0"/>
        <v>0</v>
      </c>
      <c r="T8133" s="98">
        <f t="shared" si="319"/>
        <v>0</v>
      </c>
      <c r="U8133" s="99" t="str">
        <f>IFERROR(IF(#REF!="S",VLOOKUP('Raw Data'!A8133,References!#REF!,2,FALSE),(VLOOKUP($S8133,References!$B$3:$C$8,2,FALSE))),"")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0"/>
        <v>0</v>
      </c>
      <c r="T8134" s="98">
        <f t="shared" si="319"/>
        <v>0</v>
      </c>
      <c r="U8134" s="99" t="str">
        <f>IFERROR(IF(#REF!="S",VLOOKUP('Raw Data'!A8134,References!#REF!,2,FALSE),(VLOOKUP($S8134,References!$B$3:$C$8,2,FALSE))),"")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0"/>
        <v>0</v>
      </c>
      <c r="T8135" s="98">
        <f t="shared" si="319"/>
        <v>0</v>
      </c>
      <c r="U8135" s="99" t="str">
        <f>IFERROR(IF(#REF!="S",VLOOKUP('Raw Data'!A8135,References!#REF!,2,FALSE),(VLOOKUP($S8135,References!$B$3:$C$8,2,FALSE))),"")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0"/>
        <v>0</v>
      </c>
      <c r="T8136" s="98">
        <f t="shared" si="319"/>
        <v>0</v>
      </c>
      <c r="U8136" s="99" t="str">
        <f>IFERROR(IF(#REF!="S",VLOOKUP('Raw Data'!A8136,References!#REF!,2,FALSE),(VLOOKUP($S8136,References!$B$3:$C$8,2,FALSE))),"")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0"/>
        <v>0</v>
      </c>
      <c r="T8137" s="98">
        <f t="shared" si="319"/>
        <v>0</v>
      </c>
      <c r="U8137" s="99" t="str">
        <f>IFERROR(IF(#REF!="S",VLOOKUP('Raw Data'!A8137,References!#REF!,2,FALSE),(VLOOKUP($S8137,References!$B$3:$C$8,2,FALSE))),"")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0"/>
        <v>0</v>
      </c>
      <c r="T8138" s="98">
        <f t="shared" si="319"/>
        <v>0</v>
      </c>
      <c r="U8138" s="99" t="str">
        <f>IFERROR(IF(#REF!="S",VLOOKUP('Raw Data'!A8138,References!#REF!,2,FALSE),(VLOOKUP($S8138,References!$B$3:$C$8,2,FALSE))),"")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0"/>
        <v>0</v>
      </c>
      <c r="T8139" s="98">
        <f t="shared" si="319"/>
        <v>0</v>
      </c>
      <c r="U8139" s="99" t="str">
        <f>IFERROR(IF(#REF!="S",VLOOKUP('Raw Data'!A8139,References!#REF!,2,FALSE),(VLOOKUP($S8139,References!$B$3:$C$8,2,FALSE))),"")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0"/>
        <v>0</v>
      </c>
      <c r="T8140" s="98">
        <f t="shared" si="319"/>
        <v>0</v>
      </c>
      <c r="U8140" s="99" t="str">
        <f>IFERROR(IF(#REF!="S",VLOOKUP('Raw Data'!A8140,References!#REF!,2,FALSE),(VLOOKUP($S8140,References!$B$3:$C$8,2,FALSE))),"")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0"/>
        <v>0</v>
      </c>
      <c r="T8141" s="98">
        <f t="shared" si="319"/>
        <v>0</v>
      </c>
      <c r="U8141" s="99" t="str">
        <f>IFERROR(IF(#REF!="S",VLOOKUP('Raw Data'!A8141,References!#REF!,2,FALSE),(VLOOKUP($S8141,References!$B$3:$C$8,2,FALSE))),"")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0"/>
        <v>0</v>
      </c>
      <c r="T8142" s="98">
        <f t="shared" si="319"/>
        <v>0</v>
      </c>
      <c r="U8142" s="99" t="str">
        <f>IFERROR(IF(#REF!="S",VLOOKUP('Raw Data'!A8142,References!#REF!,2,FALSE),(VLOOKUP($S8142,References!$B$3:$C$8,2,FALSE))),"")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0"/>
        <v>0</v>
      </c>
      <c r="T8143" s="98">
        <f t="shared" si="319"/>
        <v>0</v>
      </c>
      <c r="U8143" s="99" t="str">
        <f>IFERROR(IF(#REF!="S",VLOOKUP('Raw Data'!A8143,References!#REF!,2,FALSE),(VLOOKUP($S8143,References!$B$3:$C$8,2,FALSE))),"")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0"/>
        <v>0</v>
      </c>
      <c r="T8144" s="98">
        <f t="shared" ref="T8144:T8207" si="321">IF(S8144="50 - Cleaning Fee",1,HOUR($R8144)+MINUTE(R8144)/60)</f>
        <v>0</v>
      </c>
      <c r="U8144" s="99" t="str">
        <f>IFERROR(IF(#REF!="S",VLOOKUP('Raw Data'!A8144,References!#REF!,2,FALSE),(VLOOKUP($S8144,References!$B$3:$C$8,2,FALSE))),"")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0"/>
        <v>0</v>
      </c>
      <c r="T8145" s="98">
        <f t="shared" si="321"/>
        <v>0</v>
      </c>
      <c r="U8145" s="99" t="str">
        <f>IFERROR(IF(#REF!="S",VLOOKUP('Raw Data'!A8145,References!#REF!,2,FALSE),(VLOOKUP($S8145,References!$B$3:$C$8,2,FALSE))),"")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0"/>
        <v>0</v>
      </c>
      <c r="T8146" s="98">
        <f t="shared" si="321"/>
        <v>0</v>
      </c>
      <c r="U8146" s="99" t="str">
        <f>IFERROR(IF(#REF!="S",VLOOKUP('Raw Data'!A8146,References!#REF!,2,FALSE),(VLOOKUP($S8146,References!$B$3:$C$8,2,FALSE))),"")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0"/>
        <v>0</v>
      </c>
      <c r="T8147" s="98">
        <f t="shared" si="321"/>
        <v>0</v>
      </c>
      <c r="U8147" s="99" t="str">
        <f>IFERROR(IF(#REF!="S",VLOOKUP('Raw Data'!A8147,References!#REF!,2,FALSE),(VLOOKUP($S8147,References!$B$3:$C$8,2,FALSE))),"")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0"/>
        <v>0</v>
      </c>
      <c r="T8148" s="98">
        <f t="shared" si="321"/>
        <v>0</v>
      </c>
      <c r="U8148" s="99" t="str">
        <f>IFERROR(IF(#REF!="S",VLOOKUP('Raw Data'!A8148,References!#REF!,2,FALSE),(VLOOKUP($S8148,References!$B$3:$C$8,2,FALSE))),"")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0"/>
        <v>0</v>
      </c>
      <c r="T8149" s="98">
        <f t="shared" si="321"/>
        <v>0</v>
      </c>
      <c r="U8149" s="99" t="str">
        <f>IFERROR(IF(#REF!="S",VLOOKUP('Raw Data'!A8149,References!#REF!,2,FALSE),(VLOOKUP($S8149,References!$B$3:$C$8,2,FALSE))),"")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0"/>
        <v>0</v>
      </c>
      <c r="T8150" s="98">
        <f t="shared" si="321"/>
        <v>0</v>
      </c>
      <c r="U8150" s="99" t="str">
        <f>IFERROR(IF(#REF!="S",VLOOKUP('Raw Data'!A8150,References!#REF!,2,FALSE),(VLOOKUP($S8150,References!$B$3:$C$8,2,FALSE))),"")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0"/>
        <v>0</v>
      </c>
      <c r="T8151" s="98">
        <f t="shared" si="321"/>
        <v>0</v>
      </c>
      <c r="U8151" s="99" t="str">
        <f>IFERROR(IF(#REF!="S",VLOOKUP('Raw Data'!A8151,References!#REF!,2,FALSE),(VLOOKUP($S8151,References!$B$3:$C$8,2,FALSE))),"")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0"/>
        <v>0</v>
      </c>
      <c r="T8152" s="98">
        <f t="shared" si="321"/>
        <v>0</v>
      </c>
      <c r="U8152" s="99" t="str">
        <f>IFERROR(IF(#REF!="S",VLOOKUP('Raw Data'!A8152,References!#REF!,2,FALSE),(VLOOKUP($S8152,References!$B$3:$C$8,2,FALSE))),"")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0"/>
        <v>0</v>
      </c>
      <c r="T8153" s="98">
        <f t="shared" si="321"/>
        <v>0</v>
      </c>
      <c r="U8153" s="99" t="str">
        <f>IFERROR(IF(#REF!="S",VLOOKUP('Raw Data'!A8153,References!#REF!,2,FALSE),(VLOOKUP($S8153,References!$B$3:$C$8,2,FALSE))),"")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0"/>
        <v>0</v>
      </c>
      <c r="T8154" s="98">
        <f t="shared" si="321"/>
        <v>0</v>
      </c>
      <c r="U8154" s="99" t="str">
        <f>IFERROR(IF(#REF!="S",VLOOKUP('Raw Data'!A8154,References!#REF!,2,FALSE),(VLOOKUP($S8154,References!$B$3:$C$8,2,FALSE))),"")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0"/>
        <v>0</v>
      </c>
      <c r="T8155" s="98">
        <f t="shared" si="321"/>
        <v>0</v>
      </c>
      <c r="U8155" s="99" t="str">
        <f>IFERROR(IF(#REF!="S",VLOOKUP('Raw Data'!A8155,References!#REF!,2,FALSE),(VLOOKUP($S8155,References!$B$3:$C$8,2,FALSE))),"")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0"/>
        <v>0</v>
      </c>
      <c r="T8156" s="98">
        <f t="shared" si="321"/>
        <v>0</v>
      </c>
      <c r="U8156" s="99" t="str">
        <f>IFERROR(IF(#REF!="S",VLOOKUP('Raw Data'!A8156,References!#REF!,2,FALSE),(VLOOKUP($S8156,References!$B$3:$C$8,2,FALSE))),"")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0"/>
        <v>0</v>
      </c>
      <c r="T8157" s="98">
        <f t="shared" si="321"/>
        <v>0</v>
      </c>
      <c r="U8157" s="99" t="str">
        <f>IFERROR(IF(#REF!="S",VLOOKUP('Raw Data'!A8157,References!#REF!,2,FALSE),(VLOOKUP($S8157,References!$B$3:$C$8,2,FALSE))),"")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0"/>
        <v>0</v>
      </c>
      <c r="T8158" s="98">
        <f t="shared" si="321"/>
        <v>0</v>
      </c>
      <c r="U8158" s="99" t="str">
        <f>IFERROR(IF(#REF!="S",VLOOKUP('Raw Data'!A8158,References!#REF!,2,FALSE),(VLOOKUP($S8158,References!$B$3:$C$8,2,FALSE))),"")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0"/>
        <v>0</v>
      </c>
      <c r="T8159" s="98">
        <f t="shared" si="321"/>
        <v>0</v>
      </c>
      <c r="U8159" s="99" t="str">
        <f>IFERROR(IF(#REF!="S",VLOOKUP('Raw Data'!A8159,References!#REF!,2,FALSE),(VLOOKUP($S8159,References!$B$3:$C$8,2,FALSE))),"")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0"/>
        <v>0</v>
      </c>
      <c r="T8160" s="98">
        <f t="shared" si="321"/>
        <v>0</v>
      </c>
      <c r="U8160" s="99" t="str">
        <f>IFERROR(IF(#REF!="S",VLOOKUP('Raw Data'!A8160,References!#REF!,2,FALSE),(VLOOKUP($S8160,References!$B$3:$C$8,2,FALSE))),"")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0"/>
        <v>0</v>
      </c>
      <c r="T8161" s="98">
        <f t="shared" si="321"/>
        <v>0</v>
      </c>
      <c r="U8161" s="99" t="str">
        <f>IFERROR(IF(#REF!="S",VLOOKUP('Raw Data'!A8161,References!#REF!,2,FALSE),(VLOOKUP($S8161,References!$B$3:$C$8,2,FALSE))),"")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0"/>
        <v>0</v>
      </c>
      <c r="T8162" s="98">
        <f t="shared" si="321"/>
        <v>0</v>
      </c>
      <c r="U8162" s="99" t="str">
        <f>IFERROR(IF(#REF!="S",VLOOKUP('Raw Data'!A8162,References!#REF!,2,FALSE),(VLOOKUP($S8162,References!$B$3:$C$8,2,FALSE))),"")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0"/>
        <v>0</v>
      </c>
      <c r="T8163" s="98">
        <f t="shared" si="321"/>
        <v>0</v>
      </c>
      <c r="U8163" s="99" t="str">
        <f>IFERROR(IF(#REF!="S",VLOOKUP('Raw Data'!A8163,References!#REF!,2,FALSE),(VLOOKUP($S8163,References!$B$3:$C$8,2,FALSE))),"")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0"/>
        <v>0</v>
      </c>
      <c r="T8164" s="98">
        <f t="shared" si="321"/>
        <v>0</v>
      </c>
      <c r="U8164" s="99" t="str">
        <f>IFERROR(IF(#REF!="S",VLOOKUP('Raw Data'!A8164,References!#REF!,2,FALSE),(VLOOKUP($S8164,References!$B$3:$C$8,2,FALSE))),"")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0"/>
        <v>0</v>
      </c>
      <c r="T8165" s="98">
        <f t="shared" si="321"/>
        <v>0</v>
      </c>
      <c r="U8165" s="99" t="str">
        <f>IFERROR(IF(#REF!="S",VLOOKUP('Raw Data'!A8165,References!#REF!,2,FALSE),(VLOOKUP($S8165,References!$B$3:$C$8,2,FALSE))),"")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0"/>
        <v>0</v>
      </c>
      <c r="T8166" s="98">
        <f t="shared" si="321"/>
        <v>0</v>
      </c>
      <c r="U8166" s="99" t="str">
        <f>IFERROR(IF(#REF!="S",VLOOKUP('Raw Data'!A8166,References!#REF!,2,FALSE),(VLOOKUP($S8166,References!$B$3:$C$8,2,FALSE))),"")</f>
        <v/>
      </c>
      <c r="W8166" s="66" t="str">
        <f>IFERROR(VLOOKUP($O8166,'Customer List'!$A$1:$J$488,10,FALSE),"")</f>
        <v/>
      </c>
    </row>
    <row r="8167" spans="18:23">
      <c r="R8167" s="97">
        <f t="shared" si="320"/>
        <v>0</v>
      </c>
      <c r="T8167" s="98">
        <f t="shared" si="321"/>
        <v>0</v>
      </c>
      <c r="U8167" s="99" t="str">
        <f>IFERROR(IF(#REF!="S",VLOOKUP('Raw Data'!A8167,References!#REF!,2,FALSE),(VLOOKUP($S8167,References!$B$3:$C$8,2,FALSE))),"")</f>
        <v/>
      </c>
      <c r="W8167" s="66" t="str">
        <f>IFERROR(VLOOKUP($O8167,'Customer List'!$A$1:$J$488,10,FALSE),"")</f>
        <v/>
      </c>
    </row>
    <row r="8168" spans="18:23">
      <c r="R8168" s="97">
        <f t="shared" ref="R8168:R8231" si="322">L8168-K8168</f>
        <v>0</v>
      </c>
      <c r="T8168" s="98">
        <f t="shared" si="321"/>
        <v>0</v>
      </c>
      <c r="U8168" s="99" t="str">
        <f>IFERROR(IF(#REF!="S",VLOOKUP('Raw Data'!A8168,References!#REF!,2,FALSE),(VLOOKUP($S8168,References!$B$3:$C$8,2,FALSE))),"")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2"/>
        <v>0</v>
      </c>
      <c r="T8169" s="98">
        <f t="shared" si="321"/>
        <v>0</v>
      </c>
      <c r="U8169" s="99" t="str">
        <f>IFERROR(IF(#REF!="S",VLOOKUP('Raw Data'!A8169,References!#REF!,2,FALSE),(VLOOKUP($S8169,References!$B$3:$C$8,2,FALSE))),"")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2"/>
        <v>0</v>
      </c>
      <c r="T8170" s="98">
        <f t="shared" si="321"/>
        <v>0</v>
      </c>
      <c r="U8170" s="99" t="str">
        <f>IFERROR(IF(#REF!="S",VLOOKUP('Raw Data'!A8170,References!#REF!,2,FALSE),(VLOOKUP($S8170,References!$B$3:$C$8,2,FALSE))),"")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2"/>
        <v>0</v>
      </c>
      <c r="T8171" s="98">
        <f t="shared" si="321"/>
        <v>0</v>
      </c>
      <c r="U8171" s="99" t="str">
        <f>IFERROR(IF(#REF!="S",VLOOKUP('Raw Data'!A8171,References!#REF!,2,FALSE),(VLOOKUP($S8171,References!$B$3:$C$8,2,FALSE))),"")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2"/>
        <v>0</v>
      </c>
      <c r="T8172" s="98">
        <f t="shared" si="321"/>
        <v>0</v>
      </c>
      <c r="U8172" s="99" t="str">
        <f>IFERROR(IF(#REF!="S",VLOOKUP('Raw Data'!A8172,References!#REF!,2,FALSE),(VLOOKUP($S8172,References!$B$3:$C$8,2,FALSE))),"")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2"/>
        <v>0</v>
      </c>
      <c r="T8173" s="98">
        <f t="shared" si="321"/>
        <v>0</v>
      </c>
      <c r="U8173" s="99" t="str">
        <f>IFERROR(IF(#REF!="S",VLOOKUP('Raw Data'!A8173,References!#REF!,2,FALSE),(VLOOKUP($S8173,References!$B$3:$C$8,2,FALSE))),"")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2"/>
        <v>0</v>
      </c>
      <c r="T8174" s="98">
        <f t="shared" si="321"/>
        <v>0</v>
      </c>
      <c r="U8174" s="99" t="str">
        <f>IFERROR(IF(#REF!="S",VLOOKUP('Raw Data'!A8174,References!#REF!,2,FALSE),(VLOOKUP($S8174,References!$B$3:$C$8,2,FALSE))),"")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2"/>
        <v>0</v>
      </c>
      <c r="T8175" s="98">
        <f t="shared" si="321"/>
        <v>0</v>
      </c>
      <c r="U8175" s="99" t="str">
        <f>IFERROR(IF(#REF!="S",VLOOKUP('Raw Data'!A8175,References!#REF!,2,FALSE),(VLOOKUP($S8175,References!$B$3:$C$8,2,FALSE))),"")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2"/>
        <v>0</v>
      </c>
      <c r="T8176" s="98">
        <f t="shared" si="321"/>
        <v>0</v>
      </c>
      <c r="U8176" s="99" t="str">
        <f>IFERROR(IF(#REF!="S",VLOOKUP('Raw Data'!A8176,References!#REF!,2,FALSE),(VLOOKUP($S8176,References!$B$3:$C$8,2,FALSE))),"")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2"/>
        <v>0</v>
      </c>
      <c r="T8177" s="98">
        <f t="shared" si="321"/>
        <v>0</v>
      </c>
      <c r="U8177" s="99" t="str">
        <f>IFERROR(IF(#REF!="S",VLOOKUP('Raw Data'!A8177,References!#REF!,2,FALSE),(VLOOKUP($S8177,References!$B$3:$C$8,2,FALSE))),"")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2"/>
        <v>0</v>
      </c>
      <c r="T8178" s="98">
        <f t="shared" si="321"/>
        <v>0</v>
      </c>
      <c r="U8178" s="99" t="str">
        <f>IFERROR(IF(#REF!="S",VLOOKUP('Raw Data'!A8178,References!#REF!,2,FALSE),(VLOOKUP($S8178,References!$B$3:$C$8,2,FALSE))),"")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2"/>
        <v>0</v>
      </c>
      <c r="T8179" s="98">
        <f t="shared" si="321"/>
        <v>0</v>
      </c>
      <c r="U8179" s="99" t="str">
        <f>IFERROR(IF(#REF!="S",VLOOKUP('Raw Data'!A8179,References!#REF!,2,FALSE),(VLOOKUP($S8179,References!$B$3:$C$8,2,FALSE))),"")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2"/>
        <v>0</v>
      </c>
      <c r="T8180" s="98">
        <f t="shared" si="321"/>
        <v>0</v>
      </c>
      <c r="U8180" s="99" t="str">
        <f>IFERROR(IF(#REF!="S",VLOOKUP('Raw Data'!A8180,References!#REF!,2,FALSE),(VLOOKUP($S8180,References!$B$3:$C$8,2,FALSE))),"")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2"/>
        <v>0</v>
      </c>
      <c r="T8181" s="98">
        <f t="shared" si="321"/>
        <v>0</v>
      </c>
      <c r="U8181" s="99" t="str">
        <f>IFERROR(IF(#REF!="S",VLOOKUP('Raw Data'!A8181,References!#REF!,2,FALSE),(VLOOKUP($S8181,References!$B$3:$C$8,2,FALSE))),"")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2"/>
        <v>0</v>
      </c>
      <c r="T8182" s="98">
        <f t="shared" si="321"/>
        <v>0</v>
      </c>
      <c r="U8182" s="99" t="str">
        <f>IFERROR(IF(#REF!="S",VLOOKUP('Raw Data'!A8182,References!#REF!,2,FALSE),(VLOOKUP($S8182,References!$B$3:$C$8,2,FALSE))),"")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2"/>
        <v>0</v>
      </c>
      <c r="T8183" s="98">
        <f t="shared" si="321"/>
        <v>0</v>
      </c>
      <c r="U8183" s="99" t="str">
        <f>IFERROR(IF(#REF!="S",VLOOKUP('Raw Data'!A8183,References!#REF!,2,FALSE),(VLOOKUP($S8183,References!$B$3:$C$8,2,FALSE))),"")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2"/>
        <v>0</v>
      </c>
      <c r="T8184" s="98">
        <f t="shared" si="321"/>
        <v>0</v>
      </c>
      <c r="U8184" s="99" t="str">
        <f>IFERROR(IF(#REF!="S",VLOOKUP('Raw Data'!A8184,References!#REF!,2,FALSE),(VLOOKUP($S8184,References!$B$3:$C$8,2,FALSE))),"")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2"/>
        <v>0</v>
      </c>
      <c r="T8185" s="98">
        <f t="shared" si="321"/>
        <v>0</v>
      </c>
      <c r="U8185" s="99" t="str">
        <f>IFERROR(IF(#REF!="S",VLOOKUP('Raw Data'!A8185,References!#REF!,2,FALSE),(VLOOKUP($S8185,References!$B$3:$C$8,2,FALSE))),"")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2"/>
        <v>0</v>
      </c>
      <c r="T8186" s="98">
        <f t="shared" si="321"/>
        <v>0</v>
      </c>
      <c r="U8186" s="99" t="str">
        <f>IFERROR(IF(#REF!="S",VLOOKUP('Raw Data'!A8186,References!#REF!,2,FALSE),(VLOOKUP($S8186,References!$B$3:$C$8,2,FALSE))),"")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2"/>
        <v>0</v>
      </c>
      <c r="T8187" s="98">
        <f t="shared" si="321"/>
        <v>0</v>
      </c>
      <c r="U8187" s="99" t="str">
        <f>IFERROR(IF(#REF!="S",VLOOKUP('Raw Data'!A8187,References!#REF!,2,FALSE),(VLOOKUP($S8187,References!$B$3:$C$8,2,FALSE))),"")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2"/>
        <v>0</v>
      </c>
      <c r="T8188" s="98">
        <f t="shared" si="321"/>
        <v>0</v>
      </c>
      <c r="U8188" s="99" t="str">
        <f>IFERROR(IF(#REF!="S",VLOOKUP('Raw Data'!A8188,References!#REF!,2,FALSE),(VLOOKUP($S8188,References!$B$3:$C$8,2,FALSE))),"")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2"/>
        <v>0</v>
      </c>
      <c r="T8189" s="98">
        <f t="shared" si="321"/>
        <v>0</v>
      </c>
      <c r="U8189" s="99" t="str">
        <f>IFERROR(IF(#REF!="S",VLOOKUP('Raw Data'!A8189,References!#REF!,2,FALSE),(VLOOKUP($S8189,References!$B$3:$C$8,2,FALSE))),"")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2"/>
        <v>0</v>
      </c>
      <c r="T8190" s="98">
        <f t="shared" si="321"/>
        <v>0</v>
      </c>
      <c r="U8190" s="99" t="str">
        <f>IFERROR(IF(#REF!="S",VLOOKUP('Raw Data'!A8190,References!#REF!,2,FALSE),(VLOOKUP($S8190,References!$B$3:$C$8,2,FALSE))),"")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2"/>
        <v>0</v>
      </c>
      <c r="T8191" s="98">
        <f t="shared" si="321"/>
        <v>0</v>
      </c>
      <c r="U8191" s="99" t="str">
        <f>IFERROR(IF(#REF!="S",VLOOKUP('Raw Data'!A8191,References!#REF!,2,FALSE),(VLOOKUP($S8191,References!$B$3:$C$8,2,FALSE))),"")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2"/>
        <v>0</v>
      </c>
      <c r="T8192" s="98">
        <f t="shared" si="321"/>
        <v>0</v>
      </c>
      <c r="U8192" s="99" t="str">
        <f>IFERROR(IF(#REF!="S",VLOOKUP('Raw Data'!A8192,References!#REF!,2,FALSE),(VLOOKUP($S8192,References!$B$3:$C$8,2,FALSE))),"")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2"/>
        <v>0</v>
      </c>
      <c r="T8193" s="98">
        <f t="shared" si="321"/>
        <v>0</v>
      </c>
      <c r="U8193" s="99" t="str">
        <f>IFERROR(IF(#REF!="S",VLOOKUP('Raw Data'!A8193,References!#REF!,2,FALSE),(VLOOKUP($S8193,References!$B$3:$C$8,2,FALSE))),"")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2"/>
        <v>0</v>
      </c>
      <c r="T8194" s="98">
        <f t="shared" si="321"/>
        <v>0</v>
      </c>
      <c r="U8194" s="99" t="str">
        <f>IFERROR(IF(#REF!="S",VLOOKUP('Raw Data'!A8194,References!#REF!,2,FALSE),(VLOOKUP($S8194,References!$B$3:$C$8,2,FALSE))),"")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2"/>
        <v>0</v>
      </c>
      <c r="T8195" s="98">
        <f t="shared" si="321"/>
        <v>0</v>
      </c>
      <c r="U8195" s="99" t="str">
        <f>IFERROR(IF(#REF!="S",VLOOKUP('Raw Data'!A8195,References!#REF!,2,FALSE),(VLOOKUP($S8195,References!$B$3:$C$8,2,FALSE))),"")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2"/>
        <v>0</v>
      </c>
      <c r="T8196" s="98">
        <f t="shared" si="321"/>
        <v>0</v>
      </c>
      <c r="U8196" s="99" t="str">
        <f>IFERROR(IF(#REF!="S",VLOOKUP('Raw Data'!A8196,References!#REF!,2,FALSE),(VLOOKUP($S8196,References!$B$3:$C$8,2,FALSE))),"")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2"/>
        <v>0</v>
      </c>
      <c r="T8197" s="98">
        <f t="shared" si="321"/>
        <v>0</v>
      </c>
      <c r="U8197" s="99" t="str">
        <f>IFERROR(IF(#REF!="S",VLOOKUP('Raw Data'!A8197,References!#REF!,2,FALSE),(VLOOKUP($S8197,References!$B$3:$C$8,2,FALSE))),"")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2"/>
        <v>0</v>
      </c>
      <c r="T8198" s="98">
        <f t="shared" si="321"/>
        <v>0</v>
      </c>
      <c r="U8198" s="99" t="str">
        <f>IFERROR(IF(#REF!="S",VLOOKUP('Raw Data'!A8198,References!#REF!,2,FALSE),(VLOOKUP($S8198,References!$B$3:$C$8,2,FALSE))),"")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2"/>
        <v>0</v>
      </c>
      <c r="T8199" s="98">
        <f t="shared" si="321"/>
        <v>0</v>
      </c>
      <c r="U8199" s="99" t="str">
        <f>IFERROR(IF(#REF!="S",VLOOKUP('Raw Data'!A8199,References!#REF!,2,FALSE),(VLOOKUP($S8199,References!$B$3:$C$8,2,FALSE))),"")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2"/>
        <v>0</v>
      </c>
      <c r="T8200" s="98">
        <f t="shared" si="321"/>
        <v>0</v>
      </c>
      <c r="U8200" s="99" t="str">
        <f>IFERROR(IF(#REF!="S",VLOOKUP('Raw Data'!A8200,References!#REF!,2,FALSE),(VLOOKUP($S8200,References!$B$3:$C$8,2,FALSE))),"")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2"/>
        <v>0</v>
      </c>
      <c r="T8201" s="98">
        <f t="shared" si="321"/>
        <v>0</v>
      </c>
      <c r="U8201" s="99" t="str">
        <f>IFERROR(IF(#REF!="S",VLOOKUP('Raw Data'!A8201,References!#REF!,2,FALSE),(VLOOKUP($S8201,References!$B$3:$C$8,2,FALSE))),"")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2"/>
        <v>0</v>
      </c>
      <c r="T8202" s="98">
        <f t="shared" si="321"/>
        <v>0</v>
      </c>
      <c r="U8202" s="99" t="str">
        <f>IFERROR(IF(#REF!="S",VLOOKUP('Raw Data'!A8202,References!#REF!,2,FALSE),(VLOOKUP($S8202,References!$B$3:$C$8,2,FALSE))),"")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2"/>
        <v>0</v>
      </c>
      <c r="T8203" s="98">
        <f t="shared" si="321"/>
        <v>0</v>
      </c>
      <c r="U8203" s="99" t="str">
        <f>IFERROR(IF(#REF!="S",VLOOKUP('Raw Data'!A8203,References!#REF!,2,FALSE),(VLOOKUP($S8203,References!$B$3:$C$8,2,FALSE))),"")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2"/>
        <v>0</v>
      </c>
      <c r="T8204" s="98">
        <f t="shared" si="321"/>
        <v>0</v>
      </c>
      <c r="U8204" s="99" t="str">
        <f>IFERROR(IF(#REF!="S",VLOOKUP('Raw Data'!A8204,References!#REF!,2,FALSE),(VLOOKUP($S8204,References!$B$3:$C$8,2,FALSE))),"")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2"/>
        <v>0</v>
      </c>
      <c r="T8205" s="98">
        <f t="shared" si="321"/>
        <v>0</v>
      </c>
      <c r="U8205" s="99" t="str">
        <f>IFERROR(IF(#REF!="S",VLOOKUP('Raw Data'!A8205,References!#REF!,2,FALSE),(VLOOKUP($S8205,References!$B$3:$C$8,2,FALSE))),"")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2"/>
        <v>0</v>
      </c>
      <c r="T8206" s="98">
        <f t="shared" si="321"/>
        <v>0</v>
      </c>
      <c r="U8206" s="99" t="str">
        <f>IFERROR(IF(#REF!="S",VLOOKUP('Raw Data'!A8206,References!#REF!,2,FALSE),(VLOOKUP($S8206,References!$B$3:$C$8,2,FALSE))),"")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2"/>
        <v>0</v>
      </c>
      <c r="T8207" s="98">
        <f t="shared" si="321"/>
        <v>0</v>
      </c>
      <c r="U8207" s="99" t="str">
        <f>IFERROR(IF(#REF!="S",VLOOKUP('Raw Data'!A8207,References!#REF!,2,FALSE),(VLOOKUP($S8207,References!$B$3:$C$8,2,FALSE))),"")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2"/>
        <v>0</v>
      </c>
      <c r="T8208" s="98">
        <f t="shared" ref="T8208:T8271" si="323">IF(S8208="50 - Cleaning Fee",1,HOUR($R8208)+MINUTE(R8208)/60)</f>
        <v>0</v>
      </c>
      <c r="U8208" s="99" t="str">
        <f>IFERROR(IF(#REF!="S",VLOOKUP('Raw Data'!A8208,References!#REF!,2,FALSE),(VLOOKUP($S8208,References!$B$3:$C$8,2,FALSE))),"")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2"/>
        <v>0</v>
      </c>
      <c r="T8209" s="98">
        <f t="shared" si="323"/>
        <v>0</v>
      </c>
      <c r="U8209" s="99" t="str">
        <f>IFERROR(IF(#REF!="S",VLOOKUP('Raw Data'!A8209,References!#REF!,2,FALSE),(VLOOKUP($S8209,References!$B$3:$C$8,2,FALSE))),"")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2"/>
        <v>0</v>
      </c>
      <c r="T8210" s="98">
        <f t="shared" si="323"/>
        <v>0</v>
      </c>
      <c r="U8210" s="99" t="str">
        <f>IFERROR(IF(#REF!="S",VLOOKUP('Raw Data'!A8210,References!#REF!,2,FALSE),(VLOOKUP($S8210,References!$B$3:$C$8,2,FALSE))),"")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2"/>
        <v>0</v>
      </c>
      <c r="T8211" s="98">
        <f t="shared" si="323"/>
        <v>0</v>
      </c>
      <c r="U8211" s="99" t="str">
        <f>IFERROR(IF(#REF!="S",VLOOKUP('Raw Data'!A8211,References!#REF!,2,FALSE),(VLOOKUP($S8211,References!$B$3:$C$8,2,FALSE))),"")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2"/>
        <v>0</v>
      </c>
      <c r="T8212" s="98">
        <f t="shared" si="323"/>
        <v>0</v>
      </c>
      <c r="U8212" s="99" t="str">
        <f>IFERROR(IF(#REF!="S",VLOOKUP('Raw Data'!A8212,References!#REF!,2,FALSE),(VLOOKUP($S8212,References!$B$3:$C$8,2,FALSE))),"")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2"/>
        <v>0</v>
      </c>
      <c r="T8213" s="98">
        <f t="shared" si="323"/>
        <v>0</v>
      </c>
      <c r="U8213" s="99" t="str">
        <f>IFERROR(IF(#REF!="S",VLOOKUP('Raw Data'!A8213,References!#REF!,2,FALSE),(VLOOKUP($S8213,References!$B$3:$C$8,2,FALSE))),"")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2"/>
        <v>0</v>
      </c>
      <c r="T8214" s="98">
        <f t="shared" si="323"/>
        <v>0</v>
      </c>
      <c r="U8214" s="99" t="str">
        <f>IFERROR(IF(#REF!="S",VLOOKUP('Raw Data'!A8214,References!#REF!,2,FALSE),(VLOOKUP($S8214,References!$B$3:$C$8,2,FALSE))),"")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2"/>
        <v>0</v>
      </c>
      <c r="T8215" s="98">
        <f t="shared" si="323"/>
        <v>0</v>
      </c>
      <c r="U8215" s="99" t="str">
        <f>IFERROR(IF(#REF!="S",VLOOKUP('Raw Data'!A8215,References!#REF!,2,FALSE),(VLOOKUP($S8215,References!$B$3:$C$8,2,FALSE))),"")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2"/>
        <v>0</v>
      </c>
      <c r="T8216" s="98">
        <f t="shared" si="323"/>
        <v>0</v>
      </c>
      <c r="U8216" s="99" t="str">
        <f>IFERROR(IF(#REF!="S",VLOOKUP('Raw Data'!A8216,References!#REF!,2,FALSE),(VLOOKUP($S8216,References!$B$3:$C$8,2,FALSE))),"")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2"/>
        <v>0</v>
      </c>
      <c r="T8217" s="98">
        <f t="shared" si="323"/>
        <v>0</v>
      </c>
      <c r="U8217" s="99" t="str">
        <f>IFERROR(IF(#REF!="S",VLOOKUP('Raw Data'!A8217,References!#REF!,2,FALSE),(VLOOKUP($S8217,References!$B$3:$C$8,2,FALSE))),"")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2"/>
        <v>0</v>
      </c>
      <c r="T8218" s="98">
        <f t="shared" si="323"/>
        <v>0</v>
      </c>
      <c r="U8218" s="99" t="str">
        <f>IFERROR(IF(#REF!="S",VLOOKUP('Raw Data'!A8218,References!#REF!,2,FALSE),(VLOOKUP($S8218,References!$B$3:$C$8,2,FALSE))),"")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2"/>
        <v>0</v>
      </c>
      <c r="T8219" s="98">
        <f t="shared" si="323"/>
        <v>0</v>
      </c>
      <c r="U8219" s="99" t="str">
        <f>IFERROR(IF(#REF!="S",VLOOKUP('Raw Data'!A8219,References!#REF!,2,FALSE),(VLOOKUP($S8219,References!$B$3:$C$8,2,FALSE))),"")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2"/>
        <v>0</v>
      </c>
      <c r="T8220" s="98">
        <f t="shared" si="323"/>
        <v>0</v>
      </c>
      <c r="U8220" s="99" t="str">
        <f>IFERROR(IF(#REF!="S",VLOOKUP('Raw Data'!A8220,References!#REF!,2,FALSE),(VLOOKUP($S8220,References!$B$3:$C$8,2,FALSE))),"")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2"/>
        <v>0</v>
      </c>
      <c r="T8221" s="98">
        <f t="shared" si="323"/>
        <v>0</v>
      </c>
      <c r="U8221" s="99" t="str">
        <f>IFERROR(IF(#REF!="S",VLOOKUP('Raw Data'!A8221,References!#REF!,2,FALSE),(VLOOKUP($S8221,References!$B$3:$C$8,2,FALSE))),"")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2"/>
        <v>0</v>
      </c>
      <c r="T8222" s="98">
        <f t="shared" si="323"/>
        <v>0</v>
      </c>
      <c r="U8222" s="99" t="str">
        <f>IFERROR(IF(#REF!="S",VLOOKUP('Raw Data'!A8222,References!#REF!,2,FALSE),(VLOOKUP($S8222,References!$B$3:$C$8,2,FALSE))),"")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2"/>
        <v>0</v>
      </c>
      <c r="T8223" s="98">
        <f t="shared" si="323"/>
        <v>0</v>
      </c>
      <c r="U8223" s="99" t="str">
        <f>IFERROR(IF(#REF!="S",VLOOKUP('Raw Data'!A8223,References!#REF!,2,FALSE),(VLOOKUP($S8223,References!$B$3:$C$8,2,FALSE))),"")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2"/>
        <v>0</v>
      </c>
      <c r="T8224" s="98">
        <f t="shared" si="323"/>
        <v>0</v>
      </c>
      <c r="U8224" s="99" t="str">
        <f>IFERROR(IF(#REF!="S",VLOOKUP('Raw Data'!A8224,References!#REF!,2,FALSE),(VLOOKUP($S8224,References!$B$3:$C$8,2,FALSE))),"")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2"/>
        <v>0</v>
      </c>
      <c r="T8225" s="98">
        <f t="shared" si="323"/>
        <v>0</v>
      </c>
      <c r="U8225" s="99" t="str">
        <f>IFERROR(IF(#REF!="S",VLOOKUP('Raw Data'!A8225,References!#REF!,2,FALSE),(VLOOKUP($S8225,References!$B$3:$C$8,2,FALSE))),"")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2"/>
        <v>0</v>
      </c>
      <c r="T8226" s="98">
        <f t="shared" si="323"/>
        <v>0</v>
      </c>
      <c r="U8226" s="99" t="str">
        <f>IFERROR(IF(#REF!="S",VLOOKUP('Raw Data'!A8226,References!#REF!,2,FALSE),(VLOOKUP($S8226,References!$B$3:$C$8,2,FALSE))),"")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2"/>
        <v>0</v>
      </c>
      <c r="T8227" s="98">
        <f t="shared" si="323"/>
        <v>0</v>
      </c>
      <c r="U8227" s="99" t="str">
        <f>IFERROR(IF(#REF!="S",VLOOKUP('Raw Data'!A8227,References!#REF!,2,FALSE),(VLOOKUP($S8227,References!$B$3:$C$8,2,FALSE))),"")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2"/>
        <v>0</v>
      </c>
      <c r="T8228" s="98">
        <f t="shared" si="323"/>
        <v>0</v>
      </c>
      <c r="U8228" s="99" t="str">
        <f>IFERROR(IF(#REF!="S",VLOOKUP('Raw Data'!A8228,References!#REF!,2,FALSE),(VLOOKUP($S8228,References!$B$3:$C$8,2,FALSE))),"")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2"/>
        <v>0</v>
      </c>
      <c r="T8229" s="98">
        <f t="shared" si="323"/>
        <v>0</v>
      </c>
      <c r="U8229" s="99" t="str">
        <f>IFERROR(IF(#REF!="S",VLOOKUP('Raw Data'!A8229,References!#REF!,2,FALSE),(VLOOKUP($S8229,References!$B$3:$C$8,2,FALSE))),"")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2"/>
        <v>0</v>
      </c>
      <c r="T8230" s="98">
        <f t="shared" si="323"/>
        <v>0</v>
      </c>
      <c r="U8230" s="99" t="str">
        <f>IFERROR(IF(#REF!="S",VLOOKUP('Raw Data'!A8230,References!#REF!,2,FALSE),(VLOOKUP($S8230,References!$B$3:$C$8,2,FALSE))),"")</f>
        <v/>
      </c>
      <c r="W8230" s="66" t="str">
        <f>IFERROR(VLOOKUP($O8230,'Customer List'!$A$1:$J$488,10,FALSE),"")</f>
        <v/>
      </c>
    </row>
    <row r="8231" spans="18:23">
      <c r="R8231" s="97">
        <f t="shared" si="322"/>
        <v>0</v>
      </c>
      <c r="T8231" s="98">
        <f t="shared" si="323"/>
        <v>0</v>
      </c>
      <c r="U8231" s="99" t="str">
        <f>IFERROR(IF(#REF!="S",VLOOKUP('Raw Data'!A8231,References!#REF!,2,FALSE),(VLOOKUP($S8231,References!$B$3:$C$8,2,FALSE))),"")</f>
        <v/>
      </c>
      <c r="W8231" s="66" t="str">
        <f>IFERROR(VLOOKUP($O8231,'Customer List'!$A$1:$J$488,10,FALSE),"")</f>
        <v/>
      </c>
    </row>
    <row r="8232" spans="18:23">
      <c r="R8232" s="97">
        <f t="shared" ref="R8232:R8295" si="324">L8232-K8232</f>
        <v>0</v>
      </c>
      <c r="T8232" s="98">
        <f t="shared" si="323"/>
        <v>0</v>
      </c>
      <c r="U8232" s="99" t="str">
        <f>IFERROR(IF(#REF!="S",VLOOKUP('Raw Data'!A8232,References!#REF!,2,FALSE),(VLOOKUP($S8232,References!$B$3:$C$8,2,FALSE))),"")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4"/>
        <v>0</v>
      </c>
      <c r="T8233" s="98">
        <f t="shared" si="323"/>
        <v>0</v>
      </c>
      <c r="U8233" s="99" t="str">
        <f>IFERROR(IF(#REF!="S",VLOOKUP('Raw Data'!A8233,References!#REF!,2,FALSE),(VLOOKUP($S8233,References!$B$3:$C$8,2,FALSE))),"")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4"/>
        <v>0</v>
      </c>
      <c r="T8234" s="98">
        <f t="shared" si="323"/>
        <v>0</v>
      </c>
      <c r="U8234" s="99" t="str">
        <f>IFERROR(IF(#REF!="S",VLOOKUP('Raw Data'!A8234,References!#REF!,2,FALSE),(VLOOKUP($S8234,References!$B$3:$C$8,2,FALSE))),"")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4"/>
        <v>0</v>
      </c>
      <c r="T8235" s="98">
        <f t="shared" si="323"/>
        <v>0</v>
      </c>
      <c r="U8235" s="99" t="str">
        <f>IFERROR(IF(#REF!="S",VLOOKUP('Raw Data'!A8235,References!#REF!,2,FALSE),(VLOOKUP($S8235,References!$B$3:$C$8,2,FALSE))),"")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4"/>
        <v>0</v>
      </c>
      <c r="T8236" s="98">
        <f t="shared" si="323"/>
        <v>0</v>
      </c>
      <c r="U8236" s="99" t="str">
        <f>IFERROR(IF(#REF!="S",VLOOKUP('Raw Data'!A8236,References!#REF!,2,FALSE),(VLOOKUP($S8236,References!$B$3:$C$8,2,FALSE))),"")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4"/>
        <v>0</v>
      </c>
      <c r="T8237" s="98">
        <f t="shared" si="323"/>
        <v>0</v>
      </c>
      <c r="U8237" s="99" t="str">
        <f>IFERROR(IF(#REF!="S",VLOOKUP('Raw Data'!A8237,References!#REF!,2,FALSE),(VLOOKUP($S8237,References!$B$3:$C$8,2,FALSE))),"")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4"/>
        <v>0</v>
      </c>
      <c r="T8238" s="98">
        <f t="shared" si="323"/>
        <v>0</v>
      </c>
      <c r="U8238" s="99" t="str">
        <f>IFERROR(IF(#REF!="S",VLOOKUP('Raw Data'!A8238,References!#REF!,2,FALSE),(VLOOKUP($S8238,References!$B$3:$C$8,2,FALSE))),"")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4"/>
        <v>0</v>
      </c>
      <c r="T8239" s="98">
        <f t="shared" si="323"/>
        <v>0</v>
      </c>
      <c r="U8239" s="99" t="str">
        <f>IFERROR(IF(#REF!="S",VLOOKUP('Raw Data'!A8239,References!#REF!,2,FALSE),(VLOOKUP($S8239,References!$B$3:$C$8,2,FALSE))),"")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4"/>
        <v>0</v>
      </c>
      <c r="T8240" s="98">
        <f t="shared" si="323"/>
        <v>0</v>
      </c>
      <c r="U8240" s="99" t="str">
        <f>IFERROR(IF(#REF!="S",VLOOKUP('Raw Data'!A8240,References!#REF!,2,FALSE),(VLOOKUP($S8240,References!$B$3:$C$8,2,FALSE))),"")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4"/>
        <v>0</v>
      </c>
      <c r="T8241" s="98">
        <f t="shared" si="323"/>
        <v>0</v>
      </c>
      <c r="U8241" s="99" t="str">
        <f>IFERROR(IF(#REF!="S",VLOOKUP('Raw Data'!A8241,References!#REF!,2,FALSE),(VLOOKUP($S8241,References!$B$3:$C$8,2,FALSE))),"")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4"/>
        <v>0</v>
      </c>
      <c r="T8242" s="98">
        <f t="shared" si="323"/>
        <v>0</v>
      </c>
      <c r="U8242" s="99" t="str">
        <f>IFERROR(IF(#REF!="S",VLOOKUP('Raw Data'!A8242,References!#REF!,2,FALSE),(VLOOKUP($S8242,References!$B$3:$C$8,2,FALSE))),"")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4"/>
        <v>0</v>
      </c>
      <c r="T8243" s="98">
        <f t="shared" si="323"/>
        <v>0</v>
      </c>
      <c r="U8243" s="99" t="str">
        <f>IFERROR(IF(#REF!="S",VLOOKUP('Raw Data'!A8243,References!#REF!,2,FALSE),(VLOOKUP($S8243,References!$B$3:$C$8,2,FALSE))),"")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4"/>
        <v>0</v>
      </c>
      <c r="T8244" s="98">
        <f t="shared" si="323"/>
        <v>0</v>
      </c>
      <c r="U8244" s="99" t="str">
        <f>IFERROR(IF(#REF!="S",VLOOKUP('Raw Data'!A8244,References!#REF!,2,FALSE),(VLOOKUP($S8244,References!$B$3:$C$8,2,FALSE))),"")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4"/>
        <v>0</v>
      </c>
      <c r="T8245" s="98">
        <f t="shared" si="323"/>
        <v>0</v>
      </c>
      <c r="U8245" s="99" t="str">
        <f>IFERROR(IF(#REF!="S",VLOOKUP('Raw Data'!A8245,References!#REF!,2,FALSE),(VLOOKUP($S8245,References!$B$3:$C$8,2,FALSE))),"")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4"/>
        <v>0</v>
      </c>
      <c r="T8246" s="98">
        <f t="shared" si="323"/>
        <v>0</v>
      </c>
      <c r="U8246" s="99" t="str">
        <f>IFERROR(IF(#REF!="S",VLOOKUP('Raw Data'!A8246,References!#REF!,2,FALSE),(VLOOKUP($S8246,References!$B$3:$C$8,2,FALSE))),"")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4"/>
        <v>0</v>
      </c>
      <c r="T8247" s="98">
        <f t="shared" si="323"/>
        <v>0</v>
      </c>
      <c r="U8247" s="99" t="str">
        <f>IFERROR(IF(#REF!="S",VLOOKUP('Raw Data'!A8247,References!#REF!,2,FALSE),(VLOOKUP($S8247,References!$B$3:$C$8,2,FALSE))),"")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4"/>
        <v>0</v>
      </c>
      <c r="T8248" s="98">
        <f t="shared" si="323"/>
        <v>0</v>
      </c>
      <c r="U8248" s="99" t="str">
        <f>IFERROR(IF(#REF!="S",VLOOKUP('Raw Data'!A8248,References!#REF!,2,FALSE),(VLOOKUP($S8248,References!$B$3:$C$8,2,FALSE))),"")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4"/>
        <v>0</v>
      </c>
      <c r="T8249" s="98">
        <f t="shared" si="323"/>
        <v>0</v>
      </c>
      <c r="U8249" s="99" t="str">
        <f>IFERROR(IF(#REF!="S",VLOOKUP('Raw Data'!A8249,References!#REF!,2,FALSE),(VLOOKUP($S8249,References!$B$3:$C$8,2,FALSE))),"")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4"/>
        <v>0</v>
      </c>
      <c r="T8250" s="98">
        <f t="shared" si="323"/>
        <v>0</v>
      </c>
      <c r="U8250" s="99" t="str">
        <f>IFERROR(IF(#REF!="S",VLOOKUP('Raw Data'!A8250,References!#REF!,2,FALSE),(VLOOKUP($S8250,References!$B$3:$C$8,2,FALSE))),"")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4"/>
        <v>0</v>
      </c>
      <c r="T8251" s="98">
        <f t="shared" si="323"/>
        <v>0</v>
      </c>
      <c r="U8251" s="99" t="str">
        <f>IFERROR(IF(#REF!="S",VLOOKUP('Raw Data'!A8251,References!#REF!,2,FALSE),(VLOOKUP($S8251,References!$B$3:$C$8,2,FALSE))),"")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4"/>
        <v>0</v>
      </c>
      <c r="T8252" s="98">
        <f t="shared" si="323"/>
        <v>0</v>
      </c>
      <c r="U8252" s="99" t="str">
        <f>IFERROR(IF(#REF!="S",VLOOKUP('Raw Data'!A8252,References!#REF!,2,FALSE),(VLOOKUP($S8252,References!$B$3:$C$8,2,FALSE))),"")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4"/>
        <v>0</v>
      </c>
      <c r="T8253" s="98">
        <f t="shared" si="323"/>
        <v>0</v>
      </c>
      <c r="U8253" s="99" t="str">
        <f>IFERROR(IF(#REF!="S",VLOOKUP('Raw Data'!A8253,References!#REF!,2,FALSE),(VLOOKUP($S8253,References!$B$3:$C$8,2,FALSE))),"")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4"/>
        <v>0</v>
      </c>
      <c r="T8254" s="98">
        <f t="shared" si="323"/>
        <v>0</v>
      </c>
      <c r="U8254" s="99" t="str">
        <f>IFERROR(IF(#REF!="S",VLOOKUP('Raw Data'!A8254,References!#REF!,2,FALSE),(VLOOKUP($S8254,References!$B$3:$C$8,2,FALSE))),"")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4"/>
        <v>0</v>
      </c>
      <c r="T8255" s="98">
        <f t="shared" si="323"/>
        <v>0</v>
      </c>
      <c r="U8255" s="99" t="str">
        <f>IFERROR(IF(#REF!="S",VLOOKUP('Raw Data'!A8255,References!#REF!,2,FALSE),(VLOOKUP($S8255,References!$B$3:$C$8,2,FALSE))),"")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4"/>
        <v>0</v>
      </c>
      <c r="T8256" s="98">
        <f t="shared" si="323"/>
        <v>0</v>
      </c>
      <c r="U8256" s="99" t="str">
        <f>IFERROR(IF(#REF!="S",VLOOKUP('Raw Data'!A8256,References!#REF!,2,FALSE),(VLOOKUP($S8256,References!$B$3:$C$8,2,FALSE))),"")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4"/>
        <v>0</v>
      </c>
      <c r="T8257" s="98">
        <f t="shared" si="323"/>
        <v>0</v>
      </c>
      <c r="U8257" s="99" t="str">
        <f>IFERROR(IF(#REF!="S",VLOOKUP('Raw Data'!A8257,References!#REF!,2,FALSE),(VLOOKUP($S8257,References!$B$3:$C$8,2,FALSE))),"")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4"/>
        <v>0</v>
      </c>
      <c r="T8258" s="98">
        <f t="shared" si="323"/>
        <v>0</v>
      </c>
      <c r="U8258" s="99" t="str">
        <f>IFERROR(IF(#REF!="S",VLOOKUP('Raw Data'!A8258,References!#REF!,2,FALSE),(VLOOKUP($S8258,References!$B$3:$C$8,2,FALSE))),"")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4"/>
        <v>0</v>
      </c>
      <c r="T8259" s="98">
        <f t="shared" si="323"/>
        <v>0</v>
      </c>
      <c r="U8259" s="99" t="str">
        <f>IFERROR(IF(#REF!="S",VLOOKUP('Raw Data'!A8259,References!#REF!,2,FALSE),(VLOOKUP($S8259,References!$B$3:$C$8,2,FALSE))),"")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4"/>
        <v>0</v>
      </c>
      <c r="T8260" s="98">
        <f t="shared" si="323"/>
        <v>0</v>
      </c>
      <c r="U8260" s="99" t="str">
        <f>IFERROR(IF(#REF!="S",VLOOKUP('Raw Data'!A8260,References!#REF!,2,FALSE),(VLOOKUP($S8260,References!$B$3:$C$8,2,FALSE))),"")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4"/>
        <v>0</v>
      </c>
      <c r="T8261" s="98">
        <f t="shared" si="323"/>
        <v>0</v>
      </c>
      <c r="U8261" s="99" t="str">
        <f>IFERROR(IF(#REF!="S",VLOOKUP('Raw Data'!A8261,References!#REF!,2,FALSE),(VLOOKUP($S8261,References!$B$3:$C$8,2,FALSE))),"")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4"/>
        <v>0</v>
      </c>
      <c r="T8262" s="98">
        <f t="shared" si="323"/>
        <v>0</v>
      </c>
      <c r="U8262" s="99" t="str">
        <f>IFERROR(IF(#REF!="S",VLOOKUP('Raw Data'!A8262,References!#REF!,2,FALSE),(VLOOKUP($S8262,References!$B$3:$C$8,2,FALSE))),"")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4"/>
        <v>0</v>
      </c>
      <c r="T8263" s="98">
        <f t="shared" si="323"/>
        <v>0</v>
      </c>
      <c r="U8263" s="99" t="str">
        <f>IFERROR(IF(#REF!="S",VLOOKUP('Raw Data'!A8263,References!#REF!,2,FALSE),(VLOOKUP($S8263,References!$B$3:$C$8,2,FALSE))),"")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4"/>
        <v>0</v>
      </c>
      <c r="T8264" s="98">
        <f t="shared" si="323"/>
        <v>0</v>
      </c>
      <c r="U8264" s="99" t="str">
        <f>IFERROR(IF(#REF!="S",VLOOKUP('Raw Data'!A8264,References!#REF!,2,FALSE),(VLOOKUP($S8264,References!$B$3:$C$8,2,FALSE))),"")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4"/>
        <v>0</v>
      </c>
      <c r="T8265" s="98">
        <f t="shared" si="323"/>
        <v>0</v>
      </c>
      <c r="U8265" s="99" t="str">
        <f>IFERROR(IF(#REF!="S",VLOOKUP('Raw Data'!A8265,References!#REF!,2,FALSE),(VLOOKUP($S8265,References!$B$3:$C$8,2,FALSE))),"")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4"/>
        <v>0</v>
      </c>
      <c r="T8266" s="98">
        <f t="shared" si="323"/>
        <v>0</v>
      </c>
      <c r="U8266" s="99" t="str">
        <f>IFERROR(IF(#REF!="S",VLOOKUP('Raw Data'!A8266,References!#REF!,2,FALSE),(VLOOKUP($S8266,References!$B$3:$C$8,2,FALSE))),"")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4"/>
        <v>0</v>
      </c>
      <c r="T8267" s="98">
        <f t="shared" si="323"/>
        <v>0</v>
      </c>
      <c r="U8267" s="99" t="str">
        <f>IFERROR(IF(#REF!="S",VLOOKUP('Raw Data'!A8267,References!#REF!,2,FALSE),(VLOOKUP($S8267,References!$B$3:$C$8,2,FALSE))),"")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4"/>
        <v>0</v>
      </c>
      <c r="T8268" s="98">
        <f t="shared" si="323"/>
        <v>0</v>
      </c>
      <c r="U8268" s="99" t="str">
        <f>IFERROR(IF(#REF!="S",VLOOKUP('Raw Data'!A8268,References!#REF!,2,FALSE),(VLOOKUP($S8268,References!$B$3:$C$8,2,FALSE))),"")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4"/>
        <v>0</v>
      </c>
      <c r="T8269" s="98">
        <f t="shared" si="323"/>
        <v>0</v>
      </c>
      <c r="U8269" s="99" t="str">
        <f>IFERROR(IF(#REF!="S",VLOOKUP('Raw Data'!A8269,References!#REF!,2,FALSE),(VLOOKUP($S8269,References!$B$3:$C$8,2,FALSE))),"")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4"/>
        <v>0</v>
      </c>
      <c r="T8270" s="98">
        <f t="shared" si="323"/>
        <v>0</v>
      </c>
      <c r="U8270" s="99" t="str">
        <f>IFERROR(IF(#REF!="S",VLOOKUP('Raw Data'!A8270,References!#REF!,2,FALSE),(VLOOKUP($S8270,References!$B$3:$C$8,2,FALSE))),"")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4"/>
        <v>0</v>
      </c>
      <c r="T8271" s="98">
        <f t="shared" si="323"/>
        <v>0</v>
      </c>
      <c r="U8271" s="99" t="str">
        <f>IFERROR(IF(#REF!="S",VLOOKUP('Raw Data'!A8271,References!#REF!,2,FALSE),(VLOOKUP($S8271,References!$B$3:$C$8,2,FALSE))),"")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4"/>
        <v>0</v>
      </c>
      <c r="T8272" s="98">
        <f t="shared" ref="T8272:T8335" si="325">IF(S8272="50 - Cleaning Fee",1,HOUR($R8272)+MINUTE(R8272)/60)</f>
        <v>0</v>
      </c>
      <c r="U8272" s="99" t="str">
        <f>IFERROR(IF(#REF!="S",VLOOKUP('Raw Data'!A8272,References!#REF!,2,FALSE),(VLOOKUP($S8272,References!$B$3:$C$8,2,FALSE))),"")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4"/>
        <v>0</v>
      </c>
      <c r="T8273" s="98">
        <f t="shared" si="325"/>
        <v>0</v>
      </c>
      <c r="U8273" s="99" t="str">
        <f>IFERROR(IF(#REF!="S",VLOOKUP('Raw Data'!A8273,References!#REF!,2,FALSE),(VLOOKUP($S8273,References!$B$3:$C$8,2,FALSE))),"")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4"/>
        <v>0</v>
      </c>
      <c r="T8274" s="98">
        <f t="shared" si="325"/>
        <v>0</v>
      </c>
      <c r="U8274" s="99" t="str">
        <f>IFERROR(IF(#REF!="S",VLOOKUP('Raw Data'!A8274,References!#REF!,2,FALSE),(VLOOKUP($S8274,References!$B$3:$C$8,2,FALSE))),"")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4"/>
        <v>0</v>
      </c>
      <c r="T8275" s="98">
        <f t="shared" si="325"/>
        <v>0</v>
      </c>
      <c r="U8275" s="99" t="str">
        <f>IFERROR(IF(#REF!="S",VLOOKUP('Raw Data'!A8275,References!#REF!,2,FALSE),(VLOOKUP($S8275,References!$B$3:$C$8,2,FALSE))),"")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4"/>
        <v>0</v>
      </c>
      <c r="T8276" s="98">
        <f t="shared" si="325"/>
        <v>0</v>
      </c>
      <c r="U8276" s="99" t="str">
        <f>IFERROR(IF(#REF!="S",VLOOKUP('Raw Data'!A8276,References!#REF!,2,FALSE),(VLOOKUP($S8276,References!$B$3:$C$8,2,FALSE))),"")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4"/>
        <v>0</v>
      </c>
      <c r="T8277" s="98">
        <f t="shared" si="325"/>
        <v>0</v>
      </c>
      <c r="U8277" s="99" t="str">
        <f>IFERROR(IF(#REF!="S",VLOOKUP('Raw Data'!A8277,References!#REF!,2,FALSE),(VLOOKUP($S8277,References!$B$3:$C$8,2,FALSE))),"")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4"/>
        <v>0</v>
      </c>
      <c r="T8278" s="98">
        <f t="shared" si="325"/>
        <v>0</v>
      </c>
      <c r="U8278" s="99" t="str">
        <f>IFERROR(IF(#REF!="S",VLOOKUP('Raw Data'!A8278,References!#REF!,2,FALSE),(VLOOKUP($S8278,References!$B$3:$C$8,2,FALSE))),"")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4"/>
        <v>0</v>
      </c>
      <c r="T8279" s="98">
        <f t="shared" si="325"/>
        <v>0</v>
      </c>
      <c r="U8279" s="99" t="str">
        <f>IFERROR(IF(#REF!="S",VLOOKUP('Raw Data'!A8279,References!#REF!,2,FALSE),(VLOOKUP($S8279,References!$B$3:$C$8,2,FALSE))),"")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4"/>
        <v>0</v>
      </c>
      <c r="T8280" s="98">
        <f t="shared" si="325"/>
        <v>0</v>
      </c>
      <c r="U8280" s="99" t="str">
        <f>IFERROR(IF(#REF!="S",VLOOKUP('Raw Data'!A8280,References!#REF!,2,FALSE),(VLOOKUP($S8280,References!$B$3:$C$8,2,FALSE))),"")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4"/>
        <v>0</v>
      </c>
      <c r="T8281" s="98">
        <f t="shared" si="325"/>
        <v>0</v>
      </c>
      <c r="U8281" s="99" t="str">
        <f>IFERROR(IF(#REF!="S",VLOOKUP('Raw Data'!A8281,References!#REF!,2,FALSE),(VLOOKUP($S8281,References!$B$3:$C$8,2,FALSE))),"")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4"/>
        <v>0</v>
      </c>
      <c r="T8282" s="98">
        <f t="shared" si="325"/>
        <v>0</v>
      </c>
      <c r="U8282" s="99" t="str">
        <f>IFERROR(IF(#REF!="S",VLOOKUP('Raw Data'!A8282,References!#REF!,2,FALSE),(VLOOKUP($S8282,References!$B$3:$C$8,2,FALSE))),"")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4"/>
        <v>0</v>
      </c>
      <c r="T8283" s="98">
        <f t="shared" si="325"/>
        <v>0</v>
      </c>
      <c r="U8283" s="99" t="str">
        <f>IFERROR(IF(#REF!="S",VLOOKUP('Raw Data'!A8283,References!#REF!,2,FALSE),(VLOOKUP($S8283,References!$B$3:$C$8,2,FALSE))),"")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4"/>
        <v>0</v>
      </c>
      <c r="T8284" s="98">
        <f t="shared" si="325"/>
        <v>0</v>
      </c>
      <c r="U8284" s="99" t="str">
        <f>IFERROR(IF(#REF!="S",VLOOKUP('Raw Data'!A8284,References!#REF!,2,FALSE),(VLOOKUP($S8284,References!$B$3:$C$8,2,FALSE))),"")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4"/>
        <v>0</v>
      </c>
      <c r="T8285" s="98">
        <f t="shared" si="325"/>
        <v>0</v>
      </c>
      <c r="U8285" s="99" t="str">
        <f>IFERROR(IF(#REF!="S",VLOOKUP('Raw Data'!A8285,References!#REF!,2,FALSE),(VLOOKUP($S8285,References!$B$3:$C$8,2,FALSE))),"")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4"/>
        <v>0</v>
      </c>
      <c r="T8286" s="98">
        <f t="shared" si="325"/>
        <v>0</v>
      </c>
      <c r="U8286" s="99" t="str">
        <f>IFERROR(IF(#REF!="S",VLOOKUP('Raw Data'!A8286,References!#REF!,2,FALSE),(VLOOKUP($S8286,References!$B$3:$C$8,2,FALSE))),"")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4"/>
        <v>0</v>
      </c>
      <c r="T8287" s="98">
        <f t="shared" si="325"/>
        <v>0</v>
      </c>
      <c r="U8287" s="99" t="str">
        <f>IFERROR(IF(#REF!="S",VLOOKUP('Raw Data'!A8287,References!#REF!,2,FALSE),(VLOOKUP($S8287,References!$B$3:$C$8,2,FALSE))),"")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4"/>
        <v>0</v>
      </c>
      <c r="T8288" s="98">
        <f t="shared" si="325"/>
        <v>0</v>
      </c>
      <c r="U8288" s="99" t="str">
        <f>IFERROR(IF(#REF!="S",VLOOKUP('Raw Data'!A8288,References!#REF!,2,FALSE),(VLOOKUP($S8288,References!$B$3:$C$8,2,FALSE))),"")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4"/>
        <v>0</v>
      </c>
      <c r="T8289" s="98">
        <f t="shared" si="325"/>
        <v>0</v>
      </c>
      <c r="U8289" s="99" t="str">
        <f>IFERROR(IF(#REF!="S",VLOOKUP('Raw Data'!A8289,References!#REF!,2,FALSE),(VLOOKUP($S8289,References!$B$3:$C$8,2,FALSE))),"")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4"/>
        <v>0</v>
      </c>
      <c r="T8290" s="98">
        <f t="shared" si="325"/>
        <v>0</v>
      </c>
      <c r="U8290" s="99" t="str">
        <f>IFERROR(IF(#REF!="S",VLOOKUP('Raw Data'!A8290,References!#REF!,2,FALSE),(VLOOKUP($S8290,References!$B$3:$C$8,2,FALSE))),"")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4"/>
        <v>0</v>
      </c>
      <c r="T8291" s="98">
        <f t="shared" si="325"/>
        <v>0</v>
      </c>
      <c r="U8291" s="99" t="str">
        <f>IFERROR(IF(#REF!="S",VLOOKUP('Raw Data'!A8291,References!#REF!,2,FALSE),(VLOOKUP($S8291,References!$B$3:$C$8,2,FALSE))),"")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4"/>
        <v>0</v>
      </c>
      <c r="T8292" s="98">
        <f t="shared" si="325"/>
        <v>0</v>
      </c>
      <c r="U8292" s="99" t="str">
        <f>IFERROR(IF(#REF!="S",VLOOKUP('Raw Data'!A8292,References!#REF!,2,FALSE),(VLOOKUP($S8292,References!$B$3:$C$8,2,FALSE))),"")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4"/>
        <v>0</v>
      </c>
      <c r="T8293" s="98">
        <f t="shared" si="325"/>
        <v>0</v>
      </c>
      <c r="U8293" s="99" t="str">
        <f>IFERROR(IF(#REF!="S",VLOOKUP('Raw Data'!A8293,References!#REF!,2,FALSE),(VLOOKUP($S8293,References!$B$3:$C$8,2,FALSE))),"")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4"/>
        <v>0</v>
      </c>
      <c r="T8294" s="98">
        <f t="shared" si="325"/>
        <v>0</v>
      </c>
      <c r="U8294" s="99" t="str">
        <f>IFERROR(IF(#REF!="S",VLOOKUP('Raw Data'!A8294,References!#REF!,2,FALSE),(VLOOKUP($S8294,References!$B$3:$C$8,2,FALSE))),"")</f>
        <v/>
      </c>
      <c r="W8294" s="66" t="str">
        <f>IFERROR(VLOOKUP($O8294,'Customer List'!$A$1:$J$488,10,FALSE),"")</f>
        <v/>
      </c>
    </row>
    <row r="8295" spans="18:23">
      <c r="R8295" s="97">
        <f t="shared" si="324"/>
        <v>0</v>
      </c>
      <c r="T8295" s="98">
        <f t="shared" si="325"/>
        <v>0</v>
      </c>
      <c r="U8295" s="99" t="str">
        <f>IFERROR(IF(#REF!="S",VLOOKUP('Raw Data'!A8295,References!#REF!,2,FALSE),(VLOOKUP($S8295,References!$B$3:$C$8,2,FALSE))),"")</f>
        <v/>
      </c>
      <c r="W8295" s="66" t="str">
        <f>IFERROR(VLOOKUP($O8295,'Customer List'!$A$1:$J$488,10,FALSE),"")</f>
        <v/>
      </c>
    </row>
    <row r="8296" spans="18:23">
      <c r="R8296" s="97">
        <f t="shared" ref="R8296:R8359" si="326">L8296-K8296</f>
        <v>0</v>
      </c>
      <c r="T8296" s="98">
        <f t="shared" si="325"/>
        <v>0</v>
      </c>
      <c r="U8296" s="99" t="str">
        <f>IFERROR(IF(#REF!="S",VLOOKUP('Raw Data'!A8296,References!#REF!,2,FALSE),(VLOOKUP($S8296,References!$B$3:$C$8,2,FALSE))),"")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6"/>
        <v>0</v>
      </c>
      <c r="T8297" s="98">
        <f t="shared" si="325"/>
        <v>0</v>
      </c>
      <c r="U8297" s="99" t="str">
        <f>IFERROR(IF(#REF!="S",VLOOKUP('Raw Data'!A8297,References!#REF!,2,FALSE),(VLOOKUP($S8297,References!$B$3:$C$8,2,FALSE))),"")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6"/>
        <v>0</v>
      </c>
      <c r="T8298" s="98">
        <f t="shared" si="325"/>
        <v>0</v>
      </c>
      <c r="U8298" s="99" t="str">
        <f>IFERROR(IF(#REF!="S",VLOOKUP('Raw Data'!A8298,References!#REF!,2,FALSE),(VLOOKUP($S8298,References!$B$3:$C$8,2,FALSE))),"")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6"/>
        <v>0</v>
      </c>
      <c r="T8299" s="98">
        <f t="shared" si="325"/>
        <v>0</v>
      </c>
      <c r="U8299" s="99" t="str">
        <f>IFERROR(IF(#REF!="S",VLOOKUP('Raw Data'!A8299,References!#REF!,2,FALSE),(VLOOKUP($S8299,References!$B$3:$C$8,2,FALSE))),"")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6"/>
        <v>0</v>
      </c>
      <c r="T8300" s="98">
        <f t="shared" si="325"/>
        <v>0</v>
      </c>
      <c r="U8300" s="99" t="str">
        <f>IFERROR(IF(#REF!="S",VLOOKUP('Raw Data'!A8300,References!#REF!,2,FALSE),(VLOOKUP($S8300,References!$B$3:$C$8,2,FALSE))),"")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6"/>
        <v>0</v>
      </c>
      <c r="T8301" s="98">
        <f t="shared" si="325"/>
        <v>0</v>
      </c>
      <c r="U8301" s="99" t="str">
        <f>IFERROR(IF(#REF!="S",VLOOKUP('Raw Data'!A8301,References!#REF!,2,FALSE),(VLOOKUP($S8301,References!$B$3:$C$8,2,FALSE))),"")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6"/>
        <v>0</v>
      </c>
      <c r="T8302" s="98">
        <f t="shared" si="325"/>
        <v>0</v>
      </c>
      <c r="U8302" s="99" t="str">
        <f>IFERROR(IF(#REF!="S",VLOOKUP('Raw Data'!A8302,References!#REF!,2,FALSE),(VLOOKUP($S8302,References!$B$3:$C$8,2,FALSE))),"")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6"/>
        <v>0</v>
      </c>
      <c r="T8303" s="98">
        <f t="shared" si="325"/>
        <v>0</v>
      </c>
      <c r="U8303" s="99" t="str">
        <f>IFERROR(IF(#REF!="S",VLOOKUP('Raw Data'!A8303,References!#REF!,2,FALSE),(VLOOKUP($S8303,References!$B$3:$C$8,2,FALSE))),"")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6"/>
        <v>0</v>
      </c>
      <c r="T8304" s="98">
        <f t="shared" si="325"/>
        <v>0</v>
      </c>
      <c r="U8304" s="99" t="str">
        <f>IFERROR(IF(#REF!="S",VLOOKUP('Raw Data'!A8304,References!#REF!,2,FALSE),(VLOOKUP($S8304,References!$B$3:$C$8,2,FALSE))),"")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6"/>
        <v>0</v>
      </c>
      <c r="T8305" s="98">
        <f t="shared" si="325"/>
        <v>0</v>
      </c>
      <c r="U8305" s="99" t="str">
        <f>IFERROR(IF(#REF!="S",VLOOKUP('Raw Data'!A8305,References!#REF!,2,FALSE),(VLOOKUP($S8305,References!$B$3:$C$8,2,FALSE))),"")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6"/>
        <v>0</v>
      </c>
      <c r="T8306" s="98">
        <f t="shared" si="325"/>
        <v>0</v>
      </c>
      <c r="U8306" s="99" t="str">
        <f>IFERROR(IF(#REF!="S",VLOOKUP('Raw Data'!A8306,References!#REF!,2,FALSE),(VLOOKUP($S8306,References!$B$3:$C$8,2,FALSE))),"")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6"/>
        <v>0</v>
      </c>
      <c r="T8307" s="98">
        <f t="shared" si="325"/>
        <v>0</v>
      </c>
      <c r="U8307" s="99" t="str">
        <f>IFERROR(IF(#REF!="S",VLOOKUP('Raw Data'!A8307,References!#REF!,2,FALSE),(VLOOKUP($S8307,References!$B$3:$C$8,2,FALSE))),"")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6"/>
        <v>0</v>
      </c>
      <c r="T8308" s="98">
        <f t="shared" si="325"/>
        <v>0</v>
      </c>
      <c r="U8308" s="99" t="str">
        <f>IFERROR(IF(#REF!="S",VLOOKUP('Raw Data'!A8308,References!#REF!,2,FALSE),(VLOOKUP($S8308,References!$B$3:$C$8,2,FALSE))),"")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6"/>
        <v>0</v>
      </c>
      <c r="T8309" s="98">
        <f t="shared" si="325"/>
        <v>0</v>
      </c>
      <c r="U8309" s="99" t="str">
        <f>IFERROR(IF(#REF!="S",VLOOKUP('Raw Data'!A8309,References!#REF!,2,FALSE),(VLOOKUP($S8309,References!$B$3:$C$8,2,FALSE))),"")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6"/>
        <v>0</v>
      </c>
      <c r="T8310" s="98">
        <f t="shared" si="325"/>
        <v>0</v>
      </c>
      <c r="U8310" s="99" t="str">
        <f>IFERROR(IF(#REF!="S",VLOOKUP('Raw Data'!A8310,References!#REF!,2,FALSE),(VLOOKUP($S8310,References!$B$3:$C$8,2,FALSE))),"")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6"/>
        <v>0</v>
      </c>
      <c r="T8311" s="98">
        <f t="shared" si="325"/>
        <v>0</v>
      </c>
      <c r="U8311" s="99" t="str">
        <f>IFERROR(IF(#REF!="S",VLOOKUP('Raw Data'!A8311,References!#REF!,2,FALSE),(VLOOKUP($S8311,References!$B$3:$C$8,2,FALSE))),"")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6"/>
        <v>0</v>
      </c>
      <c r="T8312" s="98">
        <f t="shared" si="325"/>
        <v>0</v>
      </c>
      <c r="U8312" s="99" t="str">
        <f>IFERROR(IF(#REF!="S",VLOOKUP('Raw Data'!A8312,References!#REF!,2,FALSE),(VLOOKUP($S8312,References!$B$3:$C$8,2,FALSE))),"")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6"/>
        <v>0</v>
      </c>
      <c r="T8313" s="98">
        <f t="shared" si="325"/>
        <v>0</v>
      </c>
      <c r="U8313" s="99" t="str">
        <f>IFERROR(IF(#REF!="S",VLOOKUP('Raw Data'!A8313,References!#REF!,2,FALSE),(VLOOKUP($S8313,References!$B$3:$C$8,2,FALSE))),"")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6"/>
        <v>0</v>
      </c>
      <c r="T8314" s="98">
        <f t="shared" si="325"/>
        <v>0</v>
      </c>
      <c r="U8314" s="99" t="str">
        <f>IFERROR(IF(#REF!="S",VLOOKUP('Raw Data'!A8314,References!#REF!,2,FALSE),(VLOOKUP($S8314,References!$B$3:$C$8,2,FALSE))),"")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6"/>
        <v>0</v>
      </c>
      <c r="T8315" s="98">
        <f t="shared" si="325"/>
        <v>0</v>
      </c>
      <c r="U8315" s="99" t="str">
        <f>IFERROR(IF(#REF!="S",VLOOKUP('Raw Data'!A8315,References!#REF!,2,FALSE),(VLOOKUP($S8315,References!$B$3:$C$8,2,FALSE))),"")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6"/>
        <v>0</v>
      </c>
      <c r="T8316" s="98">
        <f t="shared" si="325"/>
        <v>0</v>
      </c>
      <c r="U8316" s="99" t="str">
        <f>IFERROR(IF(#REF!="S",VLOOKUP('Raw Data'!A8316,References!#REF!,2,FALSE),(VLOOKUP($S8316,References!$B$3:$C$8,2,FALSE))),"")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6"/>
        <v>0</v>
      </c>
      <c r="T8317" s="98">
        <f t="shared" si="325"/>
        <v>0</v>
      </c>
      <c r="U8317" s="99" t="str">
        <f>IFERROR(IF(#REF!="S",VLOOKUP('Raw Data'!A8317,References!#REF!,2,FALSE),(VLOOKUP($S8317,References!$B$3:$C$8,2,FALSE))),"")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6"/>
        <v>0</v>
      </c>
      <c r="T8318" s="98">
        <f t="shared" si="325"/>
        <v>0</v>
      </c>
      <c r="U8318" s="99" t="str">
        <f>IFERROR(IF(#REF!="S",VLOOKUP('Raw Data'!A8318,References!#REF!,2,FALSE),(VLOOKUP($S8318,References!$B$3:$C$8,2,FALSE))),"")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6"/>
        <v>0</v>
      </c>
      <c r="T8319" s="98">
        <f t="shared" si="325"/>
        <v>0</v>
      </c>
      <c r="U8319" s="99" t="str">
        <f>IFERROR(IF(#REF!="S",VLOOKUP('Raw Data'!A8319,References!#REF!,2,FALSE),(VLOOKUP($S8319,References!$B$3:$C$8,2,FALSE))),"")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6"/>
        <v>0</v>
      </c>
      <c r="T8320" s="98">
        <f t="shared" si="325"/>
        <v>0</v>
      </c>
      <c r="U8320" s="99" t="str">
        <f>IFERROR(IF(#REF!="S",VLOOKUP('Raw Data'!A8320,References!#REF!,2,FALSE),(VLOOKUP($S8320,References!$B$3:$C$8,2,FALSE))),"")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6"/>
        <v>0</v>
      </c>
      <c r="T8321" s="98">
        <f t="shared" si="325"/>
        <v>0</v>
      </c>
      <c r="U8321" s="99" t="str">
        <f>IFERROR(IF(#REF!="S",VLOOKUP('Raw Data'!A8321,References!#REF!,2,FALSE),(VLOOKUP($S8321,References!$B$3:$C$8,2,FALSE))),"")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6"/>
        <v>0</v>
      </c>
      <c r="T8322" s="98">
        <f t="shared" si="325"/>
        <v>0</v>
      </c>
      <c r="U8322" s="99" t="str">
        <f>IFERROR(IF(#REF!="S",VLOOKUP('Raw Data'!A8322,References!#REF!,2,FALSE),(VLOOKUP($S8322,References!$B$3:$C$8,2,FALSE))),"")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6"/>
        <v>0</v>
      </c>
      <c r="T8323" s="98">
        <f t="shared" si="325"/>
        <v>0</v>
      </c>
      <c r="U8323" s="99" t="str">
        <f>IFERROR(IF(#REF!="S",VLOOKUP('Raw Data'!A8323,References!#REF!,2,FALSE),(VLOOKUP($S8323,References!$B$3:$C$8,2,FALSE))),"")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6"/>
        <v>0</v>
      </c>
      <c r="T8324" s="98">
        <f t="shared" si="325"/>
        <v>0</v>
      </c>
      <c r="U8324" s="99" t="str">
        <f>IFERROR(IF(#REF!="S",VLOOKUP('Raw Data'!A8324,References!#REF!,2,FALSE),(VLOOKUP($S8324,References!$B$3:$C$8,2,FALSE))),"")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6"/>
        <v>0</v>
      </c>
      <c r="T8325" s="98">
        <f t="shared" si="325"/>
        <v>0</v>
      </c>
      <c r="U8325" s="99" t="str">
        <f>IFERROR(IF(#REF!="S",VLOOKUP('Raw Data'!A8325,References!#REF!,2,FALSE),(VLOOKUP($S8325,References!$B$3:$C$8,2,FALSE))),"")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6"/>
        <v>0</v>
      </c>
      <c r="T8326" s="98">
        <f t="shared" si="325"/>
        <v>0</v>
      </c>
      <c r="U8326" s="99" t="str">
        <f>IFERROR(IF(#REF!="S",VLOOKUP('Raw Data'!A8326,References!#REF!,2,FALSE),(VLOOKUP($S8326,References!$B$3:$C$8,2,FALSE))),"")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6"/>
        <v>0</v>
      </c>
      <c r="T8327" s="98">
        <f t="shared" si="325"/>
        <v>0</v>
      </c>
      <c r="U8327" s="99" t="str">
        <f>IFERROR(IF(#REF!="S",VLOOKUP('Raw Data'!A8327,References!#REF!,2,FALSE),(VLOOKUP($S8327,References!$B$3:$C$8,2,FALSE))),"")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6"/>
        <v>0</v>
      </c>
      <c r="T8328" s="98">
        <f t="shared" si="325"/>
        <v>0</v>
      </c>
      <c r="U8328" s="99" t="str">
        <f>IFERROR(IF(#REF!="S",VLOOKUP('Raw Data'!A8328,References!#REF!,2,FALSE),(VLOOKUP($S8328,References!$B$3:$C$8,2,FALSE))),"")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6"/>
        <v>0</v>
      </c>
      <c r="T8329" s="98">
        <f t="shared" si="325"/>
        <v>0</v>
      </c>
      <c r="U8329" s="99" t="str">
        <f>IFERROR(IF(#REF!="S",VLOOKUP('Raw Data'!A8329,References!#REF!,2,FALSE),(VLOOKUP($S8329,References!$B$3:$C$8,2,FALSE))),"")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6"/>
        <v>0</v>
      </c>
      <c r="T8330" s="98">
        <f t="shared" si="325"/>
        <v>0</v>
      </c>
      <c r="U8330" s="99" t="str">
        <f>IFERROR(IF(#REF!="S",VLOOKUP('Raw Data'!A8330,References!#REF!,2,FALSE),(VLOOKUP($S8330,References!$B$3:$C$8,2,FALSE))),"")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6"/>
        <v>0</v>
      </c>
      <c r="T8331" s="98">
        <f t="shared" si="325"/>
        <v>0</v>
      </c>
      <c r="U8331" s="99" t="str">
        <f>IFERROR(IF(#REF!="S",VLOOKUP('Raw Data'!A8331,References!#REF!,2,FALSE),(VLOOKUP($S8331,References!$B$3:$C$8,2,FALSE))),"")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6"/>
        <v>0</v>
      </c>
      <c r="T8332" s="98">
        <f t="shared" si="325"/>
        <v>0</v>
      </c>
      <c r="U8332" s="99" t="str">
        <f>IFERROR(IF(#REF!="S",VLOOKUP('Raw Data'!A8332,References!#REF!,2,FALSE),(VLOOKUP($S8332,References!$B$3:$C$8,2,FALSE))),"")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6"/>
        <v>0</v>
      </c>
      <c r="T8333" s="98">
        <f t="shared" si="325"/>
        <v>0</v>
      </c>
      <c r="U8333" s="99" t="str">
        <f>IFERROR(IF(#REF!="S",VLOOKUP('Raw Data'!A8333,References!#REF!,2,FALSE),(VLOOKUP($S8333,References!$B$3:$C$8,2,FALSE))),"")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6"/>
        <v>0</v>
      </c>
      <c r="T8334" s="98">
        <f t="shared" si="325"/>
        <v>0</v>
      </c>
      <c r="U8334" s="99" t="str">
        <f>IFERROR(IF(#REF!="S",VLOOKUP('Raw Data'!A8334,References!#REF!,2,FALSE),(VLOOKUP($S8334,References!$B$3:$C$8,2,FALSE))),"")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6"/>
        <v>0</v>
      </c>
      <c r="T8335" s="98">
        <f t="shared" si="325"/>
        <v>0</v>
      </c>
      <c r="U8335" s="99" t="str">
        <f>IFERROR(IF(#REF!="S",VLOOKUP('Raw Data'!A8335,References!#REF!,2,FALSE),(VLOOKUP($S8335,References!$B$3:$C$8,2,FALSE))),"")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6"/>
        <v>0</v>
      </c>
      <c r="T8336" s="98">
        <f t="shared" ref="T8336:T8399" si="327">IF(S8336="50 - Cleaning Fee",1,HOUR($R8336)+MINUTE(R8336)/60)</f>
        <v>0</v>
      </c>
      <c r="U8336" s="99" t="str">
        <f>IFERROR(IF(#REF!="S",VLOOKUP('Raw Data'!A8336,References!#REF!,2,FALSE),(VLOOKUP($S8336,References!$B$3:$C$8,2,FALSE))),"")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6"/>
        <v>0</v>
      </c>
      <c r="T8337" s="98">
        <f t="shared" si="327"/>
        <v>0</v>
      </c>
      <c r="U8337" s="99" t="str">
        <f>IFERROR(IF(#REF!="S",VLOOKUP('Raw Data'!A8337,References!#REF!,2,FALSE),(VLOOKUP($S8337,References!$B$3:$C$8,2,FALSE))),"")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6"/>
        <v>0</v>
      </c>
      <c r="T8338" s="98">
        <f t="shared" si="327"/>
        <v>0</v>
      </c>
      <c r="U8338" s="99" t="str">
        <f>IFERROR(IF(#REF!="S",VLOOKUP('Raw Data'!A8338,References!#REF!,2,FALSE),(VLOOKUP($S8338,References!$B$3:$C$8,2,FALSE))),"")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6"/>
        <v>0</v>
      </c>
      <c r="T8339" s="98">
        <f t="shared" si="327"/>
        <v>0</v>
      </c>
      <c r="U8339" s="99" t="str">
        <f>IFERROR(IF(#REF!="S",VLOOKUP('Raw Data'!A8339,References!#REF!,2,FALSE),(VLOOKUP($S8339,References!$B$3:$C$8,2,FALSE))),"")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6"/>
        <v>0</v>
      </c>
      <c r="T8340" s="98">
        <f t="shared" si="327"/>
        <v>0</v>
      </c>
      <c r="U8340" s="99" t="str">
        <f>IFERROR(IF(#REF!="S",VLOOKUP('Raw Data'!A8340,References!#REF!,2,FALSE),(VLOOKUP($S8340,References!$B$3:$C$8,2,FALSE))),"")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6"/>
        <v>0</v>
      </c>
      <c r="T8341" s="98">
        <f t="shared" si="327"/>
        <v>0</v>
      </c>
      <c r="U8341" s="99" t="str">
        <f>IFERROR(IF(#REF!="S",VLOOKUP('Raw Data'!A8341,References!#REF!,2,FALSE),(VLOOKUP($S8341,References!$B$3:$C$8,2,FALSE))),"")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6"/>
        <v>0</v>
      </c>
      <c r="T8342" s="98">
        <f t="shared" si="327"/>
        <v>0</v>
      </c>
      <c r="U8342" s="99" t="str">
        <f>IFERROR(IF(#REF!="S",VLOOKUP('Raw Data'!A8342,References!#REF!,2,FALSE),(VLOOKUP($S8342,References!$B$3:$C$8,2,FALSE))),"")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6"/>
        <v>0</v>
      </c>
      <c r="T8343" s="98">
        <f t="shared" si="327"/>
        <v>0</v>
      </c>
      <c r="U8343" s="99" t="str">
        <f>IFERROR(IF(#REF!="S",VLOOKUP('Raw Data'!A8343,References!#REF!,2,FALSE),(VLOOKUP($S8343,References!$B$3:$C$8,2,FALSE))),"")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6"/>
        <v>0</v>
      </c>
      <c r="T8344" s="98">
        <f t="shared" si="327"/>
        <v>0</v>
      </c>
      <c r="U8344" s="99" t="str">
        <f>IFERROR(IF(#REF!="S",VLOOKUP('Raw Data'!A8344,References!#REF!,2,FALSE),(VLOOKUP($S8344,References!$B$3:$C$8,2,FALSE))),"")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6"/>
        <v>0</v>
      </c>
      <c r="T8345" s="98">
        <f t="shared" si="327"/>
        <v>0</v>
      </c>
      <c r="U8345" s="99" t="str">
        <f>IFERROR(IF(#REF!="S",VLOOKUP('Raw Data'!A8345,References!#REF!,2,FALSE),(VLOOKUP($S8345,References!$B$3:$C$8,2,FALSE))),"")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6"/>
        <v>0</v>
      </c>
      <c r="T8346" s="98">
        <f t="shared" si="327"/>
        <v>0</v>
      </c>
      <c r="U8346" s="99" t="str">
        <f>IFERROR(IF(#REF!="S",VLOOKUP('Raw Data'!A8346,References!#REF!,2,FALSE),(VLOOKUP($S8346,References!$B$3:$C$8,2,FALSE))),"")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6"/>
        <v>0</v>
      </c>
      <c r="T8347" s="98">
        <f t="shared" si="327"/>
        <v>0</v>
      </c>
      <c r="U8347" s="99" t="str">
        <f>IFERROR(IF(#REF!="S",VLOOKUP('Raw Data'!A8347,References!#REF!,2,FALSE),(VLOOKUP($S8347,References!$B$3:$C$8,2,FALSE))),"")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6"/>
        <v>0</v>
      </c>
      <c r="T8348" s="98">
        <f t="shared" si="327"/>
        <v>0</v>
      </c>
      <c r="U8348" s="99" t="str">
        <f>IFERROR(IF(#REF!="S",VLOOKUP('Raw Data'!A8348,References!#REF!,2,FALSE),(VLOOKUP($S8348,References!$B$3:$C$8,2,FALSE))),"")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6"/>
        <v>0</v>
      </c>
      <c r="T8349" s="98">
        <f t="shared" si="327"/>
        <v>0</v>
      </c>
      <c r="U8349" s="99" t="str">
        <f>IFERROR(IF(#REF!="S",VLOOKUP('Raw Data'!A8349,References!#REF!,2,FALSE),(VLOOKUP($S8349,References!$B$3:$C$8,2,FALSE))),"")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6"/>
        <v>0</v>
      </c>
      <c r="T8350" s="98">
        <f t="shared" si="327"/>
        <v>0</v>
      </c>
      <c r="U8350" s="99" t="str">
        <f>IFERROR(IF(#REF!="S",VLOOKUP('Raw Data'!A8350,References!#REF!,2,FALSE),(VLOOKUP($S8350,References!$B$3:$C$8,2,FALSE))),"")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6"/>
        <v>0</v>
      </c>
      <c r="T8351" s="98">
        <f t="shared" si="327"/>
        <v>0</v>
      </c>
      <c r="U8351" s="99" t="str">
        <f>IFERROR(IF(#REF!="S",VLOOKUP('Raw Data'!A8351,References!#REF!,2,FALSE),(VLOOKUP($S8351,References!$B$3:$C$8,2,FALSE))),"")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6"/>
        <v>0</v>
      </c>
      <c r="T8352" s="98">
        <f t="shared" si="327"/>
        <v>0</v>
      </c>
      <c r="U8352" s="99" t="str">
        <f>IFERROR(IF(#REF!="S",VLOOKUP('Raw Data'!A8352,References!#REF!,2,FALSE),(VLOOKUP($S8352,References!$B$3:$C$8,2,FALSE))),"")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6"/>
        <v>0</v>
      </c>
      <c r="T8353" s="98">
        <f t="shared" si="327"/>
        <v>0</v>
      </c>
      <c r="U8353" s="99" t="str">
        <f>IFERROR(IF(#REF!="S",VLOOKUP('Raw Data'!A8353,References!#REF!,2,FALSE),(VLOOKUP($S8353,References!$B$3:$C$8,2,FALSE))),"")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6"/>
        <v>0</v>
      </c>
      <c r="T8354" s="98">
        <f t="shared" si="327"/>
        <v>0</v>
      </c>
      <c r="U8354" s="99" t="str">
        <f>IFERROR(IF(#REF!="S",VLOOKUP('Raw Data'!A8354,References!#REF!,2,FALSE),(VLOOKUP($S8354,References!$B$3:$C$8,2,FALSE))),"")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6"/>
        <v>0</v>
      </c>
      <c r="T8355" s="98">
        <f t="shared" si="327"/>
        <v>0</v>
      </c>
      <c r="U8355" s="99" t="str">
        <f>IFERROR(IF(#REF!="S",VLOOKUP('Raw Data'!A8355,References!#REF!,2,FALSE),(VLOOKUP($S8355,References!$B$3:$C$8,2,FALSE))),"")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6"/>
        <v>0</v>
      </c>
      <c r="T8356" s="98">
        <f t="shared" si="327"/>
        <v>0</v>
      </c>
      <c r="U8356" s="99" t="str">
        <f>IFERROR(IF(#REF!="S",VLOOKUP('Raw Data'!A8356,References!#REF!,2,FALSE),(VLOOKUP($S8356,References!$B$3:$C$8,2,FALSE))),"")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6"/>
        <v>0</v>
      </c>
      <c r="T8357" s="98">
        <f t="shared" si="327"/>
        <v>0</v>
      </c>
      <c r="U8357" s="99" t="str">
        <f>IFERROR(IF(#REF!="S",VLOOKUP('Raw Data'!A8357,References!#REF!,2,FALSE),(VLOOKUP($S8357,References!$B$3:$C$8,2,FALSE))),"")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6"/>
        <v>0</v>
      </c>
      <c r="T8358" s="98">
        <f t="shared" si="327"/>
        <v>0</v>
      </c>
      <c r="U8358" s="99" t="str">
        <f>IFERROR(IF(#REF!="S",VLOOKUP('Raw Data'!A8358,References!#REF!,2,FALSE),(VLOOKUP($S8358,References!$B$3:$C$8,2,FALSE))),"")</f>
        <v/>
      </c>
      <c r="W8358" s="66" t="str">
        <f>IFERROR(VLOOKUP($O8358,'Customer List'!$A$1:$J$488,10,FALSE),"")</f>
        <v/>
      </c>
    </row>
    <row r="8359" spans="18:23">
      <c r="R8359" s="97">
        <f t="shared" si="326"/>
        <v>0</v>
      </c>
      <c r="T8359" s="98">
        <f t="shared" si="327"/>
        <v>0</v>
      </c>
      <c r="U8359" s="99" t="str">
        <f>IFERROR(IF(#REF!="S",VLOOKUP('Raw Data'!A8359,References!#REF!,2,FALSE),(VLOOKUP($S8359,References!$B$3:$C$8,2,FALSE))),"")</f>
        <v/>
      </c>
      <c r="W8359" s="66" t="str">
        <f>IFERROR(VLOOKUP($O8359,'Customer List'!$A$1:$J$488,10,FALSE),"")</f>
        <v/>
      </c>
    </row>
    <row r="8360" spans="18:23">
      <c r="R8360" s="97">
        <f t="shared" ref="R8360:R8423" si="328">L8360-K8360</f>
        <v>0</v>
      </c>
      <c r="T8360" s="98">
        <f t="shared" si="327"/>
        <v>0</v>
      </c>
      <c r="U8360" s="99" t="str">
        <f>IFERROR(IF(#REF!="S",VLOOKUP('Raw Data'!A8360,References!#REF!,2,FALSE),(VLOOKUP($S8360,References!$B$3:$C$8,2,FALSE))),"")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28"/>
        <v>0</v>
      </c>
      <c r="T8361" s="98">
        <f t="shared" si="327"/>
        <v>0</v>
      </c>
      <c r="U8361" s="99" t="str">
        <f>IFERROR(IF(#REF!="S",VLOOKUP('Raw Data'!A8361,References!#REF!,2,FALSE),(VLOOKUP($S8361,References!$B$3:$C$8,2,FALSE))),"")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28"/>
        <v>0</v>
      </c>
      <c r="T8362" s="98">
        <f t="shared" si="327"/>
        <v>0</v>
      </c>
      <c r="U8362" s="99" t="str">
        <f>IFERROR(IF(#REF!="S",VLOOKUP('Raw Data'!A8362,References!#REF!,2,FALSE),(VLOOKUP($S8362,References!$B$3:$C$8,2,FALSE))),"")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28"/>
        <v>0</v>
      </c>
      <c r="T8363" s="98">
        <f t="shared" si="327"/>
        <v>0</v>
      </c>
      <c r="U8363" s="99" t="str">
        <f>IFERROR(IF(#REF!="S",VLOOKUP('Raw Data'!A8363,References!#REF!,2,FALSE),(VLOOKUP($S8363,References!$B$3:$C$8,2,FALSE))),"")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28"/>
        <v>0</v>
      </c>
      <c r="T8364" s="98">
        <f t="shared" si="327"/>
        <v>0</v>
      </c>
      <c r="U8364" s="99" t="str">
        <f>IFERROR(IF(#REF!="S",VLOOKUP('Raw Data'!A8364,References!#REF!,2,FALSE),(VLOOKUP($S8364,References!$B$3:$C$8,2,FALSE))),"")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28"/>
        <v>0</v>
      </c>
      <c r="T8365" s="98">
        <f t="shared" si="327"/>
        <v>0</v>
      </c>
      <c r="U8365" s="99" t="str">
        <f>IFERROR(IF(#REF!="S",VLOOKUP('Raw Data'!A8365,References!#REF!,2,FALSE),(VLOOKUP($S8365,References!$B$3:$C$8,2,FALSE))),"")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28"/>
        <v>0</v>
      </c>
      <c r="T8366" s="98">
        <f t="shared" si="327"/>
        <v>0</v>
      </c>
      <c r="U8366" s="99" t="str">
        <f>IFERROR(IF(#REF!="S",VLOOKUP('Raw Data'!A8366,References!#REF!,2,FALSE),(VLOOKUP($S8366,References!$B$3:$C$8,2,FALSE))),"")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28"/>
        <v>0</v>
      </c>
      <c r="T8367" s="98">
        <f t="shared" si="327"/>
        <v>0</v>
      </c>
      <c r="U8367" s="99" t="str">
        <f>IFERROR(IF(#REF!="S",VLOOKUP('Raw Data'!A8367,References!#REF!,2,FALSE),(VLOOKUP($S8367,References!$B$3:$C$8,2,FALSE))),"")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28"/>
        <v>0</v>
      </c>
      <c r="T8368" s="98">
        <f t="shared" si="327"/>
        <v>0</v>
      </c>
      <c r="U8368" s="99" t="str">
        <f>IFERROR(IF(#REF!="S",VLOOKUP('Raw Data'!A8368,References!#REF!,2,FALSE),(VLOOKUP($S8368,References!$B$3:$C$8,2,FALSE))),"")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28"/>
        <v>0</v>
      </c>
      <c r="T8369" s="98">
        <f t="shared" si="327"/>
        <v>0</v>
      </c>
      <c r="U8369" s="99" t="str">
        <f>IFERROR(IF(#REF!="S",VLOOKUP('Raw Data'!A8369,References!#REF!,2,FALSE),(VLOOKUP($S8369,References!$B$3:$C$8,2,FALSE))),"")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28"/>
        <v>0</v>
      </c>
      <c r="T8370" s="98">
        <f t="shared" si="327"/>
        <v>0</v>
      </c>
      <c r="U8370" s="99" t="str">
        <f>IFERROR(IF(#REF!="S",VLOOKUP('Raw Data'!A8370,References!#REF!,2,FALSE),(VLOOKUP($S8370,References!$B$3:$C$8,2,FALSE))),"")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28"/>
        <v>0</v>
      </c>
      <c r="T8371" s="98">
        <f t="shared" si="327"/>
        <v>0</v>
      </c>
      <c r="U8371" s="99" t="str">
        <f>IFERROR(IF(#REF!="S",VLOOKUP('Raw Data'!A8371,References!#REF!,2,FALSE),(VLOOKUP($S8371,References!$B$3:$C$8,2,FALSE))),"")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28"/>
        <v>0</v>
      </c>
      <c r="T8372" s="98">
        <f t="shared" si="327"/>
        <v>0</v>
      </c>
      <c r="U8372" s="99" t="str">
        <f>IFERROR(IF(#REF!="S",VLOOKUP('Raw Data'!A8372,References!#REF!,2,FALSE),(VLOOKUP($S8372,References!$B$3:$C$8,2,FALSE))),"")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28"/>
        <v>0</v>
      </c>
      <c r="T8373" s="98">
        <f t="shared" si="327"/>
        <v>0</v>
      </c>
      <c r="U8373" s="99" t="str">
        <f>IFERROR(IF(#REF!="S",VLOOKUP('Raw Data'!A8373,References!#REF!,2,FALSE),(VLOOKUP($S8373,References!$B$3:$C$8,2,FALSE))),"")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28"/>
        <v>0</v>
      </c>
      <c r="T8374" s="98">
        <f t="shared" si="327"/>
        <v>0</v>
      </c>
      <c r="U8374" s="99" t="str">
        <f>IFERROR(IF(#REF!="S",VLOOKUP('Raw Data'!A8374,References!#REF!,2,FALSE),(VLOOKUP($S8374,References!$B$3:$C$8,2,FALSE))),"")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28"/>
        <v>0</v>
      </c>
      <c r="T8375" s="98">
        <f t="shared" si="327"/>
        <v>0</v>
      </c>
      <c r="U8375" s="99" t="str">
        <f>IFERROR(IF(#REF!="S",VLOOKUP('Raw Data'!A8375,References!#REF!,2,FALSE),(VLOOKUP($S8375,References!$B$3:$C$8,2,FALSE))),"")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28"/>
        <v>0</v>
      </c>
      <c r="T8376" s="98">
        <f t="shared" si="327"/>
        <v>0</v>
      </c>
      <c r="U8376" s="99" t="str">
        <f>IFERROR(IF(#REF!="S",VLOOKUP('Raw Data'!A8376,References!#REF!,2,FALSE),(VLOOKUP($S8376,References!$B$3:$C$8,2,FALSE))),"")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28"/>
        <v>0</v>
      </c>
      <c r="T8377" s="98">
        <f t="shared" si="327"/>
        <v>0</v>
      </c>
      <c r="U8377" s="99" t="str">
        <f>IFERROR(IF(#REF!="S",VLOOKUP('Raw Data'!A8377,References!#REF!,2,FALSE),(VLOOKUP($S8377,References!$B$3:$C$8,2,FALSE))),"")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28"/>
        <v>0</v>
      </c>
      <c r="T8378" s="98">
        <f t="shared" si="327"/>
        <v>0</v>
      </c>
      <c r="U8378" s="99" t="str">
        <f>IFERROR(IF(#REF!="S",VLOOKUP('Raw Data'!A8378,References!#REF!,2,FALSE),(VLOOKUP($S8378,References!$B$3:$C$8,2,FALSE))),"")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28"/>
        <v>0</v>
      </c>
      <c r="T8379" s="98">
        <f t="shared" si="327"/>
        <v>0</v>
      </c>
      <c r="U8379" s="99" t="str">
        <f>IFERROR(IF(#REF!="S",VLOOKUP('Raw Data'!A8379,References!#REF!,2,FALSE),(VLOOKUP($S8379,References!$B$3:$C$8,2,FALSE))),"")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28"/>
        <v>0</v>
      </c>
      <c r="T8380" s="98">
        <f t="shared" si="327"/>
        <v>0</v>
      </c>
      <c r="U8380" s="99" t="str">
        <f>IFERROR(IF(#REF!="S",VLOOKUP('Raw Data'!A8380,References!#REF!,2,FALSE),(VLOOKUP($S8380,References!$B$3:$C$8,2,FALSE))),"")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28"/>
        <v>0</v>
      </c>
      <c r="T8381" s="98">
        <f t="shared" si="327"/>
        <v>0</v>
      </c>
      <c r="U8381" s="99" t="str">
        <f>IFERROR(IF(#REF!="S",VLOOKUP('Raw Data'!A8381,References!#REF!,2,FALSE),(VLOOKUP($S8381,References!$B$3:$C$8,2,FALSE))),"")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28"/>
        <v>0</v>
      </c>
      <c r="T8382" s="98">
        <f t="shared" si="327"/>
        <v>0</v>
      </c>
      <c r="U8382" s="99" t="str">
        <f>IFERROR(IF(#REF!="S",VLOOKUP('Raw Data'!A8382,References!#REF!,2,FALSE),(VLOOKUP($S8382,References!$B$3:$C$8,2,FALSE))),"")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28"/>
        <v>0</v>
      </c>
      <c r="T8383" s="98">
        <f t="shared" si="327"/>
        <v>0</v>
      </c>
      <c r="U8383" s="99" t="str">
        <f>IFERROR(IF(#REF!="S",VLOOKUP('Raw Data'!A8383,References!#REF!,2,FALSE),(VLOOKUP($S8383,References!$B$3:$C$8,2,FALSE))),"")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28"/>
        <v>0</v>
      </c>
      <c r="T8384" s="98">
        <f t="shared" si="327"/>
        <v>0</v>
      </c>
      <c r="U8384" s="99" t="str">
        <f>IFERROR(IF(#REF!="S",VLOOKUP('Raw Data'!A8384,References!#REF!,2,FALSE),(VLOOKUP($S8384,References!$B$3:$C$8,2,FALSE))),"")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28"/>
        <v>0</v>
      </c>
      <c r="T8385" s="98">
        <f t="shared" si="327"/>
        <v>0</v>
      </c>
      <c r="U8385" s="99" t="str">
        <f>IFERROR(IF(#REF!="S",VLOOKUP('Raw Data'!A8385,References!#REF!,2,FALSE),(VLOOKUP($S8385,References!$B$3:$C$8,2,FALSE))),"")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28"/>
        <v>0</v>
      </c>
      <c r="T8386" s="98">
        <f t="shared" si="327"/>
        <v>0</v>
      </c>
      <c r="U8386" s="99" t="str">
        <f>IFERROR(IF(#REF!="S",VLOOKUP('Raw Data'!A8386,References!#REF!,2,FALSE),(VLOOKUP($S8386,References!$B$3:$C$8,2,FALSE))),"")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28"/>
        <v>0</v>
      </c>
      <c r="T8387" s="98">
        <f t="shared" si="327"/>
        <v>0</v>
      </c>
      <c r="U8387" s="99" t="str">
        <f>IFERROR(IF(#REF!="S",VLOOKUP('Raw Data'!A8387,References!#REF!,2,FALSE),(VLOOKUP($S8387,References!$B$3:$C$8,2,FALSE))),"")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28"/>
        <v>0</v>
      </c>
      <c r="T8388" s="98">
        <f t="shared" si="327"/>
        <v>0</v>
      </c>
      <c r="U8388" s="99" t="str">
        <f>IFERROR(IF(#REF!="S",VLOOKUP('Raw Data'!A8388,References!#REF!,2,FALSE),(VLOOKUP($S8388,References!$B$3:$C$8,2,FALSE))),"")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28"/>
        <v>0</v>
      </c>
      <c r="T8389" s="98">
        <f t="shared" si="327"/>
        <v>0</v>
      </c>
      <c r="U8389" s="99" t="str">
        <f>IFERROR(IF(#REF!="S",VLOOKUP('Raw Data'!A8389,References!#REF!,2,FALSE),(VLOOKUP($S8389,References!$B$3:$C$8,2,FALSE))),"")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28"/>
        <v>0</v>
      </c>
      <c r="T8390" s="98">
        <f t="shared" si="327"/>
        <v>0</v>
      </c>
      <c r="U8390" s="99" t="str">
        <f>IFERROR(IF(#REF!="S",VLOOKUP('Raw Data'!A8390,References!#REF!,2,FALSE),(VLOOKUP($S8390,References!$B$3:$C$8,2,FALSE))),"")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28"/>
        <v>0</v>
      </c>
      <c r="T8391" s="98">
        <f t="shared" si="327"/>
        <v>0</v>
      </c>
      <c r="U8391" s="99" t="str">
        <f>IFERROR(IF(#REF!="S",VLOOKUP('Raw Data'!A8391,References!#REF!,2,FALSE),(VLOOKUP($S8391,References!$B$3:$C$8,2,FALSE))),"")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28"/>
        <v>0</v>
      </c>
      <c r="T8392" s="98">
        <f t="shared" si="327"/>
        <v>0</v>
      </c>
      <c r="U8392" s="99" t="str">
        <f>IFERROR(IF(#REF!="S",VLOOKUP('Raw Data'!A8392,References!#REF!,2,FALSE),(VLOOKUP($S8392,References!$B$3:$C$8,2,FALSE))),"")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28"/>
        <v>0</v>
      </c>
      <c r="T8393" s="98">
        <f t="shared" si="327"/>
        <v>0</v>
      </c>
      <c r="U8393" s="99" t="str">
        <f>IFERROR(IF(#REF!="S",VLOOKUP('Raw Data'!A8393,References!#REF!,2,FALSE),(VLOOKUP($S8393,References!$B$3:$C$8,2,FALSE))),"")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28"/>
        <v>0</v>
      </c>
      <c r="T8394" s="98">
        <f t="shared" si="327"/>
        <v>0</v>
      </c>
      <c r="U8394" s="99" t="str">
        <f>IFERROR(IF(#REF!="S",VLOOKUP('Raw Data'!A8394,References!#REF!,2,FALSE),(VLOOKUP($S8394,References!$B$3:$C$8,2,FALSE))),"")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28"/>
        <v>0</v>
      </c>
      <c r="T8395" s="98">
        <f t="shared" si="327"/>
        <v>0</v>
      </c>
      <c r="U8395" s="99" t="str">
        <f>IFERROR(IF(#REF!="S",VLOOKUP('Raw Data'!A8395,References!#REF!,2,FALSE),(VLOOKUP($S8395,References!$B$3:$C$8,2,FALSE))),"")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28"/>
        <v>0</v>
      </c>
      <c r="T8396" s="98">
        <f t="shared" si="327"/>
        <v>0</v>
      </c>
      <c r="U8396" s="99" t="str">
        <f>IFERROR(IF(#REF!="S",VLOOKUP('Raw Data'!A8396,References!#REF!,2,FALSE),(VLOOKUP($S8396,References!$B$3:$C$8,2,FALSE))),"")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28"/>
        <v>0</v>
      </c>
      <c r="T8397" s="98">
        <f t="shared" si="327"/>
        <v>0</v>
      </c>
      <c r="U8397" s="99" t="str">
        <f>IFERROR(IF(#REF!="S",VLOOKUP('Raw Data'!A8397,References!#REF!,2,FALSE),(VLOOKUP($S8397,References!$B$3:$C$8,2,FALSE))),"")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28"/>
        <v>0</v>
      </c>
      <c r="T8398" s="98">
        <f t="shared" si="327"/>
        <v>0</v>
      </c>
      <c r="U8398" s="99" t="str">
        <f>IFERROR(IF(#REF!="S",VLOOKUP('Raw Data'!A8398,References!#REF!,2,FALSE),(VLOOKUP($S8398,References!$B$3:$C$8,2,FALSE))),"")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28"/>
        <v>0</v>
      </c>
      <c r="T8399" s="98">
        <f t="shared" si="327"/>
        <v>0</v>
      </c>
      <c r="U8399" s="99" t="str">
        <f>IFERROR(IF(#REF!="S",VLOOKUP('Raw Data'!A8399,References!#REF!,2,FALSE),(VLOOKUP($S8399,References!$B$3:$C$8,2,FALSE))),"")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28"/>
        <v>0</v>
      </c>
      <c r="T8400" s="98">
        <f t="shared" ref="T8400:T8463" si="329">IF(S8400="50 - Cleaning Fee",1,HOUR($R8400)+MINUTE(R8400)/60)</f>
        <v>0</v>
      </c>
      <c r="U8400" s="99" t="str">
        <f>IFERROR(IF(#REF!="S",VLOOKUP('Raw Data'!A8400,References!#REF!,2,FALSE),(VLOOKUP($S8400,References!$B$3:$C$8,2,FALSE))),"")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28"/>
        <v>0</v>
      </c>
      <c r="T8401" s="98">
        <f t="shared" si="329"/>
        <v>0</v>
      </c>
      <c r="U8401" s="99" t="str">
        <f>IFERROR(IF(#REF!="S",VLOOKUP('Raw Data'!A8401,References!#REF!,2,FALSE),(VLOOKUP($S8401,References!$B$3:$C$8,2,FALSE))),"")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28"/>
        <v>0</v>
      </c>
      <c r="T8402" s="98">
        <f t="shared" si="329"/>
        <v>0</v>
      </c>
      <c r="U8402" s="99" t="str">
        <f>IFERROR(IF(#REF!="S",VLOOKUP('Raw Data'!A8402,References!#REF!,2,FALSE),(VLOOKUP($S8402,References!$B$3:$C$8,2,FALSE))),"")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28"/>
        <v>0</v>
      </c>
      <c r="T8403" s="98">
        <f t="shared" si="329"/>
        <v>0</v>
      </c>
      <c r="U8403" s="99" t="str">
        <f>IFERROR(IF(#REF!="S",VLOOKUP('Raw Data'!A8403,References!#REF!,2,FALSE),(VLOOKUP($S8403,References!$B$3:$C$8,2,FALSE))),"")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28"/>
        <v>0</v>
      </c>
      <c r="T8404" s="98">
        <f t="shared" si="329"/>
        <v>0</v>
      </c>
      <c r="U8404" s="99" t="str">
        <f>IFERROR(IF(#REF!="S",VLOOKUP('Raw Data'!A8404,References!#REF!,2,FALSE),(VLOOKUP($S8404,References!$B$3:$C$8,2,FALSE))),"")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28"/>
        <v>0</v>
      </c>
      <c r="T8405" s="98">
        <f t="shared" si="329"/>
        <v>0</v>
      </c>
      <c r="U8405" s="99" t="str">
        <f>IFERROR(IF(#REF!="S",VLOOKUP('Raw Data'!A8405,References!#REF!,2,FALSE),(VLOOKUP($S8405,References!$B$3:$C$8,2,FALSE))),"")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28"/>
        <v>0</v>
      </c>
      <c r="T8406" s="98">
        <f t="shared" si="329"/>
        <v>0</v>
      </c>
      <c r="U8406" s="99" t="str">
        <f>IFERROR(IF(#REF!="S",VLOOKUP('Raw Data'!A8406,References!#REF!,2,FALSE),(VLOOKUP($S8406,References!$B$3:$C$8,2,FALSE))),"")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28"/>
        <v>0</v>
      </c>
      <c r="T8407" s="98">
        <f t="shared" si="329"/>
        <v>0</v>
      </c>
      <c r="U8407" s="99" t="str">
        <f>IFERROR(IF(#REF!="S",VLOOKUP('Raw Data'!A8407,References!#REF!,2,FALSE),(VLOOKUP($S8407,References!$B$3:$C$8,2,FALSE))),"")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28"/>
        <v>0</v>
      </c>
      <c r="T8408" s="98">
        <f t="shared" si="329"/>
        <v>0</v>
      </c>
      <c r="U8408" s="99" t="str">
        <f>IFERROR(IF(#REF!="S",VLOOKUP('Raw Data'!A8408,References!#REF!,2,FALSE),(VLOOKUP($S8408,References!$B$3:$C$8,2,FALSE))),"")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28"/>
        <v>0</v>
      </c>
      <c r="T8409" s="98">
        <f t="shared" si="329"/>
        <v>0</v>
      </c>
      <c r="U8409" s="99" t="str">
        <f>IFERROR(IF(#REF!="S",VLOOKUP('Raw Data'!A8409,References!#REF!,2,FALSE),(VLOOKUP($S8409,References!$B$3:$C$8,2,FALSE))),"")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28"/>
        <v>0</v>
      </c>
      <c r="T8410" s="98">
        <f t="shared" si="329"/>
        <v>0</v>
      </c>
      <c r="U8410" s="99" t="str">
        <f>IFERROR(IF(#REF!="S",VLOOKUP('Raw Data'!A8410,References!#REF!,2,FALSE),(VLOOKUP($S8410,References!$B$3:$C$8,2,FALSE))),"")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28"/>
        <v>0</v>
      </c>
      <c r="T8411" s="98">
        <f t="shared" si="329"/>
        <v>0</v>
      </c>
      <c r="U8411" s="99" t="str">
        <f>IFERROR(IF(#REF!="S",VLOOKUP('Raw Data'!A8411,References!#REF!,2,FALSE),(VLOOKUP($S8411,References!$B$3:$C$8,2,FALSE))),"")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28"/>
        <v>0</v>
      </c>
      <c r="T8412" s="98">
        <f t="shared" si="329"/>
        <v>0</v>
      </c>
      <c r="U8412" s="99" t="str">
        <f>IFERROR(IF(#REF!="S",VLOOKUP('Raw Data'!A8412,References!#REF!,2,FALSE),(VLOOKUP($S8412,References!$B$3:$C$8,2,FALSE))),"")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28"/>
        <v>0</v>
      </c>
      <c r="T8413" s="98">
        <f t="shared" si="329"/>
        <v>0</v>
      </c>
      <c r="U8413" s="99" t="str">
        <f>IFERROR(IF(#REF!="S",VLOOKUP('Raw Data'!A8413,References!#REF!,2,FALSE),(VLOOKUP($S8413,References!$B$3:$C$8,2,FALSE))),"")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28"/>
        <v>0</v>
      </c>
      <c r="T8414" s="98">
        <f t="shared" si="329"/>
        <v>0</v>
      </c>
      <c r="U8414" s="99" t="str">
        <f>IFERROR(IF(#REF!="S",VLOOKUP('Raw Data'!A8414,References!#REF!,2,FALSE),(VLOOKUP($S8414,References!$B$3:$C$8,2,FALSE))),"")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28"/>
        <v>0</v>
      </c>
      <c r="T8415" s="98">
        <f t="shared" si="329"/>
        <v>0</v>
      </c>
      <c r="U8415" s="99" t="str">
        <f>IFERROR(IF(#REF!="S",VLOOKUP('Raw Data'!A8415,References!#REF!,2,FALSE),(VLOOKUP($S8415,References!$B$3:$C$8,2,FALSE))),"")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28"/>
        <v>0</v>
      </c>
      <c r="T8416" s="98">
        <f t="shared" si="329"/>
        <v>0</v>
      </c>
      <c r="U8416" s="99" t="str">
        <f>IFERROR(IF(#REF!="S",VLOOKUP('Raw Data'!A8416,References!#REF!,2,FALSE),(VLOOKUP($S8416,References!$B$3:$C$8,2,FALSE))),"")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28"/>
        <v>0</v>
      </c>
      <c r="T8417" s="98">
        <f t="shared" si="329"/>
        <v>0</v>
      </c>
      <c r="U8417" s="99" t="str">
        <f>IFERROR(IF(#REF!="S",VLOOKUP('Raw Data'!A8417,References!#REF!,2,FALSE),(VLOOKUP($S8417,References!$B$3:$C$8,2,FALSE))),"")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28"/>
        <v>0</v>
      </c>
      <c r="T8418" s="98">
        <f t="shared" si="329"/>
        <v>0</v>
      </c>
      <c r="U8418" s="99" t="str">
        <f>IFERROR(IF(#REF!="S",VLOOKUP('Raw Data'!A8418,References!#REF!,2,FALSE),(VLOOKUP($S8418,References!$B$3:$C$8,2,FALSE))),"")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28"/>
        <v>0</v>
      </c>
      <c r="T8419" s="98">
        <f t="shared" si="329"/>
        <v>0</v>
      </c>
      <c r="U8419" s="99" t="str">
        <f>IFERROR(IF(#REF!="S",VLOOKUP('Raw Data'!A8419,References!#REF!,2,FALSE),(VLOOKUP($S8419,References!$B$3:$C$8,2,FALSE))),"")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28"/>
        <v>0</v>
      </c>
      <c r="T8420" s="98">
        <f t="shared" si="329"/>
        <v>0</v>
      </c>
      <c r="U8420" s="99" t="str">
        <f>IFERROR(IF(#REF!="S",VLOOKUP('Raw Data'!A8420,References!#REF!,2,FALSE),(VLOOKUP($S8420,References!$B$3:$C$8,2,FALSE))),"")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28"/>
        <v>0</v>
      </c>
      <c r="T8421" s="98">
        <f t="shared" si="329"/>
        <v>0</v>
      </c>
      <c r="U8421" s="99" t="str">
        <f>IFERROR(IF(#REF!="S",VLOOKUP('Raw Data'!A8421,References!#REF!,2,FALSE),(VLOOKUP($S8421,References!$B$3:$C$8,2,FALSE))),"")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28"/>
        <v>0</v>
      </c>
      <c r="T8422" s="98">
        <f t="shared" si="329"/>
        <v>0</v>
      </c>
      <c r="U8422" s="99" t="str">
        <f>IFERROR(IF(#REF!="S",VLOOKUP('Raw Data'!A8422,References!#REF!,2,FALSE),(VLOOKUP($S8422,References!$B$3:$C$8,2,FALSE))),"")</f>
        <v/>
      </c>
      <c r="W8422" s="66" t="str">
        <f>IFERROR(VLOOKUP($O8422,'Customer List'!$A$1:$J$488,10,FALSE),"")</f>
        <v/>
      </c>
    </row>
    <row r="8423" spans="18:23">
      <c r="R8423" s="97">
        <f t="shared" si="328"/>
        <v>0</v>
      </c>
      <c r="T8423" s="98">
        <f t="shared" si="329"/>
        <v>0</v>
      </c>
      <c r="U8423" s="99" t="str">
        <f>IFERROR(IF(#REF!="S",VLOOKUP('Raw Data'!A8423,References!#REF!,2,FALSE),(VLOOKUP($S8423,References!$B$3:$C$8,2,FALSE))),"")</f>
        <v/>
      </c>
      <c r="W8423" s="66" t="str">
        <f>IFERROR(VLOOKUP($O8423,'Customer List'!$A$1:$J$488,10,FALSE),"")</f>
        <v/>
      </c>
    </row>
    <row r="8424" spans="18:23">
      <c r="R8424" s="97">
        <f t="shared" ref="R8424:R8487" si="330">L8424-K8424</f>
        <v>0</v>
      </c>
      <c r="T8424" s="98">
        <f t="shared" si="329"/>
        <v>0</v>
      </c>
      <c r="U8424" s="99" t="str">
        <f>IFERROR(IF(#REF!="S",VLOOKUP('Raw Data'!A8424,References!#REF!,2,FALSE),(VLOOKUP($S8424,References!$B$3:$C$8,2,FALSE))),"")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0"/>
        <v>0</v>
      </c>
      <c r="T8425" s="98">
        <f t="shared" si="329"/>
        <v>0</v>
      </c>
      <c r="U8425" s="99" t="str">
        <f>IFERROR(IF(#REF!="S",VLOOKUP('Raw Data'!A8425,References!#REF!,2,FALSE),(VLOOKUP($S8425,References!$B$3:$C$8,2,FALSE))),"")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0"/>
        <v>0</v>
      </c>
      <c r="T8426" s="98">
        <f t="shared" si="329"/>
        <v>0</v>
      </c>
      <c r="U8426" s="99" t="str">
        <f>IFERROR(IF(#REF!="S",VLOOKUP('Raw Data'!A8426,References!#REF!,2,FALSE),(VLOOKUP($S8426,References!$B$3:$C$8,2,FALSE))),"")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0"/>
        <v>0</v>
      </c>
      <c r="T8427" s="98">
        <f t="shared" si="329"/>
        <v>0</v>
      </c>
      <c r="U8427" s="99" t="str">
        <f>IFERROR(IF(#REF!="S",VLOOKUP('Raw Data'!A8427,References!#REF!,2,FALSE),(VLOOKUP($S8427,References!$B$3:$C$8,2,FALSE))),"")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0"/>
        <v>0</v>
      </c>
      <c r="T8428" s="98">
        <f t="shared" si="329"/>
        <v>0</v>
      </c>
      <c r="U8428" s="99" t="str">
        <f>IFERROR(IF(#REF!="S",VLOOKUP('Raw Data'!A8428,References!#REF!,2,FALSE),(VLOOKUP($S8428,References!$B$3:$C$8,2,FALSE))),"")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0"/>
        <v>0</v>
      </c>
      <c r="T8429" s="98">
        <f t="shared" si="329"/>
        <v>0</v>
      </c>
      <c r="U8429" s="99" t="str">
        <f>IFERROR(IF(#REF!="S",VLOOKUP('Raw Data'!A8429,References!#REF!,2,FALSE),(VLOOKUP($S8429,References!$B$3:$C$8,2,FALSE))),"")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0"/>
        <v>0</v>
      </c>
      <c r="T8430" s="98">
        <f t="shared" si="329"/>
        <v>0</v>
      </c>
      <c r="U8430" s="99" t="str">
        <f>IFERROR(IF(#REF!="S",VLOOKUP('Raw Data'!A8430,References!#REF!,2,FALSE),(VLOOKUP($S8430,References!$B$3:$C$8,2,FALSE))),"")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0"/>
        <v>0</v>
      </c>
      <c r="T8431" s="98">
        <f t="shared" si="329"/>
        <v>0</v>
      </c>
      <c r="U8431" s="99" t="str">
        <f>IFERROR(IF(#REF!="S",VLOOKUP('Raw Data'!A8431,References!#REF!,2,FALSE),(VLOOKUP($S8431,References!$B$3:$C$8,2,FALSE))),"")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0"/>
        <v>0</v>
      </c>
      <c r="T8432" s="98">
        <f t="shared" si="329"/>
        <v>0</v>
      </c>
      <c r="U8432" s="99" t="str">
        <f>IFERROR(IF(#REF!="S",VLOOKUP('Raw Data'!A8432,References!#REF!,2,FALSE),(VLOOKUP($S8432,References!$B$3:$C$8,2,FALSE))),"")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0"/>
        <v>0</v>
      </c>
      <c r="T8433" s="98">
        <f t="shared" si="329"/>
        <v>0</v>
      </c>
      <c r="U8433" s="99" t="str">
        <f>IFERROR(IF(#REF!="S",VLOOKUP('Raw Data'!A8433,References!#REF!,2,FALSE),(VLOOKUP($S8433,References!$B$3:$C$8,2,FALSE))),"")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0"/>
        <v>0</v>
      </c>
      <c r="T8434" s="98">
        <f t="shared" si="329"/>
        <v>0</v>
      </c>
      <c r="U8434" s="99" t="str">
        <f>IFERROR(IF(#REF!="S",VLOOKUP('Raw Data'!A8434,References!#REF!,2,FALSE),(VLOOKUP($S8434,References!$B$3:$C$8,2,FALSE))),"")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0"/>
        <v>0</v>
      </c>
      <c r="T8435" s="98">
        <f t="shared" si="329"/>
        <v>0</v>
      </c>
      <c r="U8435" s="99" t="str">
        <f>IFERROR(IF(#REF!="S",VLOOKUP('Raw Data'!A8435,References!#REF!,2,FALSE),(VLOOKUP($S8435,References!$B$3:$C$8,2,FALSE))),"")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0"/>
        <v>0</v>
      </c>
      <c r="T8436" s="98">
        <f t="shared" si="329"/>
        <v>0</v>
      </c>
      <c r="U8436" s="99" t="str">
        <f>IFERROR(IF(#REF!="S",VLOOKUP('Raw Data'!A8436,References!#REF!,2,FALSE),(VLOOKUP($S8436,References!$B$3:$C$8,2,FALSE))),"")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0"/>
        <v>0</v>
      </c>
      <c r="T8437" s="98">
        <f t="shared" si="329"/>
        <v>0</v>
      </c>
      <c r="U8437" s="99" t="str">
        <f>IFERROR(IF(#REF!="S",VLOOKUP('Raw Data'!A8437,References!#REF!,2,FALSE),(VLOOKUP($S8437,References!$B$3:$C$8,2,FALSE))),"")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0"/>
        <v>0</v>
      </c>
      <c r="T8438" s="98">
        <f t="shared" si="329"/>
        <v>0</v>
      </c>
      <c r="U8438" s="99" t="str">
        <f>IFERROR(IF(#REF!="S",VLOOKUP('Raw Data'!A8438,References!#REF!,2,FALSE),(VLOOKUP($S8438,References!$B$3:$C$8,2,FALSE))),"")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0"/>
        <v>0</v>
      </c>
      <c r="T8439" s="98">
        <f t="shared" si="329"/>
        <v>0</v>
      </c>
      <c r="U8439" s="99" t="str">
        <f>IFERROR(IF(#REF!="S",VLOOKUP('Raw Data'!A8439,References!#REF!,2,FALSE),(VLOOKUP($S8439,References!$B$3:$C$8,2,FALSE))),"")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0"/>
        <v>0</v>
      </c>
      <c r="T8440" s="98">
        <f t="shared" si="329"/>
        <v>0</v>
      </c>
      <c r="U8440" s="99" t="str">
        <f>IFERROR(IF(#REF!="S",VLOOKUP('Raw Data'!A8440,References!#REF!,2,FALSE),(VLOOKUP($S8440,References!$B$3:$C$8,2,FALSE))),"")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0"/>
        <v>0</v>
      </c>
      <c r="T8441" s="98">
        <f t="shared" si="329"/>
        <v>0</v>
      </c>
      <c r="U8441" s="99" t="str">
        <f>IFERROR(IF(#REF!="S",VLOOKUP('Raw Data'!A8441,References!#REF!,2,FALSE),(VLOOKUP($S8441,References!$B$3:$C$8,2,FALSE))),"")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0"/>
        <v>0</v>
      </c>
      <c r="T8442" s="98">
        <f t="shared" si="329"/>
        <v>0</v>
      </c>
      <c r="U8442" s="99" t="str">
        <f>IFERROR(IF(#REF!="S",VLOOKUP('Raw Data'!A8442,References!#REF!,2,FALSE),(VLOOKUP($S8442,References!$B$3:$C$8,2,FALSE))),"")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0"/>
        <v>0</v>
      </c>
      <c r="T8443" s="98">
        <f t="shared" si="329"/>
        <v>0</v>
      </c>
      <c r="U8443" s="99" t="str">
        <f>IFERROR(IF(#REF!="S",VLOOKUP('Raw Data'!A8443,References!#REF!,2,FALSE),(VLOOKUP($S8443,References!$B$3:$C$8,2,FALSE))),"")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0"/>
        <v>0</v>
      </c>
      <c r="T8444" s="98">
        <f t="shared" si="329"/>
        <v>0</v>
      </c>
      <c r="U8444" s="99" t="str">
        <f>IFERROR(IF(#REF!="S",VLOOKUP('Raw Data'!A8444,References!#REF!,2,FALSE),(VLOOKUP($S8444,References!$B$3:$C$8,2,FALSE))),"")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0"/>
        <v>0</v>
      </c>
      <c r="T8445" s="98">
        <f t="shared" si="329"/>
        <v>0</v>
      </c>
      <c r="U8445" s="99" t="str">
        <f>IFERROR(IF(#REF!="S",VLOOKUP('Raw Data'!A8445,References!#REF!,2,FALSE),(VLOOKUP($S8445,References!$B$3:$C$8,2,FALSE))),"")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0"/>
        <v>0</v>
      </c>
      <c r="T8446" s="98">
        <f t="shared" si="329"/>
        <v>0</v>
      </c>
      <c r="U8446" s="99" t="str">
        <f>IFERROR(IF(#REF!="S",VLOOKUP('Raw Data'!A8446,References!#REF!,2,FALSE),(VLOOKUP($S8446,References!$B$3:$C$8,2,FALSE))),"")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0"/>
        <v>0</v>
      </c>
      <c r="T8447" s="98">
        <f t="shared" si="329"/>
        <v>0</v>
      </c>
      <c r="U8447" s="99" t="str">
        <f>IFERROR(IF(#REF!="S",VLOOKUP('Raw Data'!A8447,References!#REF!,2,FALSE),(VLOOKUP($S8447,References!$B$3:$C$8,2,FALSE))),"")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0"/>
        <v>0</v>
      </c>
      <c r="T8448" s="98">
        <f t="shared" si="329"/>
        <v>0</v>
      </c>
      <c r="U8448" s="99" t="str">
        <f>IFERROR(IF(#REF!="S",VLOOKUP('Raw Data'!A8448,References!#REF!,2,FALSE),(VLOOKUP($S8448,References!$B$3:$C$8,2,FALSE))),"")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0"/>
        <v>0</v>
      </c>
      <c r="T8449" s="98">
        <f t="shared" si="329"/>
        <v>0</v>
      </c>
      <c r="U8449" s="99" t="str">
        <f>IFERROR(IF(#REF!="S",VLOOKUP('Raw Data'!A8449,References!#REF!,2,FALSE),(VLOOKUP($S8449,References!$B$3:$C$8,2,FALSE))),"")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0"/>
        <v>0</v>
      </c>
      <c r="T8450" s="98">
        <f t="shared" si="329"/>
        <v>0</v>
      </c>
      <c r="U8450" s="99" t="str">
        <f>IFERROR(IF(#REF!="S",VLOOKUP('Raw Data'!A8450,References!#REF!,2,FALSE),(VLOOKUP($S8450,References!$B$3:$C$8,2,FALSE))),"")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0"/>
        <v>0</v>
      </c>
      <c r="T8451" s="98">
        <f t="shared" si="329"/>
        <v>0</v>
      </c>
      <c r="U8451" s="99" t="str">
        <f>IFERROR(IF(#REF!="S",VLOOKUP('Raw Data'!A8451,References!#REF!,2,FALSE),(VLOOKUP($S8451,References!$B$3:$C$8,2,FALSE))),"")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0"/>
        <v>0</v>
      </c>
      <c r="T8452" s="98">
        <f t="shared" si="329"/>
        <v>0</v>
      </c>
      <c r="U8452" s="99" t="str">
        <f>IFERROR(IF(#REF!="S",VLOOKUP('Raw Data'!A8452,References!#REF!,2,FALSE),(VLOOKUP($S8452,References!$B$3:$C$8,2,FALSE))),"")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0"/>
        <v>0</v>
      </c>
      <c r="T8453" s="98">
        <f t="shared" si="329"/>
        <v>0</v>
      </c>
      <c r="U8453" s="99" t="str">
        <f>IFERROR(IF(#REF!="S",VLOOKUP('Raw Data'!A8453,References!#REF!,2,FALSE),(VLOOKUP($S8453,References!$B$3:$C$8,2,FALSE))),"")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0"/>
        <v>0</v>
      </c>
      <c r="T8454" s="98">
        <f t="shared" si="329"/>
        <v>0</v>
      </c>
      <c r="U8454" s="99" t="str">
        <f>IFERROR(IF(#REF!="S",VLOOKUP('Raw Data'!A8454,References!#REF!,2,FALSE),(VLOOKUP($S8454,References!$B$3:$C$8,2,FALSE))),"")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0"/>
        <v>0</v>
      </c>
      <c r="T8455" s="98">
        <f t="shared" si="329"/>
        <v>0</v>
      </c>
      <c r="U8455" s="99" t="str">
        <f>IFERROR(IF(#REF!="S",VLOOKUP('Raw Data'!A8455,References!#REF!,2,FALSE),(VLOOKUP($S8455,References!$B$3:$C$8,2,FALSE))),"")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0"/>
        <v>0</v>
      </c>
      <c r="T8456" s="98">
        <f t="shared" si="329"/>
        <v>0</v>
      </c>
      <c r="U8456" s="99" t="str">
        <f>IFERROR(IF(#REF!="S",VLOOKUP('Raw Data'!A8456,References!#REF!,2,FALSE),(VLOOKUP($S8456,References!$B$3:$C$8,2,FALSE))),"")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0"/>
        <v>0</v>
      </c>
      <c r="T8457" s="98">
        <f t="shared" si="329"/>
        <v>0</v>
      </c>
      <c r="U8457" s="99" t="str">
        <f>IFERROR(IF(#REF!="S",VLOOKUP('Raw Data'!A8457,References!#REF!,2,FALSE),(VLOOKUP($S8457,References!$B$3:$C$8,2,FALSE))),"")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0"/>
        <v>0</v>
      </c>
      <c r="T8458" s="98">
        <f t="shared" si="329"/>
        <v>0</v>
      </c>
      <c r="U8458" s="99" t="str">
        <f>IFERROR(IF(#REF!="S",VLOOKUP('Raw Data'!A8458,References!#REF!,2,FALSE),(VLOOKUP($S8458,References!$B$3:$C$8,2,FALSE))),"")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0"/>
        <v>0</v>
      </c>
      <c r="T8459" s="98">
        <f t="shared" si="329"/>
        <v>0</v>
      </c>
      <c r="U8459" s="99" t="str">
        <f>IFERROR(IF(#REF!="S",VLOOKUP('Raw Data'!A8459,References!#REF!,2,FALSE),(VLOOKUP($S8459,References!$B$3:$C$8,2,FALSE))),"")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0"/>
        <v>0</v>
      </c>
      <c r="T8460" s="98">
        <f t="shared" si="329"/>
        <v>0</v>
      </c>
      <c r="U8460" s="99" t="str">
        <f>IFERROR(IF(#REF!="S",VLOOKUP('Raw Data'!A8460,References!#REF!,2,FALSE),(VLOOKUP($S8460,References!$B$3:$C$8,2,FALSE))),"")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0"/>
        <v>0</v>
      </c>
      <c r="T8461" s="98">
        <f t="shared" si="329"/>
        <v>0</v>
      </c>
      <c r="U8461" s="99" t="str">
        <f>IFERROR(IF(#REF!="S",VLOOKUP('Raw Data'!A8461,References!#REF!,2,FALSE),(VLOOKUP($S8461,References!$B$3:$C$8,2,FALSE))),"")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0"/>
        <v>0</v>
      </c>
      <c r="T8462" s="98">
        <f t="shared" si="329"/>
        <v>0</v>
      </c>
      <c r="U8462" s="99" t="str">
        <f>IFERROR(IF(#REF!="S",VLOOKUP('Raw Data'!A8462,References!#REF!,2,FALSE),(VLOOKUP($S8462,References!$B$3:$C$8,2,FALSE))),"")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0"/>
        <v>0</v>
      </c>
      <c r="T8463" s="98">
        <f t="shared" si="329"/>
        <v>0</v>
      </c>
      <c r="U8463" s="99" t="str">
        <f>IFERROR(IF(#REF!="S",VLOOKUP('Raw Data'!A8463,References!#REF!,2,FALSE),(VLOOKUP($S8463,References!$B$3:$C$8,2,FALSE))),"")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0"/>
        <v>0</v>
      </c>
      <c r="T8464" s="98">
        <f t="shared" ref="T8464:T8527" si="331">IF(S8464="50 - Cleaning Fee",1,HOUR($R8464)+MINUTE(R8464)/60)</f>
        <v>0</v>
      </c>
      <c r="U8464" s="99" t="str">
        <f>IFERROR(IF(#REF!="S",VLOOKUP('Raw Data'!A8464,References!#REF!,2,FALSE),(VLOOKUP($S8464,References!$B$3:$C$8,2,FALSE))),"")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0"/>
        <v>0</v>
      </c>
      <c r="T8465" s="98">
        <f t="shared" si="331"/>
        <v>0</v>
      </c>
      <c r="U8465" s="99" t="str">
        <f>IFERROR(IF(#REF!="S",VLOOKUP('Raw Data'!A8465,References!#REF!,2,FALSE),(VLOOKUP($S8465,References!$B$3:$C$8,2,FALSE))),"")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0"/>
        <v>0</v>
      </c>
      <c r="T8466" s="98">
        <f t="shared" si="331"/>
        <v>0</v>
      </c>
      <c r="U8466" s="99" t="str">
        <f>IFERROR(IF(#REF!="S",VLOOKUP('Raw Data'!A8466,References!#REF!,2,FALSE),(VLOOKUP($S8466,References!$B$3:$C$8,2,FALSE))),"")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0"/>
        <v>0</v>
      </c>
      <c r="T8467" s="98">
        <f t="shared" si="331"/>
        <v>0</v>
      </c>
      <c r="U8467" s="99" t="str">
        <f>IFERROR(IF(#REF!="S",VLOOKUP('Raw Data'!A8467,References!#REF!,2,FALSE),(VLOOKUP($S8467,References!$B$3:$C$8,2,FALSE))),"")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0"/>
        <v>0</v>
      </c>
      <c r="T8468" s="98">
        <f t="shared" si="331"/>
        <v>0</v>
      </c>
      <c r="U8468" s="99" t="str">
        <f>IFERROR(IF(#REF!="S",VLOOKUP('Raw Data'!A8468,References!#REF!,2,FALSE),(VLOOKUP($S8468,References!$B$3:$C$8,2,FALSE))),"")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0"/>
        <v>0</v>
      </c>
      <c r="T8469" s="98">
        <f t="shared" si="331"/>
        <v>0</v>
      </c>
      <c r="U8469" s="99" t="str">
        <f>IFERROR(IF(#REF!="S",VLOOKUP('Raw Data'!A8469,References!#REF!,2,FALSE),(VLOOKUP($S8469,References!$B$3:$C$8,2,FALSE))),"")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0"/>
        <v>0</v>
      </c>
      <c r="T8470" s="98">
        <f t="shared" si="331"/>
        <v>0</v>
      </c>
      <c r="U8470" s="99" t="str">
        <f>IFERROR(IF(#REF!="S",VLOOKUP('Raw Data'!A8470,References!#REF!,2,FALSE),(VLOOKUP($S8470,References!$B$3:$C$8,2,FALSE))),"")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0"/>
        <v>0</v>
      </c>
      <c r="T8471" s="98">
        <f t="shared" si="331"/>
        <v>0</v>
      </c>
      <c r="U8471" s="99" t="str">
        <f>IFERROR(IF(#REF!="S",VLOOKUP('Raw Data'!A8471,References!#REF!,2,FALSE),(VLOOKUP($S8471,References!$B$3:$C$8,2,FALSE))),"")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0"/>
        <v>0</v>
      </c>
      <c r="T8472" s="98">
        <f t="shared" si="331"/>
        <v>0</v>
      </c>
      <c r="U8472" s="99" t="str">
        <f>IFERROR(IF(#REF!="S",VLOOKUP('Raw Data'!A8472,References!#REF!,2,FALSE),(VLOOKUP($S8472,References!$B$3:$C$8,2,FALSE))),"")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0"/>
        <v>0</v>
      </c>
      <c r="T8473" s="98">
        <f t="shared" si="331"/>
        <v>0</v>
      </c>
      <c r="U8473" s="99" t="str">
        <f>IFERROR(IF(#REF!="S",VLOOKUP('Raw Data'!A8473,References!#REF!,2,FALSE),(VLOOKUP($S8473,References!$B$3:$C$8,2,FALSE))),"")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0"/>
        <v>0</v>
      </c>
      <c r="T8474" s="98">
        <f t="shared" si="331"/>
        <v>0</v>
      </c>
      <c r="U8474" s="99" t="str">
        <f>IFERROR(IF(#REF!="S",VLOOKUP('Raw Data'!A8474,References!#REF!,2,FALSE),(VLOOKUP($S8474,References!$B$3:$C$8,2,FALSE))),"")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0"/>
        <v>0</v>
      </c>
      <c r="T8475" s="98">
        <f t="shared" si="331"/>
        <v>0</v>
      </c>
      <c r="U8475" s="99" t="str">
        <f>IFERROR(IF(#REF!="S",VLOOKUP('Raw Data'!A8475,References!#REF!,2,FALSE),(VLOOKUP($S8475,References!$B$3:$C$8,2,FALSE))),"")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0"/>
        <v>0</v>
      </c>
      <c r="T8476" s="98">
        <f t="shared" si="331"/>
        <v>0</v>
      </c>
      <c r="U8476" s="99" t="str">
        <f>IFERROR(IF(#REF!="S",VLOOKUP('Raw Data'!A8476,References!#REF!,2,FALSE),(VLOOKUP($S8476,References!$B$3:$C$8,2,FALSE))),"")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0"/>
        <v>0</v>
      </c>
      <c r="T8477" s="98">
        <f t="shared" si="331"/>
        <v>0</v>
      </c>
      <c r="U8477" s="99" t="str">
        <f>IFERROR(IF(#REF!="S",VLOOKUP('Raw Data'!A8477,References!#REF!,2,FALSE),(VLOOKUP($S8477,References!$B$3:$C$8,2,FALSE))),"")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0"/>
        <v>0</v>
      </c>
      <c r="T8478" s="98">
        <f t="shared" si="331"/>
        <v>0</v>
      </c>
      <c r="U8478" s="99" t="str">
        <f>IFERROR(IF(#REF!="S",VLOOKUP('Raw Data'!A8478,References!#REF!,2,FALSE),(VLOOKUP($S8478,References!$B$3:$C$8,2,FALSE))),"")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0"/>
        <v>0</v>
      </c>
      <c r="T8479" s="98">
        <f t="shared" si="331"/>
        <v>0</v>
      </c>
      <c r="U8479" s="99" t="str">
        <f>IFERROR(IF(#REF!="S",VLOOKUP('Raw Data'!A8479,References!#REF!,2,FALSE),(VLOOKUP($S8479,References!$B$3:$C$8,2,FALSE))),"")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0"/>
        <v>0</v>
      </c>
      <c r="T8480" s="98">
        <f t="shared" si="331"/>
        <v>0</v>
      </c>
      <c r="U8480" s="99" t="str">
        <f>IFERROR(IF(#REF!="S",VLOOKUP('Raw Data'!A8480,References!#REF!,2,FALSE),(VLOOKUP($S8480,References!$B$3:$C$8,2,FALSE))),"")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0"/>
        <v>0</v>
      </c>
      <c r="T8481" s="98">
        <f t="shared" si="331"/>
        <v>0</v>
      </c>
      <c r="U8481" s="99" t="str">
        <f>IFERROR(IF(#REF!="S",VLOOKUP('Raw Data'!A8481,References!#REF!,2,FALSE),(VLOOKUP($S8481,References!$B$3:$C$8,2,FALSE))),"")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0"/>
        <v>0</v>
      </c>
      <c r="T8482" s="98">
        <f t="shared" si="331"/>
        <v>0</v>
      </c>
      <c r="U8482" s="99" t="str">
        <f>IFERROR(IF(#REF!="S",VLOOKUP('Raw Data'!A8482,References!#REF!,2,FALSE),(VLOOKUP($S8482,References!$B$3:$C$8,2,FALSE))),"")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0"/>
        <v>0</v>
      </c>
      <c r="T8483" s="98">
        <f t="shared" si="331"/>
        <v>0</v>
      </c>
      <c r="U8483" s="99" t="str">
        <f>IFERROR(IF(#REF!="S",VLOOKUP('Raw Data'!A8483,References!#REF!,2,FALSE),(VLOOKUP($S8483,References!$B$3:$C$8,2,FALSE))),"")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0"/>
        <v>0</v>
      </c>
      <c r="T8484" s="98">
        <f t="shared" si="331"/>
        <v>0</v>
      </c>
      <c r="U8484" s="99" t="str">
        <f>IFERROR(IF(#REF!="S",VLOOKUP('Raw Data'!A8484,References!#REF!,2,FALSE),(VLOOKUP($S8484,References!$B$3:$C$8,2,FALSE))),"")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0"/>
        <v>0</v>
      </c>
      <c r="T8485" s="98">
        <f t="shared" si="331"/>
        <v>0</v>
      </c>
      <c r="U8485" s="99" t="str">
        <f>IFERROR(IF(#REF!="S",VLOOKUP('Raw Data'!A8485,References!#REF!,2,FALSE),(VLOOKUP($S8485,References!$B$3:$C$8,2,FALSE))),"")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0"/>
        <v>0</v>
      </c>
      <c r="T8486" s="98">
        <f t="shared" si="331"/>
        <v>0</v>
      </c>
      <c r="U8486" s="99" t="str">
        <f>IFERROR(IF(#REF!="S",VLOOKUP('Raw Data'!A8486,References!#REF!,2,FALSE),(VLOOKUP($S8486,References!$B$3:$C$8,2,FALSE))),"")</f>
        <v/>
      </c>
      <c r="W8486" s="66" t="str">
        <f>IFERROR(VLOOKUP($O8486,'Customer List'!$A$1:$J$488,10,FALSE),"")</f>
        <v/>
      </c>
    </row>
    <row r="8487" spans="18:23">
      <c r="R8487" s="97">
        <f t="shared" si="330"/>
        <v>0</v>
      </c>
      <c r="T8487" s="98">
        <f t="shared" si="331"/>
        <v>0</v>
      </c>
      <c r="U8487" s="99" t="str">
        <f>IFERROR(IF(#REF!="S",VLOOKUP('Raw Data'!A8487,References!#REF!,2,FALSE),(VLOOKUP($S8487,References!$B$3:$C$8,2,FALSE))),"")</f>
        <v/>
      </c>
      <c r="W8487" s="66" t="str">
        <f>IFERROR(VLOOKUP($O8487,'Customer List'!$A$1:$J$488,10,FALSE),"")</f>
        <v/>
      </c>
    </row>
    <row r="8488" spans="18:23">
      <c r="R8488" s="97">
        <f t="shared" ref="R8488:R8551" si="332">L8488-K8488</f>
        <v>0</v>
      </c>
      <c r="T8488" s="98">
        <f t="shared" si="331"/>
        <v>0</v>
      </c>
      <c r="U8488" s="99" t="str">
        <f>IFERROR(IF(#REF!="S",VLOOKUP('Raw Data'!A8488,References!#REF!,2,FALSE),(VLOOKUP($S8488,References!$B$3:$C$8,2,FALSE))),"")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2"/>
        <v>0</v>
      </c>
      <c r="T8489" s="98">
        <f t="shared" si="331"/>
        <v>0</v>
      </c>
      <c r="U8489" s="99" t="str">
        <f>IFERROR(IF(#REF!="S",VLOOKUP('Raw Data'!A8489,References!#REF!,2,FALSE),(VLOOKUP($S8489,References!$B$3:$C$8,2,FALSE))),"")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2"/>
        <v>0</v>
      </c>
      <c r="T8490" s="98">
        <f t="shared" si="331"/>
        <v>0</v>
      </c>
      <c r="U8490" s="99" t="str">
        <f>IFERROR(IF(#REF!="S",VLOOKUP('Raw Data'!A8490,References!#REF!,2,FALSE),(VLOOKUP($S8490,References!$B$3:$C$8,2,FALSE))),"")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2"/>
        <v>0</v>
      </c>
      <c r="T8491" s="98">
        <f t="shared" si="331"/>
        <v>0</v>
      </c>
      <c r="U8491" s="99" t="str">
        <f>IFERROR(IF(#REF!="S",VLOOKUP('Raw Data'!A8491,References!#REF!,2,FALSE),(VLOOKUP($S8491,References!$B$3:$C$8,2,FALSE))),"")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2"/>
        <v>0</v>
      </c>
      <c r="T8492" s="98">
        <f t="shared" si="331"/>
        <v>0</v>
      </c>
      <c r="U8492" s="99" t="str">
        <f>IFERROR(IF(#REF!="S",VLOOKUP('Raw Data'!A8492,References!#REF!,2,FALSE),(VLOOKUP($S8492,References!$B$3:$C$8,2,FALSE))),"")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2"/>
        <v>0</v>
      </c>
      <c r="T8493" s="98">
        <f t="shared" si="331"/>
        <v>0</v>
      </c>
      <c r="U8493" s="99" t="str">
        <f>IFERROR(IF(#REF!="S",VLOOKUP('Raw Data'!A8493,References!#REF!,2,FALSE),(VLOOKUP($S8493,References!$B$3:$C$8,2,FALSE))),"")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2"/>
        <v>0</v>
      </c>
      <c r="T8494" s="98">
        <f t="shared" si="331"/>
        <v>0</v>
      </c>
      <c r="U8494" s="99" t="str">
        <f>IFERROR(IF(#REF!="S",VLOOKUP('Raw Data'!A8494,References!#REF!,2,FALSE),(VLOOKUP($S8494,References!$B$3:$C$8,2,FALSE))),"")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2"/>
        <v>0</v>
      </c>
      <c r="T8495" s="98">
        <f t="shared" si="331"/>
        <v>0</v>
      </c>
      <c r="U8495" s="99" t="str">
        <f>IFERROR(IF(#REF!="S",VLOOKUP('Raw Data'!A8495,References!#REF!,2,FALSE),(VLOOKUP($S8495,References!$B$3:$C$8,2,FALSE))),"")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2"/>
        <v>0</v>
      </c>
      <c r="T8496" s="98">
        <f t="shared" si="331"/>
        <v>0</v>
      </c>
      <c r="U8496" s="99" t="str">
        <f>IFERROR(IF(#REF!="S",VLOOKUP('Raw Data'!A8496,References!#REF!,2,FALSE),(VLOOKUP($S8496,References!$B$3:$C$8,2,FALSE))),"")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2"/>
        <v>0</v>
      </c>
      <c r="T8497" s="98">
        <f t="shared" si="331"/>
        <v>0</v>
      </c>
      <c r="U8497" s="99" t="str">
        <f>IFERROR(IF(#REF!="S",VLOOKUP('Raw Data'!A8497,References!#REF!,2,FALSE),(VLOOKUP($S8497,References!$B$3:$C$8,2,FALSE))),"")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2"/>
        <v>0</v>
      </c>
      <c r="T8498" s="98">
        <f t="shared" si="331"/>
        <v>0</v>
      </c>
      <c r="U8498" s="99" t="str">
        <f>IFERROR(IF(#REF!="S",VLOOKUP('Raw Data'!A8498,References!#REF!,2,FALSE),(VLOOKUP($S8498,References!$B$3:$C$8,2,FALSE))),"")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2"/>
        <v>0</v>
      </c>
      <c r="T8499" s="98">
        <f t="shared" si="331"/>
        <v>0</v>
      </c>
      <c r="U8499" s="99" t="str">
        <f>IFERROR(IF(#REF!="S",VLOOKUP('Raw Data'!A8499,References!#REF!,2,FALSE),(VLOOKUP($S8499,References!$B$3:$C$8,2,FALSE))),"")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2"/>
        <v>0</v>
      </c>
      <c r="T8500" s="98">
        <f t="shared" si="331"/>
        <v>0</v>
      </c>
      <c r="U8500" s="99" t="str">
        <f>IFERROR(IF(#REF!="S",VLOOKUP('Raw Data'!A8500,References!#REF!,2,FALSE),(VLOOKUP($S8500,References!$B$3:$C$8,2,FALSE))),"")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2"/>
        <v>0</v>
      </c>
      <c r="T8501" s="98">
        <f t="shared" si="331"/>
        <v>0</v>
      </c>
      <c r="U8501" s="99" t="str">
        <f>IFERROR(IF(#REF!="S",VLOOKUP('Raw Data'!A8501,References!#REF!,2,FALSE),(VLOOKUP($S8501,References!$B$3:$C$8,2,FALSE))),"")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2"/>
        <v>0</v>
      </c>
      <c r="T8502" s="98">
        <f t="shared" si="331"/>
        <v>0</v>
      </c>
      <c r="U8502" s="99" t="str">
        <f>IFERROR(IF(#REF!="S",VLOOKUP('Raw Data'!A8502,References!#REF!,2,FALSE),(VLOOKUP($S8502,References!$B$3:$C$8,2,FALSE))),"")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2"/>
        <v>0</v>
      </c>
      <c r="T8503" s="98">
        <f t="shared" si="331"/>
        <v>0</v>
      </c>
      <c r="U8503" s="99" t="str">
        <f>IFERROR(IF(#REF!="S",VLOOKUP('Raw Data'!A8503,References!#REF!,2,FALSE),(VLOOKUP($S8503,References!$B$3:$C$8,2,FALSE))),"")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2"/>
        <v>0</v>
      </c>
      <c r="T8504" s="98">
        <f t="shared" si="331"/>
        <v>0</v>
      </c>
      <c r="U8504" s="99" t="str">
        <f>IFERROR(IF(#REF!="S",VLOOKUP('Raw Data'!A8504,References!#REF!,2,FALSE),(VLOOKUP($S8504,References!$B$3:$C$8,2,FALSE))),"")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2"/>
        <v>0</v>
      </c>
      <c r="T8505" s="98">
        <f t="shared" si="331"/>
        <v>0</v>
      </c>
      <c r="U8505" s="99" t="str">
        <f>IFERROR(IF(#REF!="S",VLOOKUP('Raw Data'!A8505,References!#REF!,2,FALSE),(VLOOKUP($S8505,References!$B$3:$C$8,2,FALSE))),"")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2"/>
        <v>0</v>
      </c>
      <c r="T8506" s="98">
        <f t="shared" si="331"/>
        <v>0</v>
      </c>
      <c r="U8506" s="99" t="str">
        <f>IFERROR(IF(#REF!="S",VLOOKUP('Raw Data'!A8506,References!#REF!,2,FALSE),(VLOOKUP($S8506,References!$B$3:$C$8,2,FALSE))),"")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2"/>
        <v>0</v>
      </c>
      <c r="T8507" s="98">
        <f t="shared" si="331"/>
        <v>0</v>
      </c>
      <c r="U8507" s="99" t="str">
        <f>IFERROR(IF(#REF!="S",VLOOKUP('Raw Data'!A8507,References!#REF!,2,FALSE),(VLOOKUP($S8507,References!$B$3:$C$8,2,FALSE))),"")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2"/>
        <v>0</v>
      </c>
      <c r="T8508" s="98">
        <f t="shared" si="331"/>
        <v>0</v>
      </c>
      <c r="U8508" s="99" t="str">
        <f>IFERROR(IF(#REF!="S",VLOOKUP('Raw Data'!A8508,References!#REF!,2,FALSE),(VLOOKUP($S8508,References!$B$3:$C$8,2,FALSE))),"")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2"/>
        <v>0</v>
      </c>
      <c r="T8509" s="98">
        <f t="shared" si="331"/>
        <v>0</v>
      </c>
      <c r="U8509" s="99" t="str">
        <f>IFERROR(IF(#REF!="S",VLOOKUP('Raw Data'!A8509,References!#REF!,2,FALSE),(VLOOKUP($S8509,References!$B$3:$C$8,2,FALSE))),"")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2"/>
        <v>0</v>
      </c>
      <c r="T8510" s="98">
        <f t="shared" si="331"/>
        <v>0</v>
      </c>
      <c r="U8510" s="99" t="str">
        <f>IFERROR(IF(#REF!="S",VLOOKUP('Raw Data'!A8510,References!#REF!,2,FALSE),(VLOOKUP($S8510,References!$B$3:$C$8,2,FALSE))),"")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2"/>
        <v>0</v>
      </c>
      <c r="T8511" s="98">
        <f t="shared" si="331"/>
        <v>0</v>
      </c>
      <c r="U8511" s="99" t="str">
        <f>IFERROR(IF(#REF!="S",VLOOKUP('Raw Data'!A8511,References!#REF!,2,FALSE),(VLOOKUP($S8511,References!$B$3:$C$8,2,FALSE))),"")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2"/>
        <v>0</v>
      </c>
      <c r="T8512" s="98">
        <f t="shared" si="331"/>
        <v>0</v>
      </c>
      <c r="U8512" s="99" t="str">
        <f>IFERROR(IF(#REF!="S",VLOOKUP('Raw Data'!A8512,References!#REF!,2,FALSE),(VLOOKUP($S8512,References!$B$3:$C$8,2,FALSE))),"")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2"/>
        <v>0</v>
      </c>
      <c r="T8513" s="98">
        <f t="shared" si="331"/>
        <v>0</v>
      </c>
      <c r="U8513" s="99" t="str">
        <f>IFERROR(IF(#REF!="S",VLOOKUP('Raw Data'!A8513,References!#REF!,2,FALSE),(VLOOKUP($S8513,References!$B$3:$C$8,2,FALSE))),"")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2"/>
        <v>0</v>
      </c>
      <c r="T8514" s="98">
        <f t="shared" si="331"/>
        <v>0</v>
      </c>
      <c r="U8514" s="99" t="str">
        <f>IFERROR(IF(#REF!="S",VLOOKUP('Raw Data'!A8514,References!#REF!,2,FALSE),(VLOOKUP($S8514,References!$B$3:$C$8,2,FALSE))),"")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2"/>
        <v>0</v>
      </c>
      <c r="T8515" s="98">
        <f t="shared" si="331"/>
        <v>0</v>
      </c>
      <c r="U8515" s="99" t="str">
        <f>IFERROR(IF(#REF!="S",VLOOKUP('Raw Data'!A8515,References!#REF!,2,FALSE),(VLOOKUP($S8515,References!$B$3:$C$8,2,FALSE))),"")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2"/>
        <v>0</v>
      </c>
      <c r="T8516" s="98">
        <f t="shared" si="331"/>
        <v>0</v>
      </c>
      <c r="U8516" s="99" t="str">
        <f>IFERROR(IF(#REF!="S",VLOOKUP('Raw Data'!A8516,References!#REF!,2,FALSE),(VLOOKUP($S8516,References!$B$3:$C$8,2,FALSE))),"")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2"/>
        <v>0</v>
      </c>
      <c r="T8517" s="98">
        <f t="shared" si="331"/>
        <v>0</v>
      </c>
      <c r="U8517" s="99" t="str">
        <f>IFERROR(IF(#REF!="S",VLOOKUP('Raw Data'!A8517,References!#REF!,2,FALSE),(VLOOKUP($S8517,References!$B$3:$C$8,2,FALSE))),"")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2"/>
        <v>0</v>
      </c>
      <c r="T8518" s="98">
        <f t="shared" si="331"/>
        <v>0</v>
      </c>
      <c r="U8518" s="99" t="str">
        <f>IFERROR(IF(#REF!="S",VLOOKUP('Raw Data'!A8518,References!#REF!,2,FALSE),(VLOOKUP($S8518,References!$B$3:$C$8,2,FALSE))),"")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2"/>
        <v>0</v>
      </c>
      <c r="T8519" s="98">
        <f t="shared" si="331"/>
        <v>0</v>
      </c>
      <c r="U8519" s="99" t="str">
        <f>IFERROR(IF(#REF!="S",VLOOKUP('Raw Data'!A8519,References!#REF!,2,FALSE),(VLOOKUP($S8519,References!$B$3:$C$8,2,FALSE))),"")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2"/>
        <v>0</v>
      </c>
      <c r="T8520" s="98">
        <f t="shared" si="331"/>
        <v>0</v>
      </c>
      <c r="U8520" s="99" t="str">
        <f>IFERROR(IF(#REF!="S",VLOOKUP('Raw Data'!A8520,References!#REF!,2,FALSE),(VLOOKUP($S8520,References!$B$3:$C$8,2,FALSE))),"")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2"/>
        <v>0</v>
      </c>
      <c r="T8521" s="98">
        <f t="shared" si="331"/>
        <v>0</v>
      </c>
      <c r="U8521" s="99" t="str">
        <f>IFERROR(IF(#REF!="S",VLOOKUP('Raw Data'!A8521,References!#REF!,2,FALSE),(VLOOKUP($S8521,References!$B$3:$C$8,2,FALSE))),"")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2"/>
        <v>0</v>
      </c>
      <c r="T8522" s="98">
        <f t="shared" si="331"/>
        <v>0</v>
      </c>
      <c r="U8522" s="99" t="str">
        <f>IFERROR(IF(#REF!="S",VLOOKUP('Raw Data'!A8522,References!#REF!,2,FALSE),(VLOOKUP($S8522,References!$B$3:$C$8,2,FALSE))),"")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2"/>
        <v>0</v>
      </c>
      <c r="T8523" s="98">
        <f t="shared" si="331"/>
        <v>0</v>
      </c>
      <c r="U8523" s="99" t="str">
        <f>IFERROR(IF(#REF!="S",VLOOKUP('Raw Data'!A8523,References!#REF!,2,FALSE),(VLOOKUP($S8523,References!$B$3:$C$8,2,FALSE))),"")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2"/>
        <v>0</v>
      </c>
      <c r="T8524" s="98">
        <f t="shared" si="331"/>
        <v>0</v>
      </c>
      <c r="U8524" s="99" t="str">
        <f>IFERROR(IF(#REF!="S",VLOOKUP('Raw Data'!A8524,References!#REF!,2,FALSE),(VLOOKUP($S8524,References!$B$3:$C$8,2,FALSE))),"")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2"/>
        <v>0</v>
      </c>
      <c r="T8525" s="98">
        <f t="shared" si="331"/>
        <v>0</v>
      </c>
      <c r="U8525" s="99" t="str">
        <f>IFERROR(IF(#REF!="S",VLOOKUP('Raw Data'!A8525,References!#REF!,2,FALSE),(VLOOKUP($S8525,References!$B$3:$C$8,2,FALSE))),"")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2"/>
        <v>0</v>
      </c>
      <c r="T8526" s="98">
        <f t="shared" si="331"/>
        <v>0</v>
      </c>
      <c r="U8526" s="99" t="str">
        <f>IFERROR(IF(#REF!="S",VLOOKUP('Raw Data'!A8526,References!#REF!,2,FALSE),(VLOOKUP($S8526,References!$B$3:$C$8,2,FALSE))),"")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2"/>
        <v>0</v>
      </c>
      <c r="T8527" s="98">
        <f t="shared" si="331"/>
        <v>0</v>
      </c>
      <c r="U8527" s="99" t="str">
        <f>IFERROR(IF(#REF!="S",VLOOKUP('Raw Data'!A8527,References!#REF!,2,FALSE),(VLOOKUP($S8527,References!$B$3:$C$8,2,FALSE))),"")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2"/>
        <v>0</v>
      </c>
      <c r="T8528" s="98">
        <f t="shared" ref="T8528:T8591" si="333">IF(S8528="50 - Cleaning Fee",1,HOUR($R8528)+MINUTE(R8528)/60)</f>
        <v>0</v>
      </c>
      <c r="U8528" s="99" t="str">
        <f>IFERROR(IF(#REF!="S",VLOOKUP('Raw Data'!A8528,References!#REF!,2,FALSE),(VLOOKUP($S8528,References!$B$3:$C$8,2,FALSE))),"")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2"/>
        <v>0</v>
      </c>
      <c r="T8529" s="98">
        <f t="shared" si="333"/>
        <v>0</v>
      </c>
      <c r="U8529" s="99" t="str">
        <f>IFERROR(IF(#REF!="S",VLOOKUP('Raw Data'!A8529,References!#REF!,2,FALSE),(VLOOKUP($S8529,References!$B$3:$C$8,2,FALSE))),"")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2"/>
        <v>0</v>
      </c>
      <c r="T8530" s="98">
        <f t="shared" si="333"/>
        <v>0</v>
      </c>
      <c r="U8530" s="99" t="str">
        <f>IFERROR(IF(#REF!="S",VLOOKUP('Raw Data'!A8530,References!#REF!,2,FALSE),(VLOOKUP($S8530,References!$B$3:$C$8,2,FALSE))),"")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2"/>
        <v>0</v>
      </c>
      <c r="T8531" s="98">
        <f t="shared" si="333"/>
        <v>0</v>
      </c>
      <c r="U8531" s="99" t="str">
        <f>IFERROR(IF(#REF!="S",VLOOKUP('Raw Data'!A8531,References!#REF!,2,FALSE),(VLOOKUP($S8531,References!$B$3:$C$8,2,FALSE))),"")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2"/>
        <v>0</v>
      </c>
      <c r="T8532" s="98">
        <f t="shared" si="333"/>
        <v>0</v>
      </c>
      <c r="U8532" s="99" t="str">
        <f>IFERROR(IF(#REF!="S",VLOOKUP('Raw Data'!A8532,References!#REF!,2,FALSE),(VLOOKUP($S8532,References!$B$3:$C$8,2,FALSE))),"")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2"/>
        <v>0</v>
      </c>
      <c r="T8533" s="98">
        <f t="shared" si="333"/>
        <v>0</v>
      </c>
      <c r="U8533" s="99" t="str">
        <f>IFERROR(IF(#REF!="S",VLOOKUP('Raw Data'!A8533,References!#REF!,2,FALSE),(VLOOKUP($S8533,References!$B$3:$C$8,2,FALSE))),"")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2"/>
        <v>0</v>
      </c>
      <c r="T8534" s="98">
        <f t="shared" si="333"/>
        <v>0</v>
      </c>
      <c r="U8534" s="99" t="str">
        <f>IFERROR(IF(#REF!="S",VLOOKUP('Raw Data'!A8534,References!#REF!,2,FALSE),(VLOOKUP($S8534,References!$B$3:$C$8,2,FALSE))),"")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2"/>
        <v>0</v>
      </c>
      <c r="T8535" s="98">
        <f t="shared" si="333"/>
        <v>0</v>
      </c>
      <c r="U8535" s="99" t="str">
        <f>IFERROR(IF(#REF!="S",VLOOKUP('Raw Data'!A8535,References!#REF!,2,FALSE),(VLOOKUP($S8535,References!$B$3:$C$8,2,FALSE))),"")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2"/>
        <v>0</v>
      </c>
      <c r="T8536" s="98">
        <f t="shared" si="333"/>
        <v>0</v>
      </c>
      <c r="U8536" s="99" t="str">
        <f>IFERROR(IF(#REF!="S",VLOOKUP('Raw Data'!A8536,References!#REF!,2,FALSE),(VLOOKUP($S8536,References!$B$3:$C$8,2,FALSE))),"")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2"/>
        <v>0</v>
      </c>
      <c r="T8537" s="98">
        <f t="shared" si="333"/>
        <v>0</v>
      </c>
      <c r="U8537" s="99" t="str">
        <f>IFERROR(IF(#REF!="S",VLOOKUP('Raw Data'!A8537,References!#REF!,2,FALSE),(VLOOKUP($S8537,References!$B$3:$C$8,2,FALSE))),"")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2"/>
        <v>0</v>
      </c>
      <c r="T8538" s="98">
        <f t="shared" si="333"/>
        <v>0</v>
      </c>
      <c r="U8538" s="99" t="str">
        <f>IFERROR(IF(#REF!="S",VLOOKUP('Raw Data'!A8538,References!#REF!,2,FALSE),(VLOOKUP($S8538,References!$B$3:$C$8,2,FALSE))),"")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2"/>
        <v>0</v>
      </c>
      <c r="T8539" s="98">
        <f t="shared" si="333"/>
        <v>0</v>
      </c>
      <c r="U8539" s="99" t="str">
        <f>IFERROR(IF(#REF!="S",VLOOKUP('Raw Data'!A8539,References!#REF!,2,FALSE),(VLOOKUP($S8539,References!$B$3:$C$8,2,FALSE))),"")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2"/>
        <v>0</v>
      </c>
      <c r="T8540" s="98">
        <f t="shared" si="333"/>
        <v>0</v>
      </c>
      <c r="U8540" s="99" t="str">
        <f>IFERROR(IF(#REF!="S",VLOOKUP('Raw Data'!A8540,References!#REF!,2,FALSE),(VLOOKUP($S8540,References!$B$3:$C$8,2,FALSE))),"")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2"/>
        <v>0</v>
      </c>
      <c r="T8541" s="98">
        <f t="shared" si="333"/>
        <v>0</v>
      </c>
      <c r="U8541" s="99" t="str">
        <f>IFERROR(IF(#REF!="S",VLOOKUP('Raw Data'!A8541,References!#REF!,2,FALSE),(VLOOKUP($S8541,References!$B$3:$C$8,2,FALSE))),"")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2"/>
        <v>0</v>
      </c>
      <c r="T8542" s="98">
        <f t="shared" si="333"/>
        <v>0</v>
      </c>
      <c r="U8542" s="99" t="str">
        <f>IFERROR(IF(#REF!="S",VLOOKUP('Raw Data'!A8542,References!#REF!,2,FALSE),(VLOOKUP($S8542,References!$B$3:$C$8,2,FALSE))),"")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2"/>
        <v>0</v>
      </c>
      <c r="T8543" s="98">
        <f t="shared" si="333"/>
        <v>0</v>
      </c>
      <c r="U8543" s="99" t="str">
        <f>IFERROR(IF(#REF!="S",VLOOKUP('Raw Data'!A8543,References!#REF!,2,FALSE),(VLOOKUP($S8543,References!$B$3:$C$8,2,FALSE))),"")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2"/>
        <v>0</v>
      </c>
      <c r="T8544" s="98">
        <f t="shared" si="333"/>
        <v>0</v>
      </c>
      <c r="U8544" s="99" t="str">
        <f>IFERROR(IF(#REF!="S",VLOOKUP('Raw Data'!A8544,References!#REF!,2,FALSE),(VLOOKUP($S8544,References!$B$3:$C$8,2,FALSE))),"")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2"/>
        <v>0</v>
      </c>
      <c r="T8545" s="98">
        <f t="shared" si="333"/>
        <v>0</v>
      </c>
      <c r="U8545" s="99" t="str">
        <f>IFERROR(IF(#REF!="S",VLOOKUP('Raw Data'!A8545,References!#REF!,2,FALSE),(VLOOKUP($S8545,References!$B$3:$C$8,2,FALSE))),"")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2"/>
        <v>0</v>
      </c>
      <c r="T8546" s="98">
        <f t="shared" si="333"/>
        <v>0</v>
      </c>
      <c r="U8546" s="99" t="str">
        <f>IFERROR(IF(#REF!="S",VLOOKUP('Raw Data'!A8546,References!#REF!,2,FALSE),(VLOOKUP($S8546,References!$B$3:$C$8,2,FALSE))),"")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2"/>
        <v>0</v>
      </c>
      <c r="T8547" s="98">
        <f t="shared" si="333"/>
        <v>0</v>
      </c>
      <c r="U8547" s="99" t="str">
        <f>IFERROR(IF(#REF!="S",VLOOKUP('Raw Data'!A8547,References!#REF!,2,FALSE),(VLOOKUP($S8547,References!$B$3:$C$8,2,FALSE))),"")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2"/>
        <v>0</v>
      </c>
      <c r="T8548" s="98">
        <f t="shared" si="333"/>
        <v>0</v>
      </c>
      <c r="U8548" s="99" t="str">
        <f>IFERROR(IF(#REF!="S",VLOOKUP('Raw Data'!A8548,References!#REF!,2,FALSE),(VLOOKUP($S8548,References!$B$3:$C$8,2,FALSE))),"")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2"/>
        <v>0</v>
      </c>
      <c r="T8549" s="98">
        <f t="shared" si="333"/>
        <v>0</v>
      </c>
      <c r="U8549" s="99" t="str">
        <f>IFERROR(IF(#REF!="S",VLOOKUP('Raw Data'!A8549,References!#REF!,2,FALSE),(VLOOKUP($S8549,References!$B$3:$C$8,2,FALSE))),"")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2"/>
        <v>0</v>
      </c>
      <c r="T8550" s="98">
        <f t="shared" si="333"/>
        <v>0</v>
      </c>
      <c r="U8550" s="99" t="str">
        <f>IFERROR(IF(#REF!="S",VLOOKUP('Raw Data'!A8550,References!#REF!,2,FALSE),(VLOOKUP($S8550,References!$B$3:$C$8,2,FALSE))),"")</f>
        <v/>
      </c>
      <c r="W8550" s="66" t="str">
        <f>IFERROR(VLOOKUP($O8550,'Customer List'!$A$1:$J$488,10,FALSE),"")</f>
        <v/>
      </c>
    </row>
    <row r="8551" spans="18:23">
      <c r="R8551" s="97">
        <f t="shared" si="332"/>
        <v>0</v>
      </c>
      <c r="T8551" s="98">
        <f t="shared" si="333"/>
        <v>0</v>
      </c>
      <c r="U8551" s="99" t="str">
        <f>IFERROR(IF(#REF!="S",VLOOKUP('Raw Data'!A8551,References!#REF!,2,FALSE),(VLOOKUP($S8551,References!$B$3:$C$8,2,FALSE))),"")</f>
        <v/>
      </c>
      <c r="W8551" s="66" t="str">
        <f>IFERROR(VLOOKUP($O8551,'Customer List'!$A$1:$J$488,10,FALSE),"")</f>
        <v/>
      </c>
    </row>
    <row r="8552" spans="18:23">
      <c r="R8552" s="97">
        <f t="shared" ref="R8552:R8615" si="334">L8552-K8552</f>
        <v>0</v>
      </c>
      <c r="T8552" s="98">
        <f t="shared" si="333"/>
        <v>0</v>
      </c>
      <c r="U8552" s="99" t="str">
        <f>IFERROR(IF(#REF!="S",VLOOKUP('Raw Data'!A8552,References!#REF!,2,FALSE),(VLOOKUP($S8552,References!$B$3:$C$8,2,FALSE))),"")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4"/>
        <v>0</v>
      </c>
      <c r="T8553" s="98">
        <f t="shared" si="333"/>
        <v>0</v>
      </c>
      <c r="U8553" s="99" t="str">
        <f>IFERROR(IF(#REF!="S",VLOOKUP('Raw Data'!A8553,References!#REF!,2,FALSE),(VLOOKUP($S8553,References!$B$3:$C$8,2,FALSE))),"")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4"/>
        <v>0</v>
      </c>
      <c r="T8554" s="98">
        <f t="shared" si="333"/>
        <v>0</v>
      </c>
      <c r="U8554" s="99" t="str">
        <f>IFERROR(IF(#REF!="S",VLOOKUP('Raw Data'!A8554,References!#REF!,2,FALSE),(VLOOKUP($S8554,References!$B$3:$C$8,2,FALSE))),"")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4"/>
        <v>0</v>
      </c>
      <c r="T8555" s="98">
        <f t="shared" si="333"/>
        <v>0</v>
      </c>
      <c r="U8555" s="99" t="str">
        <f>IFERROR(IF(#REF!="S",VLOOKUP('Raw Data'!A8555,References!#REF!,2,FALSE),(VLOOKUP($S8555,References!$B$3:$C$8,2,FALSE))),"")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4"/>
        <v>0</v>
      </c>
      <c r="T8556" s="98">
        <f t="shared" si="333"/>
        <v>0</v>
      </c>
      <c r="U8556" s="99" t="str">
        <f>IFERROR(IF(#REF!="S",VLOOKUP('Raw Data'!A8556,References!#REF!,2,FALSE),(VLOOKUP($S8556,References!$B$3:$C$8,2,FALSE))),"")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4"/>
        <v>0</v>
      </c>
      <c r="T8557" s="98">
        <f t="shared" si="333"/>
        <v>0</v>
      </c>
      <c r="U8557" s="99" t="str">
        <f>IFERROR(IF(#REF!="S",VLOOKUP('Raw Data'!A8557,References!#REF!,2,FALSE),(VLOOKUP($S8557,References!$B$3:$C$8,2,FALSE))),"")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4"/>
        <v>0</v>
      </c>
      <c r="T8558" s="98">
        <f t="shared" si="333"/>
        <v>0</v>
      </c>
      <c r="U8558" s="99" t="str">
        <f>IFERROR(IF(#REF!="S",VLOOKUP('Raw Data'!A8558,References!#REF!,2,FALSE),(VLOOKUP($S8558,References!$B$3:$C$8,2,FALSE))),"")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4"/>
        <v>0</v>
      </c>
      <c r="T8559" s="98">
        <f t="shared" si="333"/>
        <v>0</v>
      </c>
      <c r="U8559" s="99" t="str">
        <f>IFERROR(IF(#REF!="S",VLOOKUP('Raw Data'!A8559,References!#REF!,2,FALSE),(VLOOKUP($S8559,References!$B$3:$C$8,2,FALSE))),"")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4"/>
        <v>0</v>
      </c>
      <c r="T8560" s="98">
        <f t="shared" si="333"/>
        <v>0</v>
      </c>
      <c r="U8560" s="99" t="str">
        <f>IFERROR(IF(#REF!="S",VLOOKUP('Raw Data'!A8560,References!#REF!,2,FALSE),(VLOOKUP($S8560,References!$B$3:$C$8,2,FALSE))),"")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4"/>
        <v>0</v>
      </c>
      <c r="T8561" s="98">
        <f t="shared" si="333"/>
        <v>0</v>
      </c>
      <c r="U8561" s="99" t="str">
        <f>IFERROR(IF(#REF!="S",VLOOKUP('Raw Data'!A8561,References!#REF!,2,FALSE),(VLOOKUP($S8561,References!$B$3:$C$8,2,FALSE))),"")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4"/>
        <v>0</v>
      </c>
      <c r="T8562" s="98">
        <f t="shared" si="333"/>
        <v>0</v>
      </c>
      <c r="U8562" s="99" t="str">
        <f>IFERROR(IF(#REF!="S",VLOOKUP('Raw Data'!A8562,References!#REF!,2,FALSE),(VLOOKUP($S8562,References!$B$3:$C$8,2,FALSE))),"")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4"/>
        <v>0</v>
      </c>
      <c r="T8563" s="98">
        <f t="shared" si="333"/>
        <v>0</v>
      </c>
      <c r="U8563" s="99" t="str">
        <f>IFERROR(IF(#REF!="S",VLOOKUP('Raw Data'!A8563,References!#REF!,2,FALSE),(VLOOKUP($S8563,References!$B$3:$C$8,2,FALSE))),"")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4"/>
        <v>0</v>
      </c>
      <c r="T8564" s="98">
        <f t="shared" si="333"/>
        <v>0</v>
      </c>
      <c r="U8564" s="99" t="str">
        <f>IFERROR(IF(#REF!="S",VLOOKUP('Raw Data'!A8564,References!#REF!,2,FALSE),(VLOOKUP($S8564,References!$B$3:$C$8,2,FALSE))),"")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4"/>
        <v>0</v>
      </c>
      <c r="T8565" s="98">
        <f t="shared" si="333"/>
        <v>0</v>
      </c>
      <c r="U8565" s="99" t="str">
        <f>IFERROR(IF(#REF!="S",VLOOKUP('Raw Data'!A8565,References!#REF!,2,FALSE),(VLOOKUP($S8565,References!$B$3:$C$8,2,FALSE))),"")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4"/>
        <v>0</v>
      </c>
      <c r="T8566" s="98">
        <f t="shared" si="333"/>
        <v>0</v>
      </c>
      <c r="U8566" s="99" t="str">
        <f>IFERROR(IF(#REF!="S",VLOOKUP('Raw Data'!A8566,References!#REF!,2,FALSE),(VLOOKUP($S8566,References!$B$3:$C$8,2,FALSE))),"")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4"/>
        <v>0</v>
      </c>
      <c r="T8567" s="98">
        <f t="shared" si="333"/>
        <v>0</v>
      </c>
      <c r="U8567" s="99" t="str">
        <f>IFERROR(IF(#REF!="S",VLOOKUP('Raw Data'!A8567,References!#REF!,2,FALSE),(VLOOKUP($S8567,References!$B$3:$C$8,2,FALSE))),"")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4"/>
        <v>0</v>
      </c>
      <c r="T8568" s="98">
        <f t="shared" si="333"/>
        <v>0</v>
      </c>
      <c r="U8568" s="99" t="str">
        <f>IFERROR(IF(#REF!="S",VLOOKUP('Raw Data'!A8568,References!#REF!,2,FALSE),(VLOOKUP($S8568,References!$B$3:$C$8,2,FALSE))),"")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4"/>
        <v>0</v>
      </c>
      <c r="T8569" s="98">
        <f t="shared" si="333"/>
        <v>0</v>
      </c>
      <c r="U8569" s="99" t="str">
        <f>IFERROR(IF(#REF!="S",VLOOKUP('Raw Data'!A8569,References!#REF!,2,FALSE),(VLOOKUP($S8569,References!$B$3:$C$8,2,FALSE))),"")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4"/>
        <v>0</v>
      </c>
      <c r="T8570" s="98">
        <f t="shared" si="333"/>
        <v>0</v>
      </c>
      <c r="U8570" s="99" t="str">
        <f>IFERROR(IF(#REF!="S",VLOOKUP('Raw Data'!A8570,References!#REF!,2,FALSE),(VLOOKUP($S8570,References!$B$3:$C$8,2,FALSE))),"")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4"/>
        <v>0</v>
      </c>
      <c r="T8571" s="98">
        <f t="shared" si="333"/>
        <v>0</v>
      </c>
      <c r="U8571" s="99" t="str">
        <f>IFERROR(IF(#REF!="S",VLOOKUP('Raw Data'!A8571,References!#REF!,2,FALSE),(VLOOKUP($S8571,References!$B$3:$C$8,2,FALSE))),"")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4"/>
        <v>0</v>
      </c>
      <c r="T8572" s="98">
        <f t="shared" si="333"/>
        <v>0</v>
      </c>
      <c r="U8572" s="99" t="str">
        <f>IFERROR(IF(#REF!="S",VLOOKUP('Raw Data'!A8572,References!#REF!,2,FALSE),(VLOOKUP($S8572,References!$B$3:$C$8,2,FALSE))),"")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4"/>
        <v>0</v>
      </c>
      <c r="T8573" s="98">
        <f t="shared" si="333"/>
        <v>0</v>
      </c>
      <c r="U8573" s="99" t="str">
        <f>IFERROR(IF(#REF!="S",VLOOKUP('Raw Data'!A8573,References!#REF!,2,FALSE),(VLOOKUP($S8573,References!$B$3:$C$8,2,FALSE))),"")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4"/>
        <v>0</v>
      </c>
      <c r="T8574" s="98">
        <f t="shared" si="333"/>
        <v>0</v>
      </c>
      <c r="U8574" s="99" t="str">
        <f>IFERROR(IF(#REF!="S",VLOOKUP('Raw Data'!A8574,References!#REF!,2,FALSE),(VLOOKUP($S8574,References!$B$3:$C$8,2,FALSE))),"")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4"/>
        <v>0</v>
      </c>
      <c r="T8575" s="98">
        <f t="shared" si="333"/>
        <v>0</v>
      </c>
      <c r="U8575" s="99" t="str">
        <f>IFERROR(IF(#REF!="S",VLOOKUP('Raw Data'!A8575,References!#REF!,2,FALSE),(VLOOKUP($S8575,References!$B$3:$C$8,2,FALSE))),"")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4"/>
        <v>0</v>
      </c>
      <c r="T8576" s="98">
        <f t="shared" si="333"/>
        <v>0</v>
      </c>
      <c r="U8576" s="99" t="str">
        <f>IFERROR(IF(#REF!="S",VLOOKUP('Raw Data'!A8576,References!#REF!,2,FALSE),(VLOOKUP($S8576,References!$B$3:$C$8,2,FALSE))),"")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4"/>
        <v>0</v>
      </c>
      <c r="T8577" s="98">
        <f t="shared" si="333"/>
        <v>0</v>
      </c>
      <c r="U8577" s="99" t="str">
        <f>IFERROR(IF(#REF!="S",VLOOKUP('Raw Data'!A8577,References!#REF!,2,FALSE),(VLOOKUP($S8577,References!$B$3:$C$8,2,FALSE))),"")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4"/>
        <v>0</v>
      </c>
      <c r="T8578" s="98">
        <f t="shared" si="333"/>
        <v>0</v>
      </c>
      <c r="U8578" s="99" t="str">
        <f>IFERROR(IF(#REF!="S",VLOOKUP('Raw Data'!A8578,References!#REF!,2,FALSE),(VLOOKUP($S8578,References!$B$3:$C$8,2,FALSE))),"")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4"/>
        <v>0</v>
      </c>
      <c r="T8579" s="98">
        <f t="shared" si="333"/>
        <v>0</v>
      </c>
      <c r="U8579" s="99" t="str">
        <f>IFERROR(IF(#REF!="S",VLOOKUP('Raw Data'!A8579,References!#REF!,2,FALSE),(VLOOKUP($S8579,References!$B$3:$C$8,2,FALSE))),"")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4"/>
        <v>0</v>
      </c>
      <c r="T8580" s="98">
        <f t="shared" si="333"/>
        <v>0</v>
      </c>
      <c r="U8580" s="99" t="str">
        <f>IFERROR(IF(#REF!="S",VLOOKUP('Raw Data'!A8580,References!#REF!,2,FALSE),(VLOOKUP($S8580,References!$B$3:$C$8,2,FALSE))),"")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4"/>
        <v>0</v>
      </c>
      <c r="T8581" s="98">
        <f t="shared" si="333"/>
        <v>0</v>
      </c>
      <c r="U8581" s="99" t="str">
        <f>IFERROR(IF(#REF!="S",VLOOKUP('Raw Data'!A8581,References!#REF!,2,FALSE),(VLOOKUP($S8581,References!$B$3:$C$8,2,FALSE))),"")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4"/>
        <v>0</v>
      </c>
      <c r="T8582" s="98">
        <f t="shared" si="333"/>
        <v>0</v>
      </c>
      <c r="U8582" s="99" t="str">
        <f>IFERROR(IF(#REF!="S",VLOOKUP('Raw Data'!A8582,References!#REF!,2,FALSE),(VLOOKUP($S8582,References!$B$3:$C$8,2,FALSE))),"")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4"/>
        <v>0</v>
      </c>
      <c r="T8583" s="98">
        <f t="shared" si="333"/>
        <v>0</v>
      </c>
      <c r="U8583" s="99" t="str">
        <f>IFERROR(IF(#REF!="S",VLOOKUP('Raw Data'!A8583,References!#REF!,2,FALSE),(VLOOKUP($S8583,References!$B$3:$C$8,2,FALSE))),"")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4"/>
        <v>0</v>
      </c>
      <c r="T8584" s="98">
        <f t="shared" si="333"/>
        <v>0</v>
      </c>
      <c r="U8584" s="99" t="str">
        <f>IFERROR(IF(#REF!="S",VLOOKUP('Raw Data'!A8584,References!#REF!,2,FALSE),(VLOOKUP($S8584,References!$B$3:$C$8,2,FALSE))),"")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4"/>
        <v>0</v>
      </c>
      <c r="T8585" s="98">
        <f t="shared" si="333"/>
        <v>0</v>
      </c>
      <c r="U8585" s="99" t="str">
        <f>IFERROR(IF(#REF!="S",VLOOKUP('Raw Data'!A8585,References!#REF!,2,FALSE),(VLOOKUP($S8585,References!$B$3:$C$8,2,FALSE))),"")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4"/>
        <v>0</v>
      </c>
      <c r="T8586" s="98">
        <f t="shared" si="333"/>
        <v>0</v>
      </c>
      <c r="U8586" s="99" t="str">
        <f>IFERROR(IF(#REF!="S",VLOOKUP('Raw Data'!A8586,References!#REF!,2,FALSE),(VLOOKUP($S8586,References!$B$3:$C$8,2,FALSE))),"")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4"/>
        <v>0</v>
      </c>
      <c r="T8587" s="98">
        <f t="shared" si="333"/>
        <v>0</v>
      </c>
      <c r="U8587" s="99" t="str">
        <f>IFERROR(IF(#REF!="S",VLOOKUP('Raw Data'!A8587,References!#REF!,2,FALSE),(VLOOKUP($S8587,References!$B$3:$C$8,2,FALSE))),"")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4"/>
        <v>0</v>
      </c>
      <c r="T8588" s="98">
        <f t="shared" si="333"/>
        <v>0</v>
      </c>
      <c r="U8588" s="99" t="str">
        <f>IFERROR(IF(#REF!="S",VLOOKUP('Raw Data'!A8588,References!#REF!,2,FALSE),(VLOOKUP($S8588,References!$B$3:$C$8,2,FALSE))),"")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4"/>
        <v>0</v>
      </c>
      <c r="T8589" s="98">
        <f t="shared" si="333"/>
        <v>0</v>
      </c>
      <c r="U8589" s="99" t="str">
        <f>IFERROR(IF(#REF!="S",VLOOKUP('Raw Data'!A8589,References!#REF!,2,FALSE),(VLOOKUP($S8589,References!$B$3:$C$8,2,FALSE))),"")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4"/>
        <v>0</v>
      </c>
      <c r="T8590" s="98">
        <f t="shared" si="333"/>
        <v>0</v>
      </c>
      <c r="U8590" s="99" t="str">
        <f>IFERROR(IF(#REF!="S",VLOOKUP('Raw Data'!A8590,References!#REF!,2,FALSE),(VLOOKUP($S8590,References!$B$3:$C$8,2,FALSE))),"")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4"/>
        <v>0</v>
      </c>
      <c r="T8591" s="98">
        <f t="shared" si="333"/>
        <v>0</v>
      </c>
      <c r="U8591" s="99" t="str">
        <f>IFERROR(IF(#REF!="S",VLOOKUP('Raw Data'!A8591,References!#REF!,2,FALSE),(VLOOKUP($S8591,References!$B$3:$C$8,2,FALSE))),"")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4"/>
        <v>0</v>
      </c>
      <c r="T8592" s="98">
        <f t="shared" ref="T8592:T8655" si="335">IF(S8592="50 - Cleaning Fee",1,HOUR($R8592)+MINUTE(R8592)/60)</f>
        <v>0</v>
      </c>
      <c r="U8592" s="99" t="str">
        <f>IFERROR(IF(#REF!="S",VLOOKUP('Raw Data'!A8592,References!#REF!,2,FALSE),(VLOOKUP($S8592,References!$B$3:$C$8,2,FALSE))),"")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4"/>
        <v>0</v>
      </c>
      <c r="T8593" s="98">
        <f t="shared" si="335"/>
        <v>0</v>
      </c>
      <c r="U8593" s="99" t="str">
        <f>IFERROR(IF(#REF!="S",VLOOKUP('Raw Data'!A8593,References!#REF!,2,FALSE),(VLOOKUP($S8593,References!$B$3:$C$8,2,FALSE))),"")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4"/>
        <v>0</v>
      </c>
      <c r="T8594" s="98">
        <f t="shared" si="335"/>
        <v>0</v>
      </c>
      <c r="U8594" s="99" t="str">
        <f>IFERROR(IF(#REF!="S",VLOOKUP('Raw Data'!A8594,References!#REF!,2,FALSE),(VLOOKUP($S8594,References!$B$3:$C$8,2,FALSE))),"")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4"/>
        <v>0</v>
      </c>
      <c r="T8595" s="98">
        <f t="shared" si="335"/>
        <v>0</v>
      </c>
      <c r="U8595" s="99" t="str">
        <f>IFERROR(IF(#REF!="S",VLOOKUP('Raw Data'!A8595,References!#REF!,2,FALSE),(VLOOKUP($S8595,References!$B$3:$C$8,2,FALSE))),"")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4"/>
        <v>0</v>
      </c>
      <c r="T8596" s="98">
        <f t="shared" si="335"/>
        <v>0</v>
      </c>
      <c r="U8596" s="99" t="str">
        <f>IFERROR(IF(#REF!="S",VLOOKUP('Raw Data'!A8596,References!#REF!,2,FALSE),(VLOOKUP($S8596,References!$B$3:$C$8,2,FALSE))),"")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4"/>
        <v>0</v>
      </c>
      <c r="T8597" s="98">
        <f t="shared" si="335"/>
        <v>0</v>
      </c>
      <c r="U8597" s="99" t="str">
        <f>IFERROR(IF(#REF!="S",VLOOKUP('Raw Data'!A8597,References!#REF!,2,FALSE),(VLOOKUP($S8597,References!$B$3:$C$8,2,FALSE))),"")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4"/>
        <v>0</v>
      </c>
      <c r="T8598" s="98">
        <f t="shared" si="335"/>
        <v>0</v>
      </c>
      <c r="U8598" s="99" t="str">
        <f>IFERROR(IF(#REF!="S",VLOOKUP('Raw Data'!A8598,References!#REF!,2,FALSE),(VLOOKUP($S8598,References!$B$3:$C$8,2,FALSE))),"")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4"/>
        <v>0</v>
      </c>
      <c r="T8599" s="98">
        <f t="shared" si="335"/>
        <v>0</v>
      </c>
      <c r="U8599" s="99" t="str">
        <f>IFERROR(IF(#REF!="S",VLOOKUP('Raw Data'!A8599,References!#REF!,2,FALSE),(VLOOKUP($S8599,References!$B$3:$C$8,2,FALSE))),"")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4"/>
        <v>0</v>
      </c>
      <c r="T8600" s="98">
        <f t="shared" si="335"/>
        <v>0</v>
      </c>
      <c r="U8600" s="99" t="str">
        <f>IFERROR(IF(#REF!="S",VLOOKUP('Raw Data'!A8600,References!#REF!,2,FALSE),(VLOOKUP($S8600,References!$B$3:$C$8,2,FALSE))),"")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4"/>
        <v>0</v>
      </c>
      <c r="T8601" s="98">
        <f t="shared" si="335"/>
        <v>0</v>
      </c>
      <c r="U8601" s="99" t="str">
        <f>IFERROR(IF(#REF!="S",VLOOKUP('Raw Data'!A8601,References!#REF!,2,FALSE),(VLOOKUP($S8601,References!$B$3:$C$8,2,FALSE))),"")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4"/>
        <v>0</v>
      </c>
      <c r="T8602" s="98">
        <f t="shared" si="335"/>
        <v>0</v>
      </c>
      <c r="U8602" s="99" t="str">
        <f>IFERROR(IF(#REF!="S",VLOOKUP('Raw Data'!A8602,References!#REF!,2,FALSE),(VLOOKUP($S8602,References!$B$3:$C$8,2,FALSE))),"")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4"/>
        <v>0</v>
      </c>
      <c r="T8603" s="98">
        <f t="shared" si="335"/>
        <v>0</v>
      </c>
      <c r="U8603" s="99" t="str">
        <f>IFERROR(IF(#REF!="S",VLOOKUP('Raw Data'!A8603,References!#REF!,2,FALSE),(VLOOKUP($S8603,References!$B$3:$C$8,2,FALSE))),"")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4"/>
        <v>0</v>
      </c>
      <c r="T8604" s="98">
        <f t="shared" si="335"/>
        <v>0</v>
      </c>
      <c r="U8604" s="99" t="str">
        <f>IFERROR(IF(#REF!="S",VLOOKUP('Raw Data'!A8604,References!#REF!,2,FALSE),(VLOOKUP($S8604,References!$B$3:$C$8,2,FALSE))),"")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4"/>
        <v>0</v>
      </c>
      <c r="T8605" s="98">
        <f t="shared" si="335"/>
        <v>0</v>
      </c>
      <c r="U8605" s="99" t="str">
        <f>IFERROR(IF(#REF!="S",VLOOKUP('Raw Data'!A8605,References!#REF!,2,FALSE),(VLOOKUP($S8605,References!$B$3:$C$8,2,FALSE))),"")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4"/>
        <v>0</v>
      </c>
      <c r="T8606" s="98">
        <f t="shared" si="335"/>
        <v>0</v>
      </c>
      <c r="U8606" s="99" t="str">
        <f>IFERROR(IF(#REF!="S",VLOOKUP('Raw Data'!A8606,References!#REF!,2,FALSE),(VLOOKUP($S8606,References!$B$3:$C$8,2,FALSE))),"")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4"/>
        <v>0</v>
      </c>
      <c r="T8607" s="98">
        <f t="shared" si="335"/>
        <v>0</v>
      </c>
      <c r="U8607" s="99" t="str">
        <f>IFERROR(IF(#REF!="S",VLOOKUP('Raw Data'!A8607,References!#REF!,2,FALSE),(VLOOKUP($S8607,References!$B$3:$C$8,2,FALSE))),"")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4"/>
        <v>0</v>
      </c>
      <c r="T8608" s="98">
        <f t="shared" si="335"/>
        <v>0</v>
      </c>
      <c r="U8608" s="99" t="str">
        <f>IFERROR(IF(#REF!="S",VLOOKUP('Raw Data'!A8608,References!#REF!,2,FALSE),(VLOOKUP($S8608,References!$B$3:$C$8,2,FALSE))),"")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4"/>
        <v>0</v>
      </c>
      <c r="T8609" s="98">
        <f t="shared" si="335"/>
        <v>0</v>
      </c>
      <c r="U8609" s="99" t="str">
        <f>IFERROR(IF(#REF!="S",VLOOKUP('Raw Data'!A8609,References!#REF!,2,FALSE),(VLOOKUP($S8609,References!$B$3:$C$8,2,FALSE))),"")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4"/>
        <v>0</v>
      </c>
      <c r="T8610" s="98">
        <f t="shared" si="335"/>
        <v>0</v>
      </c>
      <c r="U8610" s="99" t="str">
        <f>IFERROR(IF(#REF!="S",VLOOKUP('Raw Data'!A8610,References!#REF!,2,FALSE),(VLOOKUP($S8610,References!$B$3:$C$8,2,FALSE))),"")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4"/>
        <v>0</v>
      </c>
      <c r="T8611" s="98">
        <f t="shared" si="335"/>
        <v>0</v>
      </c>
      <c r="U8611" s="99" t="str">
        <f>IFERROR(IF(#REF!="S",VLOOKUP('Raw Data'!A8611,References!#REF!,2,FALSE),(VLOOKUP($S8611,References!$B$3:$C$8,2,FALSE))),"")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4"/>
        <v>0</v>
      </c>
      <c r="T8612" s="98">
        <f t="shared" si="335"/>
        <v>0</v>
      </c>
      <c r="U8612" s="99" t="str">
        <f>IFERROR(IF(#REF!="S",VLOOKUP('Raw Data'!A8612,References!#REF!,2,FALSE),(VLOOKUP($S8612,References!$B$3:$C$8,2,FALSE))),"")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4"/>
        <v>0</v>
      </c>
      <c r="T8613" s="98">
        <f t="shared" si="335"/>
        <v>0</v>
      </c>
      <c r="U8613" s="99" t="str">
        <f>IFERROR(IF(#REF!="S",VLOOKUP('Raw Data'!A8613,References!#REF!,2,FALSE),(VLOOKUP($S8613,References!$B$3:$C$8,2,FALSE))),"")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4"/>
        <v>0</v>
      </c>
      <c r="T8614" s="98">
        <f t="shared" si="335"/>
        <v>0</v>
      </c>
      <c r="U8614" s="99" t="str">
        <f>IFERROR(IF(#REF!="S",VLOOKUP('Raw Data'!A8614,References!#REF!,2,FALSE),(VLOOKUP($S8614,References!$B$3:$C$8,2,FALSE))),"")</f>
        <v/>
      </c>
      <c r="W8614" s="66" t="str">
        <f>IFERROR(VLOOKUP($O8614,'Customer List'!$A$1:$J$488,10,FALSE),"")</f>
        <v/>
      </c>
    </row>
    <row r="8615" spans="18:23">
      <c r="R8615" s="97">
        <f t="shared" si="334"/>
        <v>0</v>
      </c>
      <c r="T8615" s="98">
        <f t="shared" si="335"/>
        <v>0</v>
      </c>
      <c r="U8615" s="99" t="str">
        <f>IFERROR(IF(#REF!="S",VLOOKUP('Raw Data'!A8615,References!#REF!,2,FALSE),(VLOOKUP($S8615,References!$B$3:$C$8,2,FALSE))),"")</f>
        <v/>
      </c>
      <c r="W8615" s="66" t="str">
        <f>IFERROR(VLOOKUP($O8615,'Customer List'!$A$1:$J$488,10,FALSE),"")</f>
        <v/>
      </c>
    </row>
    <row r="8616" spans="18:23">
      <c r="R8616" s="97">
        <f t="shared" ref="R8616:R8679" si="336">L8616-K8616</f>
        <v>0</v>
      </c>
      <c r="T8616" s="98">
        <f t="shared" si="335"/>
        <v>0</v>
      </c>
      <c r="U8616" s="99" t="str">
        <f>IFERROR(IF(#REF!="S",VLOOKUP('Raw Data'!A8616,References!#REF!,2,FALSE),(VLOOKUP($S8616,References!$B$3:$C$8,2,FALSE))),"")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6"/>
        <v>0</v>
      </c>
      <c r="T8617" s="98">
        <f t="shared" si="335"/>
        <v>0</v>
      </c>
      <c r="U8617" s="99" t="str">
        <f>IFERROR(IF(#REF!="S",VLOOKUP('Raw Data'!A8617,References!#REF!,2,FALSE),(VLOOKUP($S8617,References!$B$3:$C$8,2,FALSE))),"")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6"/>
        <v>0</v>
      </c>
      <c r="T8618" s="98">
        <f t="shared" si="335"/>
        <v>0</v>
      </c>
      <c r="U8618" s="99" t="str">
        <f>IFERROR(IF(#REF!="S",VLOOKUP('Raw Data'!A8618,References!#REF!,2,FALSE),(VLOOKUP($S8618,References!$B$3:$C$8,2,FALSE))),"")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6"/>
        <v>0</v>
      </c>
      <c r="T8619" s="98">
        <f t="shared" si="335"/>
        <v>0</v>
      </c>
      <c r="U8619" s="99" t="str">
        <f>IFERROR(IF(#REF!="S",VLOOKUP('Raw Data'!A8619,References!#REF!,2,FALSE),(VLOOKUP($S8619,References!$B$3:$C$8,2,FALSE))),"")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6"/>
        <v>0</v>
      </c>
      <c r="T8620" s="98">
        <f t="shared" si="335"/>
        <v>0</v>
      </c>
      <c r="U8620" s="99" t="str">
        <f>IFERROR(IF(#REF!="S",VLOOKUP('Raw Data'!A8620,References!#REF!,2,FALSE),(VLOOKUP($S8620,References!$B$3:$C$8,2,FALSE))),"")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6"/>
        <v>0</v>
      </c>
      <c r="T8621" s="98">
        <f t="shared" si="335"/>
        <v>0</v>
      </c>
      <c r="U8621" s="99" t="str">
        <f>IFERROR(IF(#REF!="S",VLOOKUP('Raw Data'!A8621,References!#REF!,2,FALSE),(VLOOKUP($S8621,References!$B$3:$C$8,2,FALSE))),"")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6"/>
        <v>0</v>
      </c>
      <c r="T8622" s="98">
        <f t="shared" si="335"/>
        <v>0</v>
      </c>
      <c r="U8622" s="99" t="str">
        <f>IFERROR(IF(#REF!="S",VLOOKUP('Raw Data'!A8622,References!#REF!,2,FALSE),(VLOOKUP($S8622,References!$B$3:$C$8,2,FALSE))),"")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6"/>
        <v>0</v>
      </c>
      <c r="T8623" s="98">
        <f t="shared" si="335"/>
        <v>0</v>
      </c>
      <c r="U8623" s="99" t="str">
        <f>IFERROR(IF(#REF!="S",VLOOKUP('Raw Data'!A8623,References!#REF!,2,FALSE),(VLOOKUP($S8623,References!$B$3:$C$8,2,FALSE))),"")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6"/>
        <v>0</v>
      </c>
      <c r="T8624" s="98">
        <f t="shared" si="335"/>
        <v>0</v>
      </c>
      <c r="U8624" s="99" t="str">
        <f>IFERROR(IF(#REF!="S",VLOOKUP('Raw Data'!A8624,References!#REF!,2,FALSE),(VLOOKUP($S8624,References!$B$3:$C$8,2,FALSE))),"")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6"/>
        <v>0</v>
      </c>
      <c r="T8625" s="98">
        <f t="shared" si="335"/>
        <v>0</v>
      </c>
      <c r="U8625" s="99" t="str">
        <f>IFERROR(IF(#REF!="S",VLOOKUP('Raw Data'!A8625,References!#REF!,2,FALSE),(VLOOKUP($S8625,References!$B$3:$C$8,2,FALSE))),"")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6"/>
        <v>0</v>
      </c>
      <c r="T8626" s="98">
        <f t="shared" si="335"/>
        <v>0</v>
      </c>
      <c r="U8626" s="99" t="str">
        <f>IFERROR(IF(#REF!="S",VLOOKUP('Raw Data'!A8626,References!#REF!,2,FALSE),(VLOOKUP($S8626,References!$B$3:$C$8,2,FALSE))),"")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6"/>
        <v>0</v>
      </c>
      <c r="T8627" s="98">
        <f t="shared" si="335"/>
        <v>0</v>
      </c>
      <c r="U8627" s="99" t="str">
        <f>IFERROR(IF(#REF!="S",VLOOKUP('Raw Data'!A8627,References!#REF!,2,FALSE),(VLOOKUP($S8627,References!$B$3:$C$8,2,FALSE))),"")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6"/>
        <v>0</v>
      </c>
      <c r="T8628" s="98">
        <f t="shared" si="335"/>
        <v>0</v>
      </c>
      <c r="U8628" s="99" t="str">
        <f>IFERROR(IF(#REF!="S",VLOOKUP('Raw Data'!A8628,References!#REF!,2,FALSE),(VLOOKUP($S8628,References!$B$3:$C$8,2,FALSE))),"")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6"/>
        <v>0</v>
      </c>
      <c r="T8629" s="98">
        <f t="shared" si="335"/>
        <v>0</v>
      </c>
      <c r="U8629" s="99" t="str">
        <f>IFERROR(IF(#REF!="S",VLOOKUP('Raw Data'!A8629,References!#REF!,2,FALSE),(VLOOKUP($S8629,References!$B$3:$C$8,2,FALSE))),"")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6"/>
        <v>0</v>
      </c>
      <c r="T8630" s="98">
        <f t="shared" si="335"/>
        <v>0</v>
      </c>
      <c r="U8630" s="99" t="str">
        <f>IFERROR(IF(#REF!="S",VLOOKUP('Raw Data'!A8630,References!#REF!,2,FALSE),(VLOOKUP($S8630,References!$B$3:$C$8,2,FALSE))),"")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6"/>
        <v>0</v>
      </c>
      <c r="T8631" s="98">
        <f t="shared" si="335"/>
        <v>0</v>
      </c>
      <c r="U8631" s="99" t="str">
        <f>IFERROR(IF(#REF!="S",VLOOKUP('Raw Data'!A8631,References!#REF!,2,FALSE),(VLOOKUP($S8631,References!$B$3:$C$8,2,FALSE))),"")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6"/>
        <v>0</v>
      </c>
      <c r="T8632" s="98">
        <f t="shared" si="335"/>
        <v>0</v>
      </c>
      <c r="U8632" s="99" t="str">
        <f>IFERROR(IF(#REF!="S",VLOOKUP('Raw Data'!A8632,References!#REF!,2,FALSE),(VLOOKUP($S8632,References!$B$3:$C$8,2,FALSE))),"")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6"/>
        <v>0</v>
      </c>
      <c r="T8633" s="98">
        <f t="shared" si="335"/>
        <v>0</v>
      </c>
      <c r="U8633" s="99" t="str">
        <f>IFERROR(IF(#REF!="S",VLOOKUP('Raw Data'!A8633,References!#REF!,2,FALSE),(VLOOKUP($S8633,References!$B$3:$C$8,2,FALSE))),"")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6"/>
        <v>0</v>
      </c>
      <c r="T8634" s="98">
        <f t="shared" si="335"/>
        <v>0</v>
      </c>
      <c r="U8634" s="99" t="str">
        <f>IFERROR(IF(#REF!="S",VLOOKUP('Raw Data'!A8634,References!#REF!,2,FALSE),(VLOOKUP($S8634,References!$B$3:$C$8,2,FALSE))),"")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6"/>
        <v>0</v>
      </c>
      <c r="T8635" s="98">
        <f t="shared" si="335"/>
        <v>0</v>
      </c>
      <c r="U8635" s="99" t="str">
        <f>IFERROR(IF(#REF!="S",VLOOKUP('Raw Data'!A8635,References!#REF!,2,FALSE),(VLOOKUP($S8635,References!$B$3:$C$8,2,FALSE))),"")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6"/>
        <v>0</v>
      </c>
      <c r="T8636" s="98">
        <f t="shared" si="335"/>
        <v>0</v>
      </c>
      <c r="U8636" s="99" t="str">
        <f>IFERROR(IF(#REF!="S",VLOOKUP('Raw Data'!A8636,References!#REF!,2,FALSE),(VLOOKUP($S8636,References!$B$3:$C$8,2,FALSE))),"")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6"/>
        <v>0</v>
      </c>
      <c r="T8637" s="98">
        <f t="shared" si="335"/>
        <v>0</v>
      </c>
      <c r="U8637" s="99" t="str">
        <f>IFERROR(IF(#REF!="S",VLOOKUP('Raw Data'!A8637,References!#REF!,2,FALSE),(VLOOKUP($S8637,References!$B$3:$C$8,2,FALSE))),"")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6"/>
        <v>0</v>
      </c>
      <c r="T8638" s="98">
        <f t="shared" si="335"/>
        <v>0</v>
      </c>
      <c r="U8638" s="99" t="str">
        <f>IFERROR(IF(#REF!="S",VLOOKUP('Raw Data'!A8638,References!#REF!,2,FALSE),(VLOOKUP($S8638,References!$B$3:$C$8,2,FALSE))),"")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6"/>
        <v>0</v>
      </c>
      <c r="T8639" s="98">
        <f t="shared" si="335"/>
        <v>0</v>
      </c>
      <c r="U8639" s="99" t="str">
        <f>IFERROR(IF(#REF!="S",VLOOKUP('Raw Data'!A8639,References!#REF!,2,FALSE),(VLOOKUP($S8639,References!$B$3:$C$8,2,FALSE))),"")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6"/>
        <v>0</v>
      </c>
      <c r="T8640" s="98">
        <f t="shared" si="335"/>
        <v>0</v>
      </c>
      <c r="U8640" s="99" t="str">
        <f>IFERROR(IF(#REF!="S",VLOOKUP('Raw Data'!A8640,References!#REF!,2,FALSE),(VLOOKUP($S8640,References!$B$3:$C$8,2,FALSE))),"")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6"/>
        <v>0</v>
      </c>
      <c r="T8641" s="98">
        <f t="shared" si="335"/>
        <v>0</v>
      </c>
      <c r="U8641" s="99" t="str">
        <f>IFERROR(IF(#REF!="S",VLOOKUP('Raw Data'!A8641,References!#REF!,2,FALSE),(VLOOKUP($S8641,References!$B$3:$C$8,2,FALSE))),"")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6"/>
        <v>0</v>
      </c>
      <c r="T8642" s="98">
        <f t="shared" si="335"/>
        <v>0</v>
      </c>
      <c r="U8642" s="99" t="str">
        <f>IFERROR(IF(#REF!="S",VLOOKUP('Raw Data'!A8642,References!#REF!,2,FALSE),(VLOOKUP($S8642,References!$B$3:$C$8,2,FALSE))),"")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6"/>
        <v>0</v>
      </c>
      <c r="T8643" s="98">
        <f t="shared" si="335"/>
        <v>0</v>
      </c>
      <c r="U8643" s="99" t="str">
        <f>IFERROR(IF(#REF!="S",VLOOKUP('Raw Data'!A8643,References!#REF!,2,FALSE),(VLOOKUP($S8643,References!$B$3:$C$8,2,FALSE))),"")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6"/>
        <v>0</v>
      </c>
      <c r="T8644" s="98">
        <f t="shared" si="335"/>
        <v>0</v>
      </c>
      <c r="U8644" s="99" t="str">
        <f>IFERROR(IF(#REF!="S",VLOOKUP('Raw Data'!A8644,References!#REF!,2,FALSE),(VLOOKUP($S8644,References!$B$3:$C$8,2,FALSE))),"")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6"/>
        <v>0</v>
      </c>
      <c r="T8645" s="98">
        <f t="shared" si="335"/>
        <v>0</v>
      </c>
      <c r="U8645" s="99" t="str">
        <f>IFERROR(IF(#REF!="S",VLOOKUP('Raw Data'!A8645,References!#REF!,2,FALSE),(VLOOKUP($S8645,References!$B$3:$C$8,2,FALSE))),"")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6"/>
        <v>0</v>
      </c>
      <c r="T8646" s="98">
        <f t="shared" si="335"/>
        <v>0</v>
      </c>
      <c r="U8646" s="99" t="str">
        <f>IFERROR(IF(#REF!="S",VLOOKUP('Raw Data'!A8646,References!#REF!,2,FALSE),(VLOOKUP($S8646,References!$B$3:$C$8,2,FALSE))),"")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6"/>
        <v>0</v>
      </c>
      <c r="T8647" s="98">
        <f t="shared" si="335"/>
        <v>0</v>
      </c>
      <c r="U8647" s="99" t="str">
        <f>IFERROR(IF(#REF!="S",VLOOKUP('Raw Data'!A8647,References!#REF!,2,FALSE),(VLOOKUP($S8647,References!$B$3:$C$8,2,FALSE))),"")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6"/>
        <v>0</v>
      </c>
      <c r="T8648" s="98">
        <f t="shared" si="335"/>
        <v>0</v>
      </c>
      <c r="U8648" s="99" t="str">
        <f>IFERROR(IF(#REF!="S",VLOOKUP('Raw Data'!A8648,References!#REF!,2,FALSE),(VLOOKUP($S8648,References!$B$3:$C$8,2,FALSE))),"")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6"/>
        <v>0</v>
      </c>
      <c r="T8649" s="98">
        <f t="shared" si="335"/>
        <v>0</v>
      </c>
      <c r="U8649" s="99" t="str">
        <f>IFERROR(IF(#REF!="S",VLOOKUP('Raw Data'!A8649,References!#REF!,2,FALSE),(VLOOKUP($S8649,References!$B$3:$C$8,2,FALSE))),"")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6"/>
        <v>0</v>
      </c>
      <c r="T8650" s="98">
        <f t="shared" si="335"/>
        <v>0</v>
      </c>
      <c r="U8650" s="99" t="str">
        <f>IFERROR(IF(#REF!="S",VLOOKUP('Raw Data'!A8650,References!#REF!,2,FALSE),(VLOOKUP($S8650,References!$B$3:$C$8,2,FALSE))),"")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6"/>
        <v>0</v>
      </c>
      <c r="T8651" s="98">
        <f t="shared" si="335"/>
        <v>0</v>
      </c>
      <c r="U8651" s="99" t="str">
        <f>IFERROR(IF(#REF!="S",VLOOKUP('Raw Data'!A8651,References!#REF!,2,FALSE),(VLOOKUP($S8651,References!$B$3:$C$8,2,FALSE))),"")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6"/>
        <v>0</v>
      </c>
      <c r="T8652" s="98">
        <f t="shared" si="335"/>
        <v>0</v>
      </c>
      <c r="U8652" s="99" t="str">
        <f>IFERROR(IF(#REF!="S",VLOOKUP('Raw Data'!A8652,References!#REF!,2,FALSE),(VLOOKUP($S8652,References!$B$3:$C$8,2,FALSE))),"")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6"/>
        <v>0</v>
      </c>
      <c r="T8653" s="98">
        <f t="shared" si="335"/>
        <v>0</v>
      </c>
      <c r="U8653" s="99" t="str">
        <f>IFERROR(IF(#REF!="S",VLOOKUP('Raw Data'!A8653,References!#REF!,2,FALSE),(VLOOKUP($S8653,References!$B$3:$C$8,2,FALSE))),"")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6"/>
        <v>0</v>
      </c>
      <c r="T8654" s="98">
        <f t="shared" si="335"/>
        <v>0</v>
      </c>
      <c r="U8654" s="99" t="str">
        <f>IFERROR(IF(#REF!="S",VLOOKUP('Raw Data'!A8654,References!#REF!,2,FALSE),(VLOOKUP($S8654,References!$B$3:$C$8,2,FALSE))),"")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6"/>
        <v>0</v>
      </c>
      <c r="T8655" s="98">
        <f t="shared" si="335"/>
        <v>0</v>
      </c>
      <c r="U8655" s="99" t="str">
        <f>IFERROR(IF(#REF!="S",VLOOKUP('Raw Data'!A8655,References!#REF!,2,FALSE),(VLOOKUP($S8655,References!$B$3:$C$8,2,FALSE))),"")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6"/>
        <v>0</v>
      </c>
      <c r="T8656" s="98">
        <f t="shared" ref="T8656:T8719" si="337">IF(S8656="50 - Cleaning Fee",1,HOUR($R8656)+MINUTE(R8656)/60)</f>
        <v>0</v>
      </c>
      <c r="U8656" s="99" t="str">
        <f>IFERROR(IF(#REF!="S",VLOOKUP('Raw Data'!A8656,References!#REF!,2,FALSE),(VLOOKUP($S8656,References!$B$3:$C$8,2,FALSE))),"")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6"/>
        <v>0</v>
      </c>
      <c r="T8657" s="98">
        <f t="shared" si="337"/>
        <v>0</v>
      </c>
      <c r="U8657" s="99" t="str">
        <f>IFERROR(IF(#REF!="S",VLOOKUP('Raw Data'!A8657,References!#REF!,2,FALSE),(VLOOKUP($S8657,References!$B$3:$C$8,2,FALSE))),"")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6"/>
        <v>0</v>
      </c>
      <c r="T8658" s="98">
        <f t="shared" si="337"/>
        <v>0</v>
      </c>
      <c r="U8658" s="99" t="str">
        <f>IFERROR(IF(#REF!="S",VLOOKUP('Raw Data'!A8658,References!#REF!,2,FALSE),(VLOOKUP($S8658,References!$B$3:$C$8,2,FALSE))),"")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6"/>
        <v>0</v>
      </c>
      <c r="T8659" s="98">
        <f t="shared" si="337"/>
        <v>0</v>
      </c>
      <c r="U8659" s="99" t="str">
        <f>IFERROR(IF(#REF!="S",VLOOKUP('Raw Data'!A8659,References!#REF!,2,FALSE),(VLOOKUP($S8659,References!$B$3:$C$8,2,FALSE))),"")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6"/>
        <v>0</v>
      </c>
      <c r="T8660" s="98">
        <f t="shared" si="337"/>
        <v>0</v>
      </c>
      <c r="U8660" s="99" t="str">
        <f>IFERROR(IF(#REF!="S",VLOOKUP('Raw Data'!A8660,References!#REF!,2,FALSE),(VLOOKUP($S8660,References!$B$3:$C$8,2,FALSE))),"")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6"/>
        <v>0</v>
      </c>
      <c r="T8661" s="98">
        <f t="shared" si="337"/>
        <v>0</v>
      </c>
      <c r="U8661" s="99" t="str">
        <f>IFERROR(IF(#REF!="S",VLOOKUP('Raw Data'!A8661,References!#REF!,2,FALSE),(VLOOKUP($S8661,References!$B$3:$C$8,2,FALSE))),"")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6"/>
        <v>0</v>
      </c>
      <c r="T8662" s="98">
        <f t="shared" si="337"/>
        <v>0</v>
      </c>
      <c r="U8662" s="99" t="str">
        <f>IFERROR(IF(#REF!="S",VLOOKUP('Raw Data'!A8662,References!#REF!,2,FALSE),(VLOOKUP($S8662,References!$B$3:$C$8,2,FALSE))),"")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6"/>
        <v>0</v>
      </c>
      <c r="T8663" s="98">
        <f t="shared" si="337"/>
        <v>0</v>
      </c>
      <c r="U8663" s="99" t="str">
        <f>IFERROR(IF(#REF!="S",VLOOKUP('Raw Data'!A8663,References!#REF!,2,FALSE),(VLOOKUP($S8663,References!$B$3:$C$8,2,FALSE))),"")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6"/>
        <v>0</v>
      </c>
      <c r="T8664" s="98">
        <f t="shared" si="337"/>
        <v>0</v>
      </c>
      <c r="U8664" s="99" t="str">
        <f>IFERROR(IF(#REF!="S",VLOOKUP('Raw Data'!A8664,References!#REF!,2,FALSE),(VLOOKUP($S8664,References!$B$3:$C$8,2,FALSE))),"")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6"/>
        <v>0</v>
      </c>
      <c r="T8665" s="98">
        <f t="shared" si="337"/>
        <v>0</v>
      </c>
      <c r="U8665" s="99" t="str">
        <f>IFERROR(IF(#REF!="S",VLOOKUP('Raw Data'!A8665,References!#REF!,2,FALSE),(VLOOKUP($S8665,References!$B$3:$C$8,2,FALSE))),"")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6"/>
        <v>0</v>
      </c>
      <c r="T8666" s="98">
        <f t="shared" si="337"/>
        <v>0</v>
      </c>
      <c r="U8666" s="99" t="str">
        <f>IFERROR(IF(#REF!="S",VLOOKUP('Raw Data'!A8666,References!#REF!,2,FALSE),(VLOOKUP($S8666,References!$B$3:$C$8,2,FALSE))),"")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6"/>
        <v>0</v>
      </c>
      <c r="T8667" s="98">
        <f t="shared" si="337"/>
        <v>0</v>
      </c>
      <c r="U8667" s="99" t="str">
        <f>IFERROR(IF(#REF!="S",VLOOKUP('Raw Data'!A8667,References!#REF!,2,FALSE),(VLOOKUP($S8667,References!$B$3:$C$8,2,FALSE))),"")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6"/>
        <v>0</v>
      </c>
      <c r="T8668" s="98">
        <f t="shared" si="337"/>
        <v>0</v>
      </c>
      <c r="U8668" s="99" t="str">
        <f>IFERROR(IF(#REF!="S",VLOOKUP('Raw Data'!A8668,References!#REF!,2,FALSE),(VLOOKUP($S8668,References!$B$3:$C$8,2,FALSE))),"")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6"/>
        <v>0</v>
      </c>
      <c r="T8669" s="98">
        <f t="shared" si="337"/>
        <v>0</v>
      </c>
      <c r="U8669" s="99" t="str">
        <f>IFERROR(IF(#REF!="S",VLOOKUP('Raw Data'!A8669,References!#REF!,2,FALSE),(VLOOKUP($S8669,References!$B$3:$C$8,2,FALSE))),"")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6"/>
        <v>0</v>
      </c>
      <c r="T8670" s="98">
        <f t="shared" si="337"/>
        <v>0</v>
      </c>
      <c r="U8670" s="99" t="str">
        <f>IFERROR(IF(#REF!="S",VLOOKUP('Raw Data'!A8670,References!#REF!,2,FALSE),(VLOOKUP($S8670,References!$B$3:$C$8,2,FALSE))),"")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6"/>
        <v>0</v>
      </c>
      <c r="T8671" s="98">
        <f t="shared" si="337"/>
        <v>0</v>
      </c>
      <c r="U8671" s="99" t="str">
        <f>IFERROR(IF(#REF!="S",VLOOKUP('Raw Data'!A8671,References!#REF!,2,FALSE),(VLOOKUP($S8671,References!$B$3:$C$8,2,FALSE))),"")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6"/>
        <v>0</v>
      </c>
      <c r="T8672" s="98">
        <f t="shared" si="337"/>
        <v>0</v>
      </c>
      <c r="U8672" s="99" t="str">
        <f>IFERROR(IF(#REF!="S",VLOOKUP('Raw Data'!A8672,References!#REF!,2,FALSE),(VLOOKUP($S8672,References!$B$3:$C$8,2,FALSE))),"")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6"/>
        <v>0</v>
      </c>
      <c r="T8673" s="98">
        <f t="shared" si="337"/>
        <v>0</v>
      </c>
      <c r="U8673" s="99" t="str">
        <f>IFERROR(IF(#REF!="S",VLOOKUP('Raw Data'!A8673,References!#REF!,2,FALSE),(VLOOKUP($S8673,References!$B$3:$C$8,2,FALSE))),"")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6"/>
        <v>0</v>
      </c>
      <c r="T8674" s="98">
        <f t="shared" si="337"/>
        <v>0</v>
      </c>
      <c r="U8674" s="99" t="str">
        <f>IFERROR(IF(#REF!="S",VLOOKUP('Raw Data'!A8674,References!#REF!,2,FALSE),(VLOOKUP($S8674,References!$B$3:$C$8,2,FALSE))),"")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6"/>
        <v>0</v>
      </c>
      <c r="T8675" s="98">
        <f t="shared" si="337"/>
        <v>0</v>
      </c>
      <c r="U8675" s="99" t="str">
        <f>IFERROR(IF(#REF!="S",VLOOKUP('Raw Data'!A8675,References!#REF!,2,FALSE),(VLOOKUP($S8675,References!$B$3:$C$8,2,FALSE))),"")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6"/>
        <v>0</v>
      </c>
      <c r="T8676" s="98">
        <f t="shared" si="337"/>
        <v>0</v>
      </c>
      <c r="U8676" s="99" t="str">
        <f>IFERROR(IF(#REF!="S",VLOOKUP('Raw Data'!A8676,References!#REF!,2,FALSE),(VLOOKUP($S8676,References!$B$3:$C$8,2,FALSE))),"")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6"/>
        <v>0</v>
      </c>
      <c r="T8677" s="98">
        <f t="shared" si="337"/>
        <v>0</v>
      </c>
      <c r="U8677" s="99" t="str">
        <f>IFERROR(IF(#REF!="S",VLOOKUP('Raw Data'!A8677,References!#REF!,2,FALSE),(VLOOKUP($S8677,References!$B$3:$C$8,2,FALSE))),"")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6"/>
        <v>0</v>
      </c>
      <c r="T8678" s="98">
        <f t="shared" si="337"/>
        <v>0</v>
      </c>
      <c r="U8678" s="99" t="str">
        <f>IFERROR(IF(#REF!="S",VLOOKUP('Raw Data'!A8678,References!#REF!,2,FALSE),(VLOOKUP($S8678,References!$B$3:$C$8,2,FALSE))),"")</f>
        <v/>
      </c>
      <c r="W8678" s="66" t="str">
        <f>IFERROR(VLOOKUP($O8678,'Customer List'!$A$1:$J$488,10,FALSE),"")</f>
        <v/>
      </c>
    </row>
    <row r="8679" spans="18:23">
      <c r="R8679" s="97">
        <f t="shared" si="336"/>
        <v>0</v>
      </c>
      <c r="T8679" s="98">
        <f t="shared" si="337"/>
        <v>0</v>
      </c>
      <c r="U8679" s="99" t="str">
        <f>IFERROR(IF(#REF!="S",VLOOKUP('Raw Data'!A8679,References!#REF!,2,FALSE),(VLOOKUP($S8679,References!$B$3:$C$8,2,FALSE))),"")</f>
        <v/>
      </c>
      <c r="W8679" s="66" t="str">
        <f>IFERROR(VLOOKUP($O8679,'Customer List'!$A$1:$J$488,10,FALSE),"")</f>
        <v/>
      </c>
    </row>
    <row r="8680" spans="18:23">
      <c r="R8680" s="97">
        <f t="shared" ref="R8680:R8743" si="338">L8680-K8680</f>
        <v>0</v>
      </c>
      <c r="T8680" s="98">
        <f t="shared" si="337"/>
        <v>0</v>
      </c>
      <c r="U8680" s="99" t="str">
        <f>IFERROR(IF(#REF!="S",VLOOKUP('Raw Data'!A8680,References!#REF!,2,FALSE),(VLOOKUP($S8680,References!$B$3:$C$8,2,FALSE))),"")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38"/>
        <v>0</v>
      </c>
      <c r="T8681" s="98">
        <f t="shared" si="337"/>
        <v>0</v>
      </c>
      <c r="U8681" s="99" t="str">
        <f>IFERROR(IF(#REF!="S",VLOOKUP('Raw Data'!A8681,References!#REF!,2,FALSE),(VLOOKUP($S8681,References!$B$3:$C$8,2,FALSE))),"")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38"/>
        <v>0</v>
      </c>
      <c r="T8682" s="98">
        <f t="shared" si="337"/>
        <v>0</v>
      </c>
      <c r="U8682" s="99" t="str">
        <f>IFERROR(IF(#REF!="S",VLOOKUP('Raw Data'!A8682,References!#REF!,2,FALSE),(VLOOKUP($S8682,References!$B$3:$C$8,2,FALSE))),"")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38"/>
        <v>0</v>
      </c>
      <c r="T8683" s="98">
        <f t="shared" si="337"/>
        <v>0</v>
      </c>
      <c r="U8683" s="99" t="str">
        <f>IFERROR(IF(#REF!="S",VLOOKUP('Raw Data'!A8683,References!#REF!,2,FALSE),(VLOOKUP($S8683,References!$B$3:$C$8,2,FALSE))),"")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38"/>
        <v>0</v>
      </c>
      <c r="T8684" s="98">
        <f t="shared" si="337"/>
        <v>0</v>
      </c>
      <c r="U8684" s="99" t="str">
        <f>IFERROR(IF(#REF!="S",VLOOKUP('Raw Data'!A8684,References!#REF!,2,FALSE),(VLOOKUP($S8684,References!$B$3:$C$8,2,FALSE))),"")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38"/>
        <v>0</v>
      </c>
      <c r="T8685" s="98">
        <f t="shared" si="337"/>
        <v>0</v>
      </c>
      <c r="U8685" s="99" t="str">
        <f>IFERROR(IF(#REF!="S",VLOOKUP('Raw Data'!A8685,References!#REF!,2,FALSE),(VLOOKUP($S8685,References!$B$3:$C$8,2,FALSE))),"")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38"/>
        <v>0</v>
      </c>
      <c r="T8686" s="98">
        <f t="shared" si="337"/>
        <v>0</v>
      </c>
      <c r="U8686" s="99" t="str">
        <f>IFERROR(IF(#REF!="S",VLOOKUP('Raw Data'!A8686,References!#REF!,2,FALSE),(VLOOKUP($S8686,References!$B$3:$C$8,2,FALSE))),"")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38"/>
        <v>0</v>
      </c>
      <c r="T8687" s="98">
        <f t="shared" si="337"/>
        <v>0</v>
      </c>
      <c r="U8687" s="99" t="str">
        <f>IFERROR(IF(#REF!="S",VLOOKUP('Raw Data'!A8687,References!#REF!,2,FALSE),(VLOOKUP($S8687,References!$B$3:$C$8,2,FALSE))),"")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38"/>
        <v>0</v>
      </c>
      <c r="T8688" s="98">
        <f t="shared" si="337"/>
        <v>0</v>
      </c>
      <c r="U8688" s="99" t="str">
        <f>IFERROR(IF(#REF!="S",VLOOKUP('Raw Data'!A8688,References!#REF!,2,FALSE),(VLOOKUP($S8688,References!$B$3:$C$8,2,FALSE))),"")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38"/>
        <v>0</v>
      </c>
      <c r="T8689" s="98">
        <f t="shared" si="337"/>
        <v>0</v>
      </c>
      <c r="U8689" s="99" t="str">
        <f>IFERROR(IF(#REF!="S",VLOOKUP('Raw Data'!A8689,References!#REF!,2,FALSE),(VLOOKUP($S8689,References!$B$3:$C$8,2,FALSE))),"")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38"/>
        <v>0</v>
      </c>
      <c r="T8690" s="98">
        <f t="shared" si="337"/>
        <v>0</v>
      </c>
      <c r="U8690" s="99" t="str">
        <f>IFERROR(IF(#REF!="S",VLOOKUP('Raw Data'!A8690,References!#REF!,2,FALSE),(VLOOKUP($S8690,References!$B$3:$C$8,2,FALSE))),"")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38"/>
        <v>0</v>
      </c>
      <c r="T8691" s="98">
        <f t="shared" si="337"/>
        <v>0</v>
      </c>
      <c r="U8691" s="99" t="str">
        <f>IFERROR(IF(#REF!="S",VLOOKUP('Raw Data'!A8691,References!#REF!,2,FALSE),(VLOOKUP($S8691,References!$B$3:$C$8,2,FALSE))),"")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38"/>
        <v>0</v>
      </c>
      <c r="T8692" s="98">
        <f t="shared" si="337"/>
        <v>0</v>
      </c>
      <c r="U8692" s="99" t="str">
        <f>IFERROR(IF(#REF!="S",VLOOKUP('Raw Data'!A8692,References!#REF!,2,FALSE),(VLOOKUP($S8692,References!$B$3:$C$8,2,FALSE))),"")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38"/>
        <v>0</v>
      </c>
      <c r="T8693" s="98">
        <f t="shared" si="337"/>
        <v>0</v>
      </c>
      <c r="U8693" s="99" t="str">
        <f>IFERROR(IF(#REF!="S",VLOOKUP('Raw Data'!A8693,References!#REF!,2,FALSE),(VLOOKUP($S8693,References!$B$3:$C$8,2,FALSE))),"")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38"/>
        <v>0</v>
      </c>
      <c r="T8694" s="98">
        <f t="shared" si="337"/>
        <v>0</v>
      </c>
      <c r="U8694" s="99" t="str">
        <f>IFERROR(IF(#REF!="S",VLOOKUP('Raw Data'!A8694,References!#REF!,2,FALSE),(VLOOKUP($S8694,References!$B$3:$C$8,2,FALSE))),"")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38"/>
        <v>0</v>
      </c>
      <c r="T8695" s="98">
        <f t="shared" si="337"/>
        <v>0</v>
      </c>
      <c r="U8695" s="99" t="str">
        <f>IFERROR(IF(#REF!="S",VLOOKUP('Raw Data'!A8695,References!#REF!,2,FALSE),(VLOOKUP($S8695,References!$B$3:$C$8,2,FALSE))),"")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38"/>
        <v>0</v>
      </c>
      <c r="T8696" s="98">
        <f t="shared" si="337"/>
        <v>0</v>
      </c>
      <c r="U8696" s="99" t="str">
        <f>IFERROR(IF(#REF!="S",VLOOKUP('Raw Data'!A8696,References!#REF!,2,FALSE),(VLOOKUP($S8696,References!$B$3:$C$8,2,FALSE))),"")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38"/>
        <v>0</v>
      </c>
      <c r="T8697" s="98">
        <f t="shared" si="337"/>
        <v>0</v>
      </c>
      <c r="U8697" s="99" t="str">
        <f>IFERROR(IF(#REF!="S",VLOOKUP('Raw Data'!A8697,References!#REF!,2,FALSE),(VLOOKUP($S8697,References!$B$3:$C$8,2,FALSE))),"")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38"/>
        <v>0</v>
      </c>
      <c r="T8698" s="98">
        <f t="shared" si="337"/>
        <v>0</v>
      </c>
      <c r="U8698" s="99" t="str">
        <f>IFERROR(IF(#REF!="S",VLOOKUP('Raw Data'!A8698,References!#REF!,2,FALSE),(VLOOKUP($S8698,References!$B$3:$C$8,2,FALSE))),"")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38"/>
        <v>0</v>
      </c>
      <c r="T8699" s="98">
        <f t="shared" si="337"/>
        <v>0</v>
      </c>
      <c r="U8699" s="99" t="str">
        <f>IFERROR(IF(#REF!="S",VLOOKUP('Raw Data'!A8699,References!#REF!,2,FALSE),(VLOOKUP($S8699,References!$B$3:$C$8,2,FALSE))),"")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38"/>
        <v>0</v>
      </c>
      <c r="T8700" s="98">
        <f t="shared" si="337"/>
        <v>0</v>
      </c>
      <c r="U8700" s="99" t="str">
        <f>IFERROR(IF(#REF!="S",VLOOKUP('Raw Data'!A8700,References!#REF!,2,FALSE),(VLOOKUP($S8700,References!$B$3:$C$8,2,FALSE))),"")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38"/>
        <v>0</v>
      </c>
      <c r="T8701" s="98">
        <f t="shared" si="337"/>
        <v>0</v>
      </c>
      <c r="U8701" s="99" t="str">
        <f>IFERROR(IF(#REF!="S",VLOOKUP('Raw Data'!A8701,References!#REF!,2,FALSE),(VLOOKUP($S8701,References!$B$3:$C$8,2,FALSE))),"")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38"/>
        <v>0</v>
      </c>
      <c r="T8702" s="98">
        <f t="shared" si="337"/>
        <v>0</v>
      </c>
      <c r="U8702" s="99" t="str">
        <f>IFERROR(IF(#REF!="S",VLOOKUP('Raw Data'!A8702,References!#REF!,2,FALSE),(VLOOKUP($S8702,References!$B$3:$C$8,2,FALSE))),"")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38"/>
        <v>0</v>
      </c>
      <c r="T8703" s="98">
        <f t="shared" si="337"/>
        <v>0</v>
      </c>
      <c r="U8703" s="99" t="str">
        <f>IFERROR(IF(#REF!="S",VLOOKUP('Raw Data'!A8703,References!#REF!,2,FALSE),(VLOOKUP($S8703,References!$B$3:$C$8,2,FALSE))),"")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38"/>
        <v>0</v>
      </c>
      <c r="T8704" s="98">
        <f t="shared" si="337"/>
        <v>0</v>
      </c>
      <c r="U8704" s="99" t="str">
        <f>IFERROR(IF(#REF!="S",VLOOKUP('Raw Data'!A8704,References!#REF!,2,FALSE),(VLOOKUP($S8704,References!$B$3:$C$8,2,FALSE))),"")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38"/>
        <v>0</v>
      </c>
      <c r="T8705" s="98">
        <f t="shared" si="337"/>
        <v>0</v>
      </c>
      <c r="U8705" s="99" t="str">
        <f>IFERROR(IF(#REF!="S",VLOOKUP('Raw Data'!A8705,References!#REF!,2,FALSE),(VLOOKUP($S8705,References!$B$3:$C$8,2,FALSE))),"")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38"/>
        <v>0</v>
      </c>
      <c r="T8706" s="98">
        <f t="shared" si="337"/>
        <v>0</v>
      </c>
      <c r="U8706" s="99" t="str">
        <f>IFERROR(IF(#REF!="S",VLOOKUP('Raw Data'!A8706,References!#REF!,2,FALSE),(VLOOKUP($S8706,References!$B$3:$C$8,2,FALSE))),"")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38"/>
        <v>0</v>
      </c>
      <c r="T8707" s="98">
        <f t="shared" si="337"/>
        <v>0</v>
      </c>
      <c r="U8707" s="99" t="str">
        <f>IFERROR(IF(#REF!="S",VLOOKUP('Raw Data'!A8707,References!#REF!,2,FALSE),(VLOOKUP($S8707,References!$B$3:$C$8,2,FALSE))),"")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38"/>
        <v>0</v>
      </c>
      <c r="T8708" s="98">
        <f t="shared" si="337"/>
        <v>0</v>
      </c>
      <c r="U8708" s="99" t="str">
        <f>IFERROR(IF(#REF!="S",VLOOKUP('Raw Data'!A8708,References!#REF!,2,FALSE),(VLOOKUP($S8708,References!$B$3:$C$8,2,FALSE))),"")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38"/>
        <v>0</v>
      </c>
      <c r="T8709" s="98">
        <f t="shared" si="337"/>
        <v>0</v>
      </c>
      <c r="U8709" s="99" t="str">
        <f>IFERROR(IF(#REF!="S",VLOOKUP('Raw Data'!A8709,References!#REF!,2,FALSE),(VLOOKUP($S8709,References!$B$3:$C$8,2,FALSE))),"")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38"/>
        <v>0</v>
      </c>
      <c r="T8710" s="98">
        <f t="shared" si="337"/>
        <v>0</v>
      </c>
      <c r="U8710" s="99" t="str">
        <f>IFERROR(IF(#REF!="S",VLOOKUP('Raw Data'!A8710,References!#REF!,2,FALSE),(VLOOKUP($S8710,References!$B$3:$C$8,2,FALSE))),"")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38"/>
        <v>0</v>
      </c>
      <c r="T8711" s="98">
        <f t="shared" si="337"/>
        <v>0</v>
      </c>
      <c r="U8711" s="99" t="str">
        <f>IFERROR(IF(#REF!="S",VLOOKUP('Raw Data'!A8711,References!#REF!,2,FALSE),(VLOOKUP($S8711,References!$B$3:$C$8,2,FALSE))),"")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38"/>
        <v>0</v>
      </c>
      <c r="T8712" s="98">
        <f t="shared" si="337"/>
        <v>0</v>
      </c>
      <c r="U8712" s="99" t="str">
        <f>IFERROR(IF(#REF!="S",VLOOKUP('Raw Data'!A8712,References!#REF!,2,FALSE),(VLOOKUP($S8712,References!$B$3:$C$8,2,FALSE))),"")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38"/>
        <v>0</v>
      </c>
      <c r="T8713" s="98">
        <f t="shared" si="337"/>
        <v>0</v>
      </c>
      <c r="U8713" s="99" t="str">
        <f>IFERROR(IF(#REF!="S",VLOOKUP('Raw Data'!A8713,References!#REF!,2,FALSE),(VLOOKUP($S8713,References!$B$3:$C$8,2,FALSE))),"")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38"/>
        <v>0</v>
      </c>
      <c r="T8714" s="98">
        <f t="shared" si="337"/>
        <v>0</v>
      </c>
      <c r="U8714" s="99" t="str">
        <f>IFERROR(IF(#REF!="S",VLOOKUP('Raw Data'!A8714,References!#REF!,2,FALSE),(VLOOKUP($S8714,References!$B$3:$C$8,2,FALSE))),"")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38"/>
        <v>0</v>
      </c>
      <c r="T8715" s="98">
        <f t="shared" si="337"/>
        <v>0</v>
      </c>
      <c r="U8715" s="99" t="str">
        <f>IFERROR(IF(#REF!="S",VLOOKUP('Raw Data'!A8715,References!#REF!,2,FALSE),(VLOOKUP($S8715,References!$B$3:$C$8,2,FALSE))),"")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38"/>
        <v>0</v>
      </c>
      <c r="T8716" s="98">
        <f t="shared" si="337"/>
        <v>0</v>
      </c>
      <c r="U8716" s="99" t="str">
        <f>IFERROR(IF(#REF!="S",VLOOKUP('Raw Data'!A8716,References!#REF!,2,FALSE),(VLOOKUP($S8716,References!$B$3:$C$8,2,FALSE))),"")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38"/>
        <v>0</v>
      </c>
      <c r="T8717" s="98">
        <f t="shared" si="337"/>
        <v>0</v>
      </c>
      <c r="U8717" s="99" t="str">
        <f>IFERROR(IF(#REF!="S",VLOOKUP('Raw Data'!A8717,References!#REF!,2,FALSE),(VLOOKUP($S8717,References!$B$3:$C$8,2,FALSE))),"")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38"/>
        <v>0</v>
      </c>
      <c r="T8718" s="98">
        <f t="shared" si="337"/>
        <v>0</v>
      </c>
      <c r="U8718" s="99" t="str">
        <f>IFERROR(IF(#REF!="S",VLOOKUP('Raw Data'!A8718,References!#REF!,2,FALSE),(VLOOKUP($S8718,References!$B$3:$C$8,2,FALSE))),"")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38"/>
        <v>0</v>
      </c>
      <c r="T8719" s="98">
        <f t="shared" si="337"/>
        <v>0</v>
      </c>
      <c r="U8719" s="99" t="str">
        <f>IFERROR(IF(#REF!="S",VLOOKUP('Raw Data'!A8719,References!#REF!,2,FALSE),(VLOOKUP($S8719,References!$B$3:$C$8,2,FALSE))),"")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38"/>
        <v>0</v>
      </c>
      <c r="T8720" s="98">
        <f t="shared" ref="T8720:T8783" si="339">IF(S8720="50 - Cleaning Fee",1,HOUR($R8720)+MINUTE(R8720)/60)</f>
        <v>0</v>
      </c>
      <c r="U8720" s="99" t="str">
        <f>IFERROR(IF(#REF!="S",VLOOKUP('Raw Data'!A8720,References!#REF!,2,FALSE),(VLOOKUP($S8720,References!$B$3:$C$8,2,FALSE))),"")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38"/>
        <v>0</v>
      </c>
      <c r="T8721" s="98">
        <f t="shared" si="339"/>
        <v>0</v>
      </c>
      <c r="U8721" s="99" t="str">
        <f>IFERROR(IF(#REF!="S",VLOOKUP('Raw Data'!A8721,References!#REF!,2,FALSE),(VLOOKUP($S8721,References!$B$3:$C$8,2,FALSE))),"")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38"/>
        <v>0</v>
      </c>
      <c r="T8722" s="98">
        <f t="shared" si="339"/>
        <v>0</v>
      </c>
      <c r="U8722" s="99" t="str">
        <f>IFERROR(IF(#REF!="S",VLOOKUP('Raw Data'!A8722,References!#REF!,2,FALSE),(VLOOKUP($S8722,References!$B$3:$C$8,2,FALSE))),"")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38"/>
        <v>0</v>
      </c>
      <c r="T8723" s="98">
        <f t="shared" si="339"/>
        <v>0</v>
      </c>
      <c r="U8723" s="99" t="str">
        <f>IFERROR(IF(#REF!="S",VLOOKUP('Raw Data'!A8723,References!#REF!,2,FALSE),(VLOOKUP($S8723,References!$B$3:$C$8,2,FALSE))),"")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38"/>
        <v>0</v>
      </c>
      <c r="T8724" s="98">
        <f t="shared" si="339"/>
        <v>0</v>
      </c>
      <c r="U8724" s="99" t="str">
        <f>IFERROR(IF(#REF!="S",VLOOKUP('Raw Data'!A8724,References!#REF!,2,FALSE),(VLOOKUP($S8724,References!$B$3:$C$8,2,FALSE))),"")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38"/>
        <v>0</v>
      </c>
      <c r="T8725" s="98">
        <f t="shared" si="339"/>
        <v>0</v>
      </c>
      <c r="U8725" s="99" t="str">
        <f>IFERROR(IF(#REF!="S",VLOOKUP('Raw Data'!A8725,References!#REF!,2,FALSE),(VLOOKUP($S8725,References!$B$3:$C$8,2,FALSE))),"")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38"/>
        <v>0</v>
      </c>
      <c r="T8726" s="98">
        <f t="shared" si="339"/>
        <v>0</v>
      </c>
      <c r="U8726" s="99" t="str">
        <f>IFERROR(IF(#REF!="S",VLOOKUP('Raw Data'!A8726,References!#REF!,2,FALSE),(VLOOKUP($S8726,References!$B$3:$C$8,2,FALSE))),"")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38"/>
        <v>0</v>
      </c>
      <c r="T8727" s="98">
        <f t="shared" si="339"/>
        <v>0</v>
      </c>
      <c r="U8727" s="99" t="str">
        <f>IFERROR(IF(#REF!="S",VLOOKUP('Raw Data'!A8727,References!#REF!,2,FALSE),(VLOOKUP($S8727,References!$B$3:$C$8,2,FALSE))),"")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38"/>
        <v>0</v>
      </c>
      <c r="T8728" s="98">
        <f t="shared" si="339"/>
        <v>0</v>
      </c>
      <c r="U8728" s="99" t="str">
        <f>IFERROR(IF(#REF!="S",VLOOKUP('Raw Data'!A8728,References!#REF!,2,FALSE),(VLOOKUP($S8728,References!$B$3:$C$8,2,FALSE))),"")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38"/>
        <v>0</v>
      </c>
      <c r="T8729" s="98">
        <f t="shared" si="339"/>
        <v>0</v>
      </c>
      <c r="U8729" s="99" t="str">
        <f>IFERROR(IF(#REF!="S",VLOOKUP('Raw Data'!A8729,References!#REF!,2,FALSE),(VLOOKUP($S8729,References!$B$3:$C$8,2,FALSE))),"")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38"/>
        <v>0</v>
      </c>
      <c r="T8730" s="98">
        <f t="shared" si="339"/>
        <v>0</v>
      </c>
      <c r="U8730" s="99" t="str">
        <f>IFERROR(IF(#REF!="S",VLOOKUP('Raw Data'!A8730,References!#REF!,2,FALSE),(VLOOKUP($S8730,References!$B$3:$C$8,2,FALSE))),"")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38"/>
        <v>0</v>
      </c>
      <c r="T8731" s="98">
        <f t="shared" si="339"/>
        <v>0</v>
      </c>
      <c r="U8731" s="99" t="str">
        <f>IFERROR(IF(#REF!="S",VLOOKUP('Raw Data'!A8731,References!#REF!,2,FALSE),(VLOOKUP($S8731,References!$B$3:$C$8,2,FALSE))),"")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38"/>
        <v>0</v>
      </c>
      <c r="T8732" s="98">
        <f t="shared" si="339"/>
        <v>0</v>
      </c>
      <c r="U8732" s="99" t="str">
        <f>IFERROR(IF(#REF!="S",VLOOKUP('Raw Data'!A8732,References!#REF!,2,FALSE),(VLOOKUP($S8732,References!$B$3:$C$8,2,FALSE))),"")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38"/>
        <v>0</v>
      </c>
      <c r="T8733" s="98">
        <f t="shared" si="339"/>
        <v>0</v>
      </c>
      <c r="U8733" s="99" t="str">
        <f>IFERROR(IF(#REF!="S",VLOOKUP('Raw Data'!A8733,References!#REF!,2,FALSE),(VLOOKUP($S8733,References!$B$3:$C$8,2,FALSE))),"")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38"/>
        <v>0</v>
      </c>
      <c r="T8734" s="98">
        <f t="shared" si="339"/>
        <v>0</v>
      </c>
      <c r="U8734" s="99" t="str">
        <f>IFERROR(IF(#REF!="S",VLOOKUP('Raw Data'!A8734,References!#REF!,2,FALSE),(VLOOKUP($S8734,References!$B$3:$C$8,2,FALSE))),"")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38"/>
        <v>0</v>
      </c>
      <c r="T8735" s="98">
        <f t="shared" si="339"/>
        <v>0</v>
      </c>
      <c r="U8735" s="99" t="str">
        <f>IFERROR(IF(#REF!="S",VLOOKUP('Raw Data'!A8735,References!#REF!,2,FALSE),(VLOOKUP($S8735,References!$B$3:$C$8,2,FALSE))),"")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38"/>
        <v>0</v>
      </c>
      <c r="T8736" s="98">
        <f t="shared" si="339"/>
        <v>0</v>
      </c>
      <c r="U8736" s="99" t="str">
        <f>IFERROR(IF(#REF!="S",VLOOKUP('Raw Data'!A8736,References!#REF!,2,FALSE),(VLOOKUP($S8736,References!$B$3:$C$8,2,FALSE))),"")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38"/>
        <v>0</v>
      </c>
      <c r="T8737" s="98">
        <f t="shared" si="339"/>
        <v>0</v>
      </c>
      <c r="U8737" s="99" t="str">
        <f>IFERROR(IF(#REF!="S",VLOOKUP('Raw Data'!A8737,References!#REF!,2,FALSE),(VLOOKUP($S8737,References!$B$3:$C$8,2,FALSE))),"")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38"/>
        <v>0</v>
      </c>
      <c r="T8738" s="98">
        <f t="shared" si="339"/>
        <v>0</v>
      </c>
      <c r="U8738" s="99" t="str">
        <f>IFERROR(IF(#REF!="S",VLOOKUP('Raw Data'!A8738,References!#REF!,2,FALSE),(VLOOKUP($S8738,References!$B$3:$C$8,2,FALSE))),"")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38"/>
        <v>0</v>
      </c>
      <c r="T8739" s="98">
        <f t="shared" si="339"/>
        <v>0</v>
      </c>
      <c r="U8739" s="99" t="str">
        <f>IFERROR(IF(#REF!="S",VLOOKUP('Raw Data'!A8739,References!#REF!,2,FALSE),(VLOOKUP($S8739,References!$B$3:$C$8,2,FALSE))),"")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38"/>
        <v>0</v>
      </c>
      <c r="T8740" s="98">
        <f t="shared" si="339"/>
        <v>0</v>
      </c>
      <c r="U8740" s="99" t="str">
        <f>IFERROR(IF(#REF!="S",VLOOKUP('Raw Data'!A8740,References!#REF!,2,FALSE),(VLOOKUP($S8740,References!$B$3:$C$8,2,FALSE))),"")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38"/>
        <v>0</v>
      </c>
      <c r="T8741" s="98">
        <f t="shared" si="339"/>
        <v>0</v>
      </c>
      <c r="U8741" s="99" t="str">
        <f>IFERROR(IF(#REF!="S",VLOOKUP('Raw Data'!A8741,References!#REF!,2,FALSE),(VLOOKUP($S8741,References!$B$3:$C$8,2,FALSE))),"")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38"/>
        <v>0</v>
      </c>
      <c r="T8742" s="98">
        <f t="shared" si="339"/>
        <v>0</v>
      </c>
      <c r="U8742" s="99" t="str">
        <f>IFERROR(IF(#REF!="S",VLOOKUP('Raw Data'!A8742,References!#REF!,2,FALSE),(VLOOKUP($S8742,References!$B$3:$C$8,2,FALSE))),"")</f>
        <v/>
      </c>
      <c r="W8742" s="66" t="str">
        <f>IFERROR(VLOOKUP($O8742,'Customer List'!$A$1:$J$488,10,FALSE),"")</f>
        <v/>
      </c>
    </row>
    <row r="8743" spans="18:23">
      <c r="R8743" s="97">
        <f t="shared" si="338"/>
        <v>0</v>
      </c>
      <c r="T8743" s="98">
        <f t="shared" si="339"/>
        <v>0</v>
      </c>
      <c r="U8743" s="99" t="str">
        <f>IFERROR(IF(#REF!="S",VLOOKUP('Raw Data'!A8743,References!#REF!,2,FALSE),(VLOOKUP($S8743,References!$B$3:$C$8,2,FALSE))),"")</f>
        <v/>
      </c>
      <c r="W8743" s="66" t="str">
        <f>IFERROR(VLOOKUP($O8743,'Customer List'!$A$1:$J$488,10,FALSE),"")</f>
        <v/>
      </c>
    </row>
    <row r="8744" spans="18:23">
      <c r="R8744" s="97">
        <f t="shared" ref="R8744:R8807" si="340">L8744-K8744</f>
        <v>0</v>
      </c>
      <c r="T8744" s="98">
        <f t="shared" si="339"/>
        <v>0</v>
      </c>
      <c r="U8744" s="99" t="str">
        <f>IFERROR(IF(#REF!="S",VLOOKUP('Raw Data'!A8744,References!#REF!,2,FALSE),(VLOOKUP($S8744,References!$B$3:$C$8,2,FALSE))),"")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0"/>
        <v>0</v>
      </c>
      <c r="T8745" s="98">
        <f t="shared" si="339"/>
        <v>0</v>
      </c>
      <c r="U8745" s="99" t="str">
        <f>IFERROR(IF(#REF!="S",VLOOKUP('Raw Data'!A8745,References!#REF!,2,FALSE),(VLOOKUP($S8745,References!$B$3:$C$8,2,FALSE))),"")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0"/>
        <v>0</v>
      </c>
      <c r="T8746" s="98">
        <f t="shared" si="339"/>
        <v>0</v>
      </c>
      <c r="U8746" s="99" t="str">
        <f>IFERROR(IF(#REF!="S",VLOOKUP('Raw Data'!A8746,References!#REF!,2,FALSE),(VLOOKUP($S8746,References!$B$3:$C$8,2,FALSE))),"")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0"/>
        <v>0</v>
      </c>
      <c r="T8747" s="98">
        <f t="shared" si="339"/>
        <v>0</v>
      </c>
      <c r="U8747" s="99" t="str">
        <f>IFERROR(IF(#REF!="S",VLOOKUP('Raw Data'!A8747,References!#REF!,2,FALSE),(VLOOKUP($S8747,References!$B$3:$C$8,2,FALSE))),"")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0"/>
        <v>0</v>
      </c>
      <c r="T8748" s="98">
        <f t="shared" si="339"/>
        <v>0</v>
      </c>
      <c r="U8748" s="99" t="str">
        <f>IFERROR(IF(#REF!="S",VLOOKUP('Raw Data'!A8748,References!#REF!,2,FALSE),(VLOOKUP($S8748,References!$B$3:$C$8,2,FALSE))),"")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0"/>
        <v>0</v>
      </c>
      <c r="T8749" s="98">
        <f t="shared" si="339"/>
        <v>0</v>
      </c>
      <c r="U8749" s="99" t="str">
        <f>IFERROR(IF(#REF!="S",VLOOKUP('Raw Data'!A8749,References!#REF!,2,FALSE),(VLOOKUP($S8749,References!$B$3:$C$8,2,FALSE))),"")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0"/>
        <v>0</v>
      </c>
      <c r="T8750" s="98">
        <f t="shared" si="339"/>
        <v>0</v>
      </c>
      <c r="U8750" s="99" t="str">
        <f>IFERROR(IF(#REF!="S",VLOOKUP('Raw Data'!A8750,References!#REF!,2,FALSE),(VLOOKUP($S8750,References!$B$3:$C$8,2,FALSE))),"")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0"/>
        <v>0</v>
      </c>
      <c r="T8751" s="98">
        <f t="shared" si="339"/>
        <v>0</v>
      </c>
      <c r="U8751" s="99" t="str">
        <f>IFERROR(IF(#REF!="S",VLOOKUP('Raw Data'!A8751,References!#REF!,2,FALSE),(VLOOKUP($S8751,References!$B$3:$C$8,2,FALSE))),"")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0"/>
        <v>0</v>
      </c>
      <c r="T8752" s="98">
        <f t="shared" si="339"/>
        <v>0</v>
      </c>
      <c r="U8752" s="99" t="str">
        <f>IFERROR(IF(#REF!="S",VLOOKUP('Raw Data'!A8752,References!#REF!,2,FALSE),(VLOOKUP($S8752,References!$B$3:$C$8,2,FALSE))),"")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0"/>
        <v>0</v>
      </c>
      <c r="T8753" s="98">
        <f t="shared" si="339"/>
        <v>0</v>
      </c>
      <c r="U8753" s="99" t="str">
        <f>IFERROR(IF(#REF!="S",VLOOKUP('Raw Data'!A8753,References!#REF!,2,FALSE),(VLOOKUP($S8753,References!$B$3:$C$8,2,FALSE))),"")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0"/>
        <v>0</v>
      </c>
      <c r="T8754" s="98">
        <f t="shared" si="339"/>
        <v>0</v>
      </c>
      <c r="U8754" s="99" t="str">
        <f>IFERROR(IF(#REF!="S",VLOOKUP('Raw Data'!A8754,References!#REF!,2,FALSE),(VLOOKUP($S8754,References!$B$3:$C$8,2,FALSE))),"")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0"/>
        <v>0</v>
      </c>
      <c r="T8755" s="98">
        <f t="shared" si="339"/>
        <v>0</v>
      </c>
      <c r="U8755" s="99" t="str">
        <f>IFERROR(IF(#REF!="S",VLOOKUP('Raw Data'!A8755,References!#REF!,2,FALSE),(VLOOKUP($S8755,References!$B$3:$C$8,2,FALSE))),"")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0"/>
        <v>0</v>
      </c>
      <c r="T8756" s="98">
        <f t="shared" si="339"/>
        <v>0</v>
      </c>
      <c r="U8756" s="99" t="str">
        <f>IFERROR(IF(#REF!="S",VLOOKUP('Raw Data'!A8756,References!#REF!,2,FALSE),(VLOOKUP($S8756,References!$B$3:$C$8,2,FALSE))),"")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0"/>
        <v>0</v>
      </c>
      <c r="T8757" s="98">
        <f t="shared" si="339"/>
        <v>0</v>
      </c>
      <c r="U8757" s="99" t="str">
        <f>IFERROR(IF(#REF!="S",VLOOKUP('Raw Data'!A8757,References!#REF!,2,FALSE),(VLOOKUP($S8757,References!$B$3:$C$8,2,FALSE))),"")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0"/>
        <v>0</v>
      </c>
      <c r="T8758" s="98">
        <f t="shared" si="339"/>
        <v>0</v>
      </c>
      <c r="U8758" s="99" t="str">
        <f>IFERROR(IF(#REF!="S",VLOOKUP('Raw Data'!A8758,References!#REF!,2,FALSE),(VLOOKUP($S8758,References!$B$3:$C$8,2,FALSE))),"")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0"/>
        <v>0</v>
      </c>
      <c r="T8759" s="98">
        <f t="shared" si="339"/>
        <v>0</v>
      </c>
      <c r="U8759" s="99" t="str">
        <f>IFERROR(IF(#REF!="S",VLOOKUP('Raw Data'!A8759,References!#REF!,2,FALSE),(VLOOKUP($S8759,References!$B$3:$C$8,2,FALSE))),"")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0"/>
        <v>0</v>
      </c>
      <c r="T8760" s="98">
        <f t="shared" si="339"/>
        <v>0</v>
      </c>
      <c r="U8760" s="99" t="str">
        <f>IFERROR(IF(#REF!="S",VLOOKUP('Raw Data'!A8760,References!#REF!,2,FALSE),(VLOOKUP($S8760,References!$B$3:$C$8,2,FALSE))),"")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0"/>
        <v>0</v>
      </c>
      <c r="T8761" s="98">
        <f t="shared" si="339"/>
        <v>0</v>
      </c>
      <c r="U8761" s="99" t="str">
        <f>IFERROR(IF(#REF!="S",VLOOKUP('Raw Data'!A8761,References!#REF!,2,FALSE),(VLOOKUP($S8761,References!$B$3:$C$8,2,FALSE))),"")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0"/>
        <v>0</v>
      </c>
      <c r="T8762" s="98">
        <f t="shared" si="339"/>
        <v>0</v>
      </c>
      <c r="U8762" s="99" t="str">
        <f>IFERROR(IF(#REF!="S",VLOOKUP('Raw Data'!A8762,References!#REF!,2,FALSE),(VLOOKUP($S8762,References!$B$3:$C$8,2,FALSE))),"")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0"/>
        <v>0</v>
      </c>
      <c r="T8763" s="98">
        <f t="shared" si="339"/>
        <v>0</v>
      </c>
      <c r="U8763" s="99" t="str">
        <f>IFERROR(IF(#REF!="S",VLOOKUP('Raw Data'!A8763,References!#REF!,2,FALSE),(VLOOKUP($S8763,References!$B$3:$C$8,2,FALSE))),"")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0"/>
        <v>0</v>
      </c>
      <c r="T8764" s="98">
        <f t="shared" si="339"/>
        <v>0</v>
      </c>
      <c r="U8764" s="99" t="str">
        <f>IFERROR(IF(#REF!="S",VLOOKUP('Raw Data'!A8764,References!#REF!,2,FALSE),(VLOOKUP($S8764,References!$B$3:$C$8,2,FALSE))),"")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0"/>
        <v>0</v>
      </c>
      <c r="T8765" s="98">
        <f t="shared" si="339"/>
        <v>0</v>
      </c>
      <c r="U8765" s="99" t="str">
        <f>IFERROR(IF(#REF!="S",VLOOKUP('Raw Data'!A8765,References!#REF!,2,FALSE),(VLOOKUP($S8765,References!$B$3:$C$8,2,FALSE))),"")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0"/>
        <v>0</v>
      </c>
      <c r="T8766" s="98">
        <f t="shared" si="339"/>
        <v>0</v>
      </c>
      <c r="U8766" s="99" t="str">
        <f>IFERROR(IF(#REF!="S",VLOOKUP('Raw Data'!A8766,References!#REF!,2,FALSE),(VLOOKUP($S8766,References!$B$3:$C$8,2,FALSE))),"")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0"/>
        <v>0</v>
      </c>
      <c r="T8767" s="98">
        <f t="shared" si="339"/>
        <v>0</v>
      </c>
      <c r="U8767" s="99" t="str">
        <f>IFERROR(IF(#REF!="S",VLOOKUP('Raw Data'!A8767,References!#REF!,2,FALSE),(VLOOKUP($S8767,References!$B$3:$C$8,2,FALSE))),"")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0"/>
        <v>0</v>
      </c>
      <c r="T8768" s="98">
        <f t="shared" si="339"/>
        <v>0</v>
      </c>
      <c r="U8768" s="99" t="str">
        <f>IFERROR(IF(#REF!="S",VLOOKUP('Raw Data'!A8768,References!#REF!,2,FALSE),(VLOOKUP($S8768,References!$B$3:$C$8,2,FALSE))),"")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0"/>
        <v>0</v>
      </c>
      <c r="T8769" s="98">
        <f t="shared" si="339"/>
        <v>0</v>
      </c>
      <c r="U8769" s="99" t="str">
        <f>IFERROR(IF(#REF!="S",VLOOKUP('Raw Data'!A8769,References!#REF!,2,FALSE),(VLOOKUP($S8769,References!$B$3:$C$8,2,FALSE))),"")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0"/>
        <v>0</v>
      </c>
      <c r="T8770" s="98">
        <f t="shared" si="339"/>
        <v>0</v>
      </c>
      <c r="U8770" s="99" t="str">
        <f>IFERROR(IF(#REF!="S",VLOOKUP('Raw Data'!A8770,References!#REF!,2,FALSE),(VLOOKUP($S8770,References!$B$3:$C$8,2,FALSE))),"")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0"/>
        <v>0</v>
      </c>
      <c r="T8771" s="98">
        <f t="shared" si="339"/>
        <v>0</v>
      </c>
      <c r="U8771" s="99" t="str">
        <f>IFERROR(IF(#REF!="S",VLOOKUP('Raw Data'!A8771,References!#REF!,2,FALSE),(VLOOKUP($S8771,References!$B$3:$C$8,2,FALSE))),"")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0"/>
        <v>0</v>
      </c>
      <c r="T8772" s="98">
        <f t="shared" si="339"/>
        <v>0</v>
      </c>
      <c r="U8772" s="99" t="str">
        <f>IFERROR(IF(#REF!="S",VLOOKUP('Raw Data'!A8772,References!#REF!,2,FALSE),(VLOOKUP($S8772,References!$B$3:$C$8,2,FALSE))),"")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0"/>
        <v>0</v>
      </c>
      <c r="T8773" s="98">
        <f t="shared" si="339"/>
        <v>0</v>
      </c>
      <c r="U8773" s="99" t="str">
        <f>IFERROR(IF(#REF!="S",VLOOKUP('Raw Data'!A8773,References!#REF!,2,FALSE),(VLOOKUP($S8773,References!$B$3:$C$8,2,FALSE))),"")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0"/>
        <v>0</v>
      </c>
      <c r="T8774" s="98">
        <f t="shared" si="339"/>
        <v>0</v>
      </c>
      <c r="U8774" s="99" t="str">
        <f>IFERROR(IF(#REF!="S",VLOOKUP('Raw Data'!A8774,References!#REF!,2,FALSE),(VLOOKUP($S8774,References!$B$3:$C$8,2,FALSE))),"")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0"/>
        <v>0</v>
      </c>
      <c r="T8775" s="98">
        <f t="shared" si="339"/>
        <v>0</v>
      </c>
      <c r="U8775" s="99" t="str">
        <f>IFERROR(IF(#REF!="S",VLOOKUP('Raw Data'!A8775,References!#REF!,2,FALSE),(VLOOKUP($S8775,References!$B$3:$C$8,2,FALSE))),"")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0"/>
        <v>0</v>
      </c>
      <c r="T8776" s="98">
        <f t="shared" si="339"/>
        <v>0</v>
      </c>
      <c r="U8776" s="99" t="str">
        <f>IFERROR(IF(#REF!="S",VLOOKUP('Raw Data'!A8776,References!#REF!,2,FALSE),(VLOOKUP($S8776,References!$B$3:$C$8,2,FALSE))),"")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0"/>
        <v>0</v>
      </c>
      <c r="T8777" s="98">
        <f t="shared" si="339"/>
        <v>0</v>
      </c>
      <c r="U8777" s="99" t="str">
        <f>IFERROR(IF(#REF!="S",VLOOKUP('Raw Data'!A8777,References!#REF!,2,FALSE),(VLOOKUP($S8777,References!$B$3:$C$8,2,FALSE))),"")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0"/>
        <v>0</v>
      </c>
      <c r="T8778" s="98">
        <f t="shared" si="339"/>
        <v>0</v>
      </c>
      <c r="U8778" s="99" t="str">
        <f>IFERROR(IF(#REF!="S",VLOOKUP('Raw Data'!A8778,References!#REF!,2,FALSE),(VLOOKUP($S8778,References!$B$3:$C$8,2,FALSE))),"")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0"/>
        <v>0</v>
      </c>
      <c r="T8779" s="98">
        <f t="shared" si="339"/>
        <v>0</v>
      </c>
      <c r="U8779" s="99" t="str">
        <f>IFERROR(IF(#REF!="S",VLOOKUP('Raw Data'!A8779,References!#REF!,2,FALSE),(VLOOKUP($S8779,References!$B$3:$C$8,2,FALSE))),"")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0"/>
        <v>0</v>
      </c>
      <c r="T8780" s="98">
        <f t="shared" si="339"/>
        <v>0</v>
      </c>
      <c r="U8780" s="99" t="str">
        <f>IFERROR(IF(#REF!="S",VLOOKUP('Raw Data'!A8780,References!#REF!,2,FALSE),(VLOOKUP($S8780,References!$B$3:$C$8,2,FALSE))),"")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0"/>
        <v>0</v>
      </c>
      <c r="T8781" s="98">
        <f t="shared" si="339"/>
        <v>0</v>
      </c>
      <c r="U8781" s="99" t="str">
        <f>IFERROR(IF(#REF!="S",VLOOKUP('Raw Data'!A8781,References!#REF!,2,FALSE),(VLOOKUP($S8781,References!$B$3:$C$8,2,FALSE))),"")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0"/>
        <v>0</v>
      </c>
      <c r="T8782" s="98">
        <f t="shared" si="339"/>
        <v>0</v>
      </c>
      <c r="U8782" s="99" t="str">
        <f>IFERROR(IF(#REF!="S",VLOOKUP('Raw Data'!A8782,References!#REF!,2,FALSE),(VLOOKUP($S8782,References!$B$3:$C$8,2,FALSE))),"")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0"/>
        <v>0</v>
      </c>
      <c r="T8783" s="98">
        <f t="shared" si="339"/>
        <v>0</v>
      </c>
      <c r="U8783" s="99" t="str">
        <f>IFERROR(IF(#REF!="S",VLOOKUP('Raw Data'!A8783,References!#REF!,2,FALSE),(VLOOKUP($S8783,References!$B$3:$C$8,2,FALSE))),"")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0"/>
        <v>0</v>
      </c>
      <c r="T8784" s="98">
        <f t="shared" ref="T8784:T8847" si="341">IF(S8784="50 - Cleaning Fee",1,HOUR($R8784)+MINUTE(R8784)/60)</f>
        <v>0</v>
      </c>
      <c r="U8784" s="99" t="str">
        <f>IFERROR(IF(#REF!="S",VLOOKUP('Raw Data'!A8784,References!#REF!,2,FALSE),(VLOOKUP($S8784,References!$B$3:$C$8,2,FALSE))),"")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0"/>
        <v>0</v>
      </c>
      <c r="T8785" s="98">
        <f t="shared" si="341"/>
        <v>0</v>
      </c>
      <c r="U8785" s="99" t="str">
        <f>IFERROR(IF(#REF!="S",VLOOKUP('Raw Data'!A8785,References!#REF!,2,FALSE),(VLOOKUP($S8785,References!$B$3:$C$8,2,FALSE))),"")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0"/>
        <v>0</v>
      </c>
      <c r="T8786" s="98">
        <f t="shared" si="341"/>
        <v>0</v>
      </c>
      <c r="U8786" s="99" t="str">
        <f>IFERROR(IF(#REF!="S",VLOOKUP('Raw Data'!A8786,References!#REF!,2,FALSE),(VLOOKUP($S8786,References!$B$3:$C$8,2,FALSE))),"")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0"/>
        <v>0</v>
      </c>
      <c r="T8787" s="98">
        <f t="shared" si="341"/>
        <v>0</v>
      </c>
      <c r="U8787" s="99" t="str">
        <f>IFERROR(IF(#REF!="S",VLOOKUP('Raw Data'!A8787,References!#REF!,2,FALSE),(VLOOKUP($S8787,References!$B$3:$C$8,2,FALSE))),"")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0"/>
        <v>0</v>
      </c>
      <c r="T8788" s="98">
        <f t="shared" si="341"/>
        <v>0</v>
      </c>
      <c r="U8788" s="99" t="str">
        <f>IFERROR(IF(#REF!="S",VLOOKUP('Raw Data'!A8788,References!#REF!,2,FALSE),(VLOOKUP($S8788,References!$B$3:$C$8,2,FALSE))),"")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0"/>
        <v>0</v>
      </c>
      <c r="T8789" s="98">
        <f t="shared" si="341"/>
        <v>0</v>
      </c>
      <c r="U8789" s="99" t="str">
        <f>IFERROR(IF(#REF!="S",VLOOKUP('Raw Data'!A8789,References!#REF!,2,FALSE),(VLOOKUP($S8789,References!$B$3:$C$8,2,FALSE))),"")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0"/>
        <v>0</v>
      </c>
      <c r="T8790" s="98">
        <f t="shared" si="341"/>
        <v>0</v>
      </c>
      <c r="U8790" s="99" t="str">
        <f>IFERROR(IF(#REF!="S",VLOOKUP('Raw Data'!A8790,References!#REF!,2,FALSE),(VLOOKUP($S8790,References!$B$3:$C$8,2,FALSE))),"")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0"/>
        <v>0</v>
      </c>
      <c r="T8791" s="98">
        <f t="shared" si="341"/>
        <v>0</v>
      </c>
      <c r="U8791" s="99" t="str">
        <f>IFERROR(IF(#REF!="S",VLOOKUP('Raw Data'!A8791,References!#REF!,2,FALSE),(VLOOKUP($S8791,References!$B$3:$C$8,2,FALSE))),"")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0"/>
        <v>0</v>
      </c>
      <c r="T8792" s="98">
        <f t="shared" si="341"/>
        <v>0</v>
      </c>
      <c r="U8792" s="99" t="str">
        <f>IFERROR(IF(#REF!="S",VLOOKUP('Raw Data'!A8792,References!#REF!,2,FALSE),(VLOOKUP($S8792,References!$B$3:$C$8,2,FALSE))),"")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0"/>
        <v>0</v>
      </c>
      <c r="T8793" s="98">
        <f t="shared" si="341"/>
        <v>0</v>
      </c>
      <c r="U8793" s="99" t="str">
        <f>IFERROR(IF(#REF!="S",VLOOKUP('Raw Data'!A8793,References!#REF!,2,FALSE),(VLOOKUP($S8793,References!$B$3:$C$8,2,FALSE))),"")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0"/>
        <v>0</v>
      </c>
      <c r="T8794" s="98">
        <f t="shared" si="341"/>
        <v>0</v>
      </c>
      <c r="U8794" s="99" t="str">
        <f>IFERROR(IF(#REF!="S",VLOOKUP('Raw Data'!A8794,References!#REF!,2,FALSE),(VLOOKUP($S8794,References!$B$3:$C$8,2,FALSE))),"")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0"/>
        <v>0</v>
      </c>
      <c r="T8795" s="98">
        <f t="shared" si="341"/>
        <v>0</v>
      </c>
      <c r="U8795" s="99" t="str">
        <f>IFERROR(IF(#REF!="S",VLOOKUP('Raw Data'!A8795,References!#REF!,2,FALSE),(VLOOKUP($S8795,References!$B$3:$C$8,2,FALSE))),"")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0"/>
        <v>0</v>
      </c>
      <c r="T8796" s="98">
        <f t="shared" si="341"/>
        <v>0</v>
      </c>
      <c r="U8796" s="99" t="str">
        <f>IFERROR(IF(#REF!="S",VLOOKUP('Raw Data'!A8796,References!#REF!,2,FALSE),(VLOOKUP($S8796,References!$B$3:$C$8,2,FALSE))),"")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0"/>
        <v>0</v>
      </c>
      <c r="T8797" s="98">
        <f t="shared" si="341"/>
        <v>0</v>
      </c>
      <c r="U8797" s="99" t="str">
        <f>IFERROR(IF(#REF!="S",VLOOKUP('Raw Data'!A8797,References!#REF!,2,FALSE),(VLOOKUP($S8797,References!$B$3:$C$8,2,FALSE))),"")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0"/>
        <v>0</v>
      </c>
      <c r="T8798" s="98">
        <f t="shared" si="341"/>
        <v>0</v>
      </c>
      <c r="U8798" s="99" t="str">
        <f>IFERROR(IF(#REF!="S",VLOOKUP('Raw Data'!A8798,References!#REF!,2,FALSE),(VLOOKUP($S8798,References!$B$3:$C$8,2,FALSE))),"")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0"/>
        <v>0</v>
      </c>
      <c r="T8799" s="98">
        <f t="shared" si="341"/>
        <v>0</v>
      </c>
      <c r="U8799" s="99" t="str">
        <f>IFERROR(IF(#REF!="S",VLOOKUP('Raw Data'!A8799,References!#REF!,2,FALSE),(VLOOKUP($S8799,References!$B$3:$C$8,2,FALSE))),"")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0"/>
        <v>0</v>
      </c>
      <c r="T8800" s="98">
        <f t="shared" si="341"/>
        <v>0</v>
      </c>
      <c r="U8800" s="99" t="str">
        <f>IFERROR(IF(#REF!="S",VLOOKUP('Raw Data'!A8800,References!#REF!,2,FALSE),(VLOOKUP($S8800,References!$B$3:$C$8,2,FALSE))),"")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0"/>
        <v>0</v>
      </c>
      <c r="T8801" s="98">
        <f t="shared" si="341"/>
        <v>0</v>
      </c>
      <c r="U8801" s="99" t="str">
        <f>IFERROR(IF(#REF!="S",VLOOKUP('Raw Data'!A8801,References!#REF!,2,FALSE),(VLOOKUP($S8801,References!$B$3:$C$8,2,FALSE))),"")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0"/>
        <v>0</v>
      </c>
      <c r="T8802" s="98">
        <f t="shared" si="341"/>
        <v>0</v>
      </c>
      <c r="U8802" s="99" t="str">
        <f>IFERROR(IF(#REF!="S",VLOOKUP('Raw Data'!A8802,References!#REF!,2,FALSE),(VLOOKUP($S8802,References!$B$3:$C$8,2,FALSE))),"")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0"/>
        <v>0</v>
      </c>
      <c r="T8803" s="98">
        <f t="shared" si="341"/>
        <v>0</v>
      </c>
      <c r="U8803" s="99" t="str">
        <f>IFERROR(IF(#REF!="S",VLOOKUP('Raw Data'!A8803,References!#REF!,2,FALSE),(VLOOKUP($S8803,References!$B$3:$C$8,2,FALSE))),"")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0"/>
        <v>0</v>
      </c>
      <c r="T8804" s="98">
        <f t="shared" si="341"/>
        <v>0</v>
      </c>
      <c r="U8804" s="99" t="str">
        <f>IFERROR(IF(#REF!="S",VLOOKUP('Raw Data'!A8804,References!#REF!,2,FALSE),(VLOOKUP($S8804,References!$B$3:$C$8,2,FALSE))),"")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0"/>
        <v>0</v>
      </c>
      <c r="T8805" s="98">
        <f t="shared" si="341"/>
        <v>0</v>
      </c>
      <c r="U8805" s="99" t="str">
        <f>IFERROR(IF(#REF!="S",VLOOKUP('Raw Data'!A8805,References!#REF!,2,FALSE),(VLOOKUP($S8805,References!$B$3:$C$8,2,FALSE))),"")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0"/>
        <v>0</v>
      </c>
      <c r="T8806" s="98">
        <f t="shared" si="341"/>
        <v>0</v>
      </c>
      <c r="U8806" s="99" t="str">
        <f>IFERROR(IF(#REF!="S",VLOOKUP('Raw Data'!A8806,References!#REF!,2,FALSE),(VLOOKUP($S8806,References!$B$3:$C$8,2,FALSE))),"")</f>
        <v/>
      </c>
      <c r="W8806" s="66" t="str">
        <f>IFERROR(VLOOKUP($O8806,'Customer List'!$A$1:$J$488,10,FALSE),"")</f>
        <v/>
      </c>
    </row>
    <row r="8807" spans="18:23">
      <c r="R8807" s="97">
        <f t="shared" si="340"/>
        <v>0</v>
      </c>
      <c r="T8807" s="98">
        <f t="shared" si="341"/>
        <v>0</v>
      </c>
      <c r="U8807" s="99" t="str">
        <f>IFERROR(IF(#REF!="S",VLOOKUP('Raw Data'!A8807,References!#REF!,2,FALSE),(VLOOKUP($S8807,References!$B$3:$C$8,2,FALSE))),"")</f>
        <v/>
      </c>
      <c r="W8807" s="66" t="str">
        <f>IFERROR(VLOOKUP($O8807,'Customer List'!$A$1:$J$488,10,FALSE),"")</f>
        <v/>
      </c>
    </row>
    <row r="8808" spans="18:23">
      <c r="R8808" s="97">
        <f t="shared" ref="R8808:R8871" si="342">L8808-K8808</f>
        <v>0</v>
      </c>
      <c r="T8808" s="98">
        <f t="shared" si="341"/>
        <v>0</v>
      </c>
      <c r="U8808" s="99" t="str">
        <f>IFERROR(IF(#REF!="S",VLOOKUP('Raw Data'!A8808,References!#REF!,2,FALSE),(VLOOKUP($S8808,References!$B$3:$C$8,2,FALSE))),"")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2"/>
        <v>0</v>
      </c>
      <c r="T8809" s="98">
        <f t="shared" si="341"/>
        <v>0</v>
      </c>
      <c r="U8809" s="99" t="str">
        <f>IFERROR(IF(#REF!="S",VLOOKUP('Raw Data'!A8809,References!#REF!,2,FALSE),(VLOOKUP($S8809,References!$B$3:$C$8,2,FALSE))),"")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2"/>
        <v>0</v>
      </c>
      <c r="T8810" s="98">
        <f t="shared" si="341"/>
        <v>0</v>
      </c>
      <c r="U8810" s="99" t="str">
        <f>IFERROR(IF(#REF!="S",VLOOKUP('Raw Data'!A8810,References!#REF!,2,FALSE),(VLOOKUP($S8810,References!$B$3:$C$8,2,FALSE))),"")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2"/>
        <v>0</v>
      </c>
      <c r="T8811" s="98">
        <f t="shared" si="341"/>
        <v>0</v>
      </c>
      <c r="U8811" s="99" t="str">
        <f>IFERROR(IF(#REF!="S",VLOOKUP('Raw Data'!A8811,References!#REF!,2,FALSE),(VLOOKUP($S8811,References!$B$3:$C$8,2,FALSE))),"")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2"/>
        <v>0</v>
      </c>
      <c r="T8812" s="98">
        <f t="shared" si="341"/>
        <v>0</v>
      </c>
      <c r="U8812" s="99" t="str">
        <f>IFERROR(IF(#REF!="S",VLOOKUP('Raw Data'!A8812,References!#REF!,2,FALSE),(VLOOKUP($S8812,References!$B$3:$C$8,2,FALSE))),"")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2"/>
        <v>0</v>
      </c>
      <c r="T8813" s="98">
        <f t="shared" si="341"/>
        <v>0</v>
      </c>
      <c r="U8813" s="99" t="str">
        <f>IFERROR(IF(#REF!="S",VLOOKUP('Raw Data'!A8813,References!#REF!,2,FALSE),(VLOOKUP($S8813,References!$B$3:$C$8,2,FALSE))),"")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2"/>
        <v>0</v>
      </c>
      <c r="T8814" s="98">
        <f t="shared" si="341"/>
        <v>0</v>
      </c>
      <c r="U8814" s="99" t="str">
        <f>IFERROR(IF(#REF!="S",VLOOKUP('Raw Data'!A8814,References!#REF!,2,FALSE),(VLOOKUP($S8814,References!$B$3:$C$8,2,FALSE))),"")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2"/>
        <v>0</v>
      </c>
      <c r="T8815" s="98">
        <f t="shared" si="341"/>
        <v>0</v>
      </c>
      <c r="U8815" s="99" t="str">
        <f>IFERROR(IF(#REF!="S",VLOOKUP('Raw Data'!A8815,References!#REF!,2,FALSE),(VLOOKUP($S8815,References!$B$3:$C$8,2,FALSE))),"")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2"/>
        <v>0</v>
      </c>
      <c r="T8816" s="98">
        <f t="shared" si="341"/>
        <v>0</v>
      </c>
      <c r="U8816" s="99" t="str">
        <f>IFERROR(IF(#REF!="S",VLOOKUP('Raw Data'!A8816,References!#REF!,2,FALSE),(VLOOKUP($S8816,References!$B$3:$C$8,2,FALSE))),"")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2"/>
        <v>0</v>
      </c>
      <c r="T8817" s="98">
        <f t="shared" si="341"/>
        <v>0</v>
      </c>
      <c r="U8817" s="99" t="str">
        <f>IFERROR(IF(#REF!="S",VLOOKUP('Raw Data'!A8817,References!#REF!,2,FALSE),(VLOOKUP($S8817,References!$B$3:$C$8,2,FALSE))),"")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2"/>
        <v>0</v>
      </c>
      <c r="T8818" s="98">
        <f t="shared" si="341"/>
        <v>0</v>
      </c>
      <c r="U8818" s="99" t="str">
        <f>IFERROR(IF(#REF!="S",VLOOKUP('Raw Data'!A8818,References!#REF!,2,FALSE),(VLOOKUP($S8818,References!$B$3:$C$8,2,FALSE))),"")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2"/>
        <v>0</v>
      </c>
      <c r="T8819" s="98">
        <f t="shared" si="341"/>
        <v>0</v>
      </c>
      <c r="U8819" s="99" t="str">
        <f>IFERROR(IF(#REF!="S",VLOOKUP('Raw Data'!A8819,References!#REF!,2,FALSE),(VLOOKUP($S8819,References!$B$3:$C$8,2,FALSE))),"")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2"/>
        <v>0</v>
      </c>
      <c r="T8820" s="98">
        <f t="shared" si="341"/>
        <v>0</v>
      </c>
      <c r="U8820" s="99" t="str">
        <f>IFERROR(IF(#REF!="S",VLOOKUP('Raw Data'!A8820,References!#REF!,2,FALSE),(VLOOKUP($S8820,References!$B$3:$C$8,2,FALSE))),"")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2"/>
        <v>0</v>
      </c>
      <c r="T8821" s="98">
        <f t="shared" si="341"/>
        <v>0</v>
      </c>
      <c r="U8821" s="99" t="str">
        <f>IFERROR(IF(#REF!="S",VLOOKUP('Raw Data'!A8821,References!#REF!,2,FALSE),(VLOOKUP($S8821,References!$B$3:$C$8,2,FALSE))),"")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2"/>
        <v>0</v>
      </c>
      <c r="T8822" s="98">
        <f t="shared" si="341"/>
        <v>0</v>
      </c>
      <c r="U8822" s="99" t="str">
        <f>IFERROR(IF(#REF!="S",VLOOKUP('Raw Data'!A8822,References!#REF!,2,FALSE),(VLOOKUP($S8822,References!$B$3:$C$8,2,FALSE))),"")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2"/>
        <v>0</v>
      </c>
      <c r="T8823" s="98">
        <f t="shared" si="341"/>
        <v>0</v>
      </c>
      <c r="U8823" s="99" t="str">
        <f>IFERROR(IF(#REF!="S",VLOOKUP('Raw Data'!A8823,References!#REF!,2,FALSE),(VLOOKUP($S8823,References!$B$3:$C$8,2,FALSE))),"")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2"/>
        <v>0</v>
      </c>
      <c r="T8824" s="98">
        <f t="shared" si="341"/>
        <v>0</v>
      </c>
      <c r="U8824" s="99" t="str">
        <f>IFERROR(IF(#REF!="S",VLOOKUP('Raw Data'!A8824,References!#REF!,2,FALSE),(VLOOKUP($S8824,References!$B$3:$C$8,2,FALSE))),"")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2"/>
        <v>0</v>
      </c>
      <c r="T8825" s="98">
        <f t="shared" si="341"/>
        <v>0</v>
      </c>
      <c r="U8825" s="99" t="str">
        <f>IFERROR(IF(#REF!="S",VLOOKUP('Raw Data'!A8825,References!#REF!,2,FALSE),(VLOOKUP($S8825,References!$B$3:$C$8,2,FALSE))),"")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2"/>
        <v>0</v>
      </c>
      <c r="T8826" s="98">
        <f t="shared" si="341"/>
        <v>0</v>
      </c>
      <c r="U8826" s="99" t="str">
        <f>IFERROR(IF(#REF!="S",VLOOKUP('Raw Data'!A8826,References!#REF!,2,FALSE),(VLOOKUP($S8826,References!$B$3:$C$8,2,FALSE))),"")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2"/>
        <v>0</v>
      </c>
      <c r="T8827" s="98">
        <f t="shared" si="341"/>
        <v>0</v>
      </c>
      <c r="U8827" s="99" t="str">
        <f>IFERROR(IF(#REF!="S",VLOOKUP('Raw Data'!A8827,References!#REF!,2,FALSE),(VLOOKUP($S8827,References!$B$3:$C$8,2,FALSE))),"")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2"/>
        <v>0</v>
      </c>
      <c r="T8828" s="98">
        <f t="shared" si="341"/>
        <v>0</v>
      </c>
      <c r="U8828" s="99" t="str">
        <f>IFERROR(IF(#REF!="S",VLOOKUP('Raw Data'!A8828,References!#REF!,2,FALSE),(VLOOKUP($S8828,References!$B$3:$C$8,2,FALSE))),"")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2"/>
        <v>0</v>
      </c>
      <c r="T8829" s="98">
        <f t="shared" si="341"/>
        <v>0</v>
      </c>
      <c r="U8829" s="99" t="str">
        <f>IFERROR(IF(#REF!="S",VLOOKUP('Raw Data'!A8829,References!#REF!,2,FALSE),(VLOOKUP($S8829,References!$B$3:$C$8,2,FALSE))),"")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2"/>
        <v>0</v>
      </c>
      <c r="T8830" s="98">
        <f t="shared" si="341"/>
        <v>0</v>
      </c>
      <c r="U8830" s="99" t="str">
        <f>IFERROR(IF(#REF!="S",VLOOKUP('Raw Data'!A8830,References!#REF!,2,FALSE),(VLOOKUP($S8830,References!$B$3:$C$8,2,FALSE))),"")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2"/>
        <v>0</v>
      </c>
      <c r="T8831" s="98">
        <f t="shared" si="341"/>
        <v>0</v>
      </c>
      <c r="U8831" s="99" t="str">
        <f>IFERROR(IF(#REF!="S",VLOOKUP('Raw Data'!A8831,References!#REF!,2,FALSE),(VLOOKUP($S8831,References!$B$3:$C$8,2,FALSE))),"")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2"/>
        <v>0</v>
      </c>
      <c r="T8832" s="98">
        <f t="shared" si="341"/>
        <v>0</v>
      </c>
      <c r="U8832" s="99" t="str">
        <f>IFERROR(IF(#REF!="S",VLOOKUP('Raw Data'!A8832,References!#REF!,2,FALSE),(VLOOKUP($S8832,References!$B$3:$C$8,2,FALSE))),"")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2"/>
        <v>0</v>
      </c>
      <c r="T8833" s="98">
        <f t="shared" si="341"/>
        <v>0</v>
      </c>
      <c r="U8833" s="99" t="str">
        <f>IFERROR(IF(#REF!="S",VLOOKUP('Raw Data'!A8833,References!#REF!,2,FALSE),(VLOOKUP($S8833,References!$B$3:$C$8,2,FALSE))),"")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2"/>
        <v>0</v>
      </c>
      <c r="T8834" s="98">
        <f t="shared" si="341"/>
        <v>0</v>
      </c>
      <c r="U8834" s="99" t="str">
        <f>IFERROR(IF(#REF!="S",VLOOKUP('Raw Data'!A8834,References!#REF!,2,FALSE),(VLOOKUP($S8834,References!$B$3:$C$8,2,FALSE))),"")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2"/>
        <v>0</v>
      </c>
      <c r="T8835" s="98">
        <f t="shared" si="341"/>
        <v>0</v>
      </c>
      <c r="U8835" s="99" t="str">
        <f>IFERROR(IF(#REF!="S",VLOOKUP('Raw Data'!A8835,References!#REF!,2,FALSE),(VLOOKUP($S8835,References!$B$3:$C$8,2,FALSE))),"")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2"/>
        <v>0</v>
      </c>
      <c r="T8836" s="98">
        <f t="shared" si="341"/>
        <v>0</v>
      </c>
      <c r="U8836" s="99" t="str">
        <f>IFERROR(IF(#REF!="S",VLOOKUP('Raw Data'!A8836,References!#REF!,2,FALSE),(VLOOKUP($S8836,References!$B$3:$C$8,2,FALSE))),"")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2"/>
        <v>0</v>
      </c>
      <c r="T8837" s="98">
        <f t="shared" si="341"/>
        <v>0</v>
      </c>
      <c r="U8837" s="99" t="str">
        <f>IFERROR(IF(#REF!="S",VLOOKUP('Raw Data'!A8837,References!#REF!,2,FALSE),(VLOOKUP($S8837,References!$B$3:$C$8,2,FALSE))),"")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2"/>
        <v>0</v>
      </c>
      <c r="T8838" s="98">
        <f t="shared" si="341"/>
        <v>0</v>
      </c>
      <c r="U8838" s="99" t="str">
        <f>IFERROR(IF(#REF!="S",VLOOKUP('Raw Data'!A8838,References!#REF!,2,FALSE),(VLOOKUP($S8838,References!$B$3:$C$8,2,FALSE))),"")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2"/>
        <v>0</v>
      </c>
      <c r="T8839" s="98">
        <f t="shared" si="341"/>
        <v>0</v>
      </c>
      <c r="U8839" s="99" t="str">
        <f>IFERROR(IF(#REF!="S",VLOOKUP('Raw Data'!A8839,References!#REF!,2,FALSE),(VLOOKUP($S8839,References!$B$3:$C$8,2,FALSE))),"")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2"/>
        <v>0</v>
      </c>
      <c r="T8840" s="98">
        <f t="shared" si="341"/>
        <v>0</v>
      </c>
      <c r="U8840" s="99" t="str">
        <f>IFERROR(IF(#REF!="S",VLOOKUP('Raw Data'!A8840,References!#REF!,2,FALSE),(VLOOKUP($S8840,References!$B$3:$C$8,2,FALSE))),"")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2"/>
        <v>0</v>
      </c>
      <c r="T8841" s="98">
        <f t="shared" si="341"/>
        <v>0</v>
      </c>
      <c r="U8841" s="99" t="str">
        <f>IFERROR(IF(#REF!="S",VLOOKUP('Raw Data'!A8841,References!#REF!,2,FALSE),(VLOOKUP($S8841,References!$B$3:$C$8,2,FALSE))),"")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2"/>
        <v>0</v>
      </c>
      <c r="T8842" s="98">
        <f t="shared" si="341"/>
        <v>0</v>
      </c>
      <c r="U8842" s="99" t="str">
        <f>IFERROR(IF(#REF!="S",VLOOKUP('Raw Data'!A8842,References!#REF!,2,FALSE),(VLOOKUP($S8842,References!$B$3:$C$8,2,FALSE))),"")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2"/>
        <v>0</v>
      </c>
      <c r="T8843" s="98">
        <f t="shared" si="341"/>
        <v>0</v>
      </c>
      <c r="U8843" s="99" t="str">
        <f>IFERROR(IF(#REF!="S",VLOOKUP('Raw Data'!A8843,References!#REF!,2,FALSE),(VLOOKUP($S8843,References!$B$3:$C$8,2,FALSE))),"")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2"/>
        <v>0</v>
      </c>
      <c r="T8844" s="98">
        <f t="shared" si="341"/>
        <v>0</v>
      </c>
      <c r="U8844" s="99" t="str">
        <f>IFERROR(IF(#REF!="S",VLOOKUP('Raw Data'!A8844,References!#REF!,2,FALSE),(VLOOKUP($S8844,References!$B$3:$C$8,2,FALSE))),"")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2"/>
        <v>0</v>
      </c>
      <c r="T8845" s="98">
        <f t="shared" si="341"/>
        <v>0</v>
      </c>
      <c r="U8845" s="99" t="str">
        <f>IFERROR(IF(#REF!="S",VLOOKUP('Raw Data'!A8845,References!#REF!,2,FALSE),(VLOOKUP($S8845,References!$B$3:$C$8,2,FALSE))),"")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2"/>
        <v>0</v>
      </c>
      <c r="T8846" s="98">
        <f t="shared" si="341"/>
        <v>0</v>
      </c>
      <c r="U8846" s="99" t="str">
        <f>IFERROR(IF(#REF!="S",VLOOKUP('Raw Data'!A8846,References!#REF!,2,FALSE),(VLOOKUP($S8846,References!$B$3:$C$8,2,FALSE))),"")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2"/>
        <v>0</v>
      </c>
      <c r="T8847" s="98">
        <f t="shared" si="341"/>
        <v>0</v>
      </c>
      <c r="U8847" s="99" t="str">
        <f>IFERROR(IF(#REF!="S",VLOOKUP('Raw Data'!A8847,References!#REF!,2,FALSE),(VLOOKUP($S8847,References!$B$3:$C$8,2,FALSE))),"")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2"/>
        <v>0</v>
      </c>
      <c r="T8848" s="98">
        <f t="shared" ref="T8848:T8911" si="343">IF(S8848="50 - Cleaning Fee",1,HOUR($R8848)+MINUTE(R8848)/60)</f>
        <v>0</v>
      </c>
      <c r="U8848" s="99" t="str">
        <f>IFERROR(IF(#REF!="S",VLOOKUP('Raw Data'!A8848,References!#REF!,2,FALSE),(VLOOKUP($S8848,References!$B$3:$C$8,2,FALSE))),"")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2"/>
        <v>0</v>
      </c>
      <c r="T8849" s="98">
        <f t="shared" si="343"/>
        <v>0</v>
      </c>
      <c r="U8849" s="99" t="str">
        <f>IFERROR(IF(#REF!="S",VLOOKUP('Raw Data'!A8849,References!#REF!,2,FALSE),(VLOOKUP($S8849,References!$B$3:$C$8,2,FALSE))),"")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2"/>
        <v>0</v>
      </c>
      <c r="T8850" s="98">
        <f t="shared" si="343"/>
        <v>0</v>
      </c>
      <c r="U8850" s="99" t="str">
        <f>IFERROR(IF(#REF!="S",VLOOKUP('Raw Data'!A8850,References!#REF!,2,FALSE),(VLOOKUP($S8850,References!$B$3:$C$8,2,FALSE))),"")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2"/>
        <v>0</v>
      </c>
      <c r="T8851" s="98">
        <f t="shared" si="343"/>
        <v>0</v>
      </c>
      <c r="U8851" s="99" t="str">
        <f>IFERROR(IF(#REF!="S",VLOOKUP('Raw Data'!A8851,References!#REF!,2,FALSE),(VLOOKUP($S8851,References!$B$3:$C$8,2,FALSE))),"")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2"/>
        <v>0</v>
      </c>
      <c r="T8852" s="98">
        <f t="shared" si="343"/>
        <v>0</v>
      </c>
      <c r="U8852" s="99" t="str">
        <f>IFERROR(IF(#REF!="S",VLOOKUP('Raw Data'!A8852,References!#REF!,2,FALSE),(VLOOKUP($S8852,References!$B$3:$C$8,2,FALSE))),"")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2"/>
        <v>0</v>
      </c>
      <c r="T8853" s="98">
        <f t="shared" si="343"/>
        <v>0</v>
      </c>
      <c r="U8853" s="99" t="str">
        <f>IFERROR(IF(#REF!="S",VLOOKUP('Raw Data'!A8853,References!#REF!,2,FALSE),(VLOOKUP($S8853,References!$B$3:$C$8,2,FALSE))),"")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2"/>
        <v>0</v>
      </c>
      <c r="T8854" s="98">
        <f t="shared" si="343"/>
        <v>0</v>
      </c>
      <c r="U8854" s="99" t="str">
        <f>IFERROR(IF(#REF!="S",VLOOKUP('Raw Data'!A8854,References!#REF!,2,FALSE),(VLOOKUP($S8854,References!$B$3:$C$8,2,FALSE))),"")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2"/>
        <v>0</v>
      </c>
      <c r="T8855" s="98">
        <f t="shared" si="343"/>
        <v>0</v>
      </c>
      <c r="U8855" s="99" t="str">
        <f>IFERROR(IF(#REF!="S",VLOOKUP('Raw Data'!A8855,References!#REF!,2,FALSE),(VLOOKUP($S8855,References!$B$3:$C$8,2,FALSE))),"")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2"/>
        <v>0</v>
      </c>
      <c r="T8856" s="98">
        <f t="shared" si="343"/>
        <v>0</v>
      </c>
      <c r="U8856" s="99" t="str">
        <f>IFERROR(IF(#REF!="S",VLOOKUP('Raw Data'!A8856,References!#REF!,2,FALSE),(VLOOKUP($S8856,References!$B$3:$C$8,2,FALSE))),"")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2"/>
        <v>0</v>
      </c>
      <c r="T8857" s="98">
        <f t="shared" si="343"/>
        <v>0</v>
      </c>
      <c r="U8857" s="99" t="str">
        <f>IFERROR(IF(#REF!="S",VLOOKUP('Raw Data'!A8857,References!#REF!,2,FALSE),(VLOOKUP($S8857,References!$B$3:$C$8,2,FALSE))),"")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2"/>
        <v>0</v>
      </c>
      <c r="T8858" s="98">
        <f t="shared" si="343"/>
        <v>0</v>
      </c>
      <c r="U8858" s="99" t="str">
        <f>IFERROR(IF(#REF!="S",VLOOKUP('Raw Data'!A8858,References!#REF!,2,FALSE),(VLOOKUP($S8858,References!$B$3:$C$8,2,FALSE))),"")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2"/>
        <v>0</v>
      </c>
      <c r="T8859" s="98">
        <f t="shared" si="343"/>
        <v>0</v>
      </c>
      <c r="U8859" s="99" t="str">
        <f>IFERROR(IF(#REF!="S",VLOOKUP('Raw Data'!A8859,References!#REF!,2,FALSE),(VLOOKUP($S8859,References!$B$3:$C$8,2,FALSE))),"")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2"/>
        <v>0</v>
      </c>
      <c r="T8860" s="98">
        <f t="shared" si="343"/>
        <v>0</v>
      </c>
      <c r="U8860" s="99" t="str">
        <f>IFERROR(IF(#REF!="S",VLOOKUP('Raw Data'!A8860,References!#REF!,2,FALSE),(VLOOKUP($S8860,References!$B$3:$C$8,2,FALSE))),"")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2"/>
        <v>0</v>
      </c>
      <c r="T8861" s="98">
        <f t="shared" si="343"/>
        <v>0</v>
      </c>
      <c r="U8861" s="99" t="str">
        <f>IFERROR(IF(#REF!="S",VLOOKUP('Raw Data'!A8861,References!#REF!,2,FALSE),(VLOOKUP($S8861,References!$B$3:$C$8,2,FALSE))),"")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2"/>
        <v>0</v>
      </c>
      <c r="T8862" s="98">
        <f t="shared" si="343"/>
        <v>0</v>
      </c>
      <c r="U8862" s="99" t="str">
        <f>IFERROR(IF(#REF!="S",VLOOKUP('Raw Data'!A8862,References!#REF!,2,FALSE),(VLOOKUP($S8862,References!$B$3:$C$8,2,FALSE))),"")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2"/>
        <v>0</v>
      </c>
      <c r="T8863" s="98">
        <f t="shared" si="343"/>
        <v>0</v>
      </c>
      <c r="U8863" s="99" t="str">
        <f>IFERROR(IF(#REF!="S",VLOOKUP('Raw Data'!A8863,References!#REF!,2,FALSE),(VLOOKUP($S8863,References!$B$3:$C$8,2,FALSE))),"")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2"/>
        <v>0</v>
      </c>
      <c r="T8864" s="98">
        <f t="shared" si="343"/>
        <v>0</v>
      </c>
      <c r="U8864" s="99" t="str">
        <f>IFERROR(IF(#REF!="S",VLOOKUP('Raw Data'!A8864,References!#REF!,2,FALSE),(VLOOKUP($S8864,References!$B$3:$C$8,2,FALSE))),"")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2"/>
        <v>0</v>
      </c>
      <c r="T8865" s="98">
        <f t="shared" si="343"/>
        <v>0</v>
      </c>
      <c r="U8865" s="99" t="str">
        <f>IFERROR(IF(#REF!="S",VLOOKUP('Raw Data'!A8865,References!#REF!,2,FALSE),(VLOOKUP($S8865,References!$B$3:$C$8,2,FALSE))),"")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2"/>
        <v>0</v>
      </c>
      <c r="T8866" s="98">
        <f t="shared" si="343"/>
        <v>0</v>
      </c>
      <c r="U8866" s="99" t="str">
        <f>IFERROR(IF(#REF!="S",VLOOKUP('Raw Data'!A8866,References!#REF!,2,FALSE),(VLOOKUP($S8866,References!$B$3:$C$8,2,FALSE))),"")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2"/>
        <v>0</v>
      </c>
      <c r="T8867" s="98">
        <f t="shared" si="343"/>
        <v>0</v>
      </c>
      <c r="U8867" s="99" t="str">
        <f>IFERROR(IF(#REF!="S",VLOOKUP('Raw Data'!A8867,References!#REF!,2,FALSE),(VLOOKUP($S8867,References!$B$3:$C$8,2,FALSE))),"")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2"/>
        <v>0</v>
      </c>
      <c r="T8868" s="98">
        <f t="shared" si="343"/>
        <v>0</v>
      </c>
      <c r="U8868" s="99" t="str">
        <f>IFERROR(IF(#REF!="S",VLOOKUP('Raw Data'!A8868,References!#REF!,2,FALSE),(VLOOKUP($S8868,References!$B$3:$C$8,2,FALSE))),"")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2"/>
        <v>0</v>
      </c>
      <c r="T8869" s="98">
        <f t="shared" si="343"/>
        <v>0</v>
      </c>
      <c r="U8869" s="99" t="str">
        <f>IFERROR(IF(#REF!="S",VLOOKUP('Raw Data'!A8869,References!#REF!,2,FALSE),(VLOOKUP($S8869,References!$B$3:$C$8,2,FALSE))),"")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2"/>
        <v>0</v>
      </c>
      <c r="T8870" s="98">
        <f t="shared" si="343"/>
        <v>0</v>
      </c>
      <c r="U8870" s="99" t="str">
        <f>IFERROR(IF(#REF!="S",VLOOKUP('Raw Data'!A8870,References!#REF!,2,FALSE),(VLOOKUP($S8870,References!$B$3:$C$8,2,FALSE))),"")</f>
        <v/>
      </c>
      <c r="W8870" s="66" t="str">
        <f>IFERROR(VLOOKUP($O8870,'Customer List'!$A$1:$J$488,10,FALSE),"")</f>
        <v/>
      </c>
    </row>
    <row r="8871" spans="18:23">
      <c r="R8871" s="97">
        <f t="shared" si="342"/>
        <v>0</v>
      </c>
      <c r="T8871" s="98">
        <f t="shared" si="343"/>
        <v>0</v>
      </c>
      <c r="U8871" s="99" t="str">
        <f>IFERROR(IF(#REF!="S",VLOOKUP('Raw Data'!A8871,References!#REF!,2,FALSE),(VLOOKUP($S8871,References!$B$3:$C$8,2,FALSE))),"")</f>
        <v/>
      </c>
      <c r="W8871" s="66" t="str">
        <f>IFERROR(VLOOKUP($O8871,'Customer List'!$A$1:$J$488,10,FALSE),"")</f>
        <v/>
      </c>
    </row>
    <row r="8872" spans="18:23">
      <c r="R8872" s="97">
        <f t="shared" ref="R8872:R8935" si="344">L8872-K8872</f>
        <v>0</v>
      </c>
      <c r="T8872" s="98">
        <f t="shared" si="343"/>
        <v>0</v>
      </c>
      <c r="U8872" s="99" t="str">
        <f>IFERROR(IF(#REF!="S",VLOOKUP('Raw Data'!A8872,References!#REF!,2,FALSE),(VLOOKUP($S8872,References!$B$3:$C$8,2,FALSE))),"")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4"/>
        <v>0</v>
      </c>
      <c r="T8873" s="98">
        <f t="shared" si="343"/>
        <v>0</v>
      </c>
      <c r="U8873" s="99" t="str">
        <f>IFERROR(IF(#REF!="S",VLOOKUP('Raw Data'!A8873,References!#REF!,2,FALSE),(VLOOKUP($S8873,References!$B$3:$C$8,2,FALSE))),"")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4"/>
        <v>0</v>
      </c>
      <c r="T8874" s="98">
        <f t="shared" si="343"/>
        <v>0</v>
      </c>
      <c r="U8874" s="99" t="str">
        <f>IFERROR(IF(#REF!="S",VLOOKUP('Raw Data'!A8874,References!#REF!,2,FALSE),(VLOOKUP($S8874,References!$B$3:$C$8,2,FALSE))),"")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4"/>
        <v>0</v>
      </c>
      <c r="T8875" s="98">
        <f t="shared" si="343"/>
        <v>0</v>
      </c>
      <c r="U8875" s="99" t="str">
        <f>IFERROR(IF(#REF!="S",VLOOKUP('Raw Data'!A8875,References!#REF!,2,FALSE),(VLOOKUP($S8875,References!$B$3:$C$8,2,FALSE))),"")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4"/>
        <v>0</v>
      </c>
      <c r="T8876" s="98">
        <f t="shared" si="343"/>
        <v>0</v>
      </c>
      <c r="U8876" s="99" t="str">
        <f>IFERROR(IF(#REF!="S",VLOOKUP('Raw Data'!A8876,References!#REF!,2,FALSE),(VLOOKUP($S8876,References!$B$3:$C$8,2,FALSE))),"")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4"/>
        <v>0</v>
      </c>
      <c r="T8877" s="98">
        <f t="shared" si="343"/>
        <v>0</v>
      </c>
      <c r="U8877" s="99" t="str">
        <f>IFERROR(IF(#REF!="S",VLOOKUP('Raw Data'!A8877,References!#REF!,2,FALSE),(VLOOKUP($S8877,References!$B$3:$C$8,2,FALSE))),"")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4"/>
        <v>0</v>
      </c>
      <c r="T8878" s="98">
        <f t="shared" si="343"/>
        <v>0</v>
      </c>
      <c r="U8878" s="99" t="str">
        <f>IFERROR(IF(#REF!="S",VLOOKUP('Raw Data'!A8878,References!#REF!,2,FALSE),(VLOOKUP($S8878,References!$B$3:$C$8,2,FALSE))),"")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4"/>
        <v>0</v>
      </c>
      <c r="T8879" s="98">
        <f t="shared" si="343"/>
        <v>0</v>
      </c>
      <c r="U8879" s="99" t="str">
        <f>IFERROR(IF(#REF!="S",VLOOKUP('Raw Data'!A8879,References!#REF!,2,FALSE),(VLOOKUP($S8879,References!$B$3:$C$8,2,FALSE))),"")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4"/>
        <v>0</v>
      </c>
      <c r="T8880" s="98">
        <f t="shared" si="343"/>
        <v>0</v>
      </c>
      <c r="U8880" s="99" t="str">
        <f>IFERROR(IF(#REF!="S",VLOOKUP('Raw Data'!A8880,References!#REF!,2,FALSE),(VLOOKUP($S8880,References!$B$3:$C$8,2,FALSE))),"")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4"/>
        <v>0</v>
      </c>
      <c r="T8881" s="98">
        <f t="shared" si="343"/>
        <v>0</v>
      </c>
      <c r="U8881" s="99" t="str">
        <f>IFERROR(IF(#REF!="S",VLOOKUP('Raw Data'!A8881,References!#REF!,2,FALSE),(VLOOKUP($S8881,References!$B$3:$C$8,2,FALSE))),"")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4"/>
        <v>0</v>
      </c>
      <c r="T8882" s="98">
        <f t="shared" si="343"/>
        <v>0</v>
      </c>
      <c r="U8882" s="99" t="str">
        <f>IFERROR(IF(#REF!="S",VLOOKUP('Raw Data'!A8882,References!#REF!,2,FALSE),(VLOOKUP($S8882,References!$B$3:$C$8,2,FALSE))),"")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4"/>
        <v>0</v>
      </c>
      <c r="T8883" s="98">
        <f t="shared" si="343"/>
        <v>0</v>
      </c>
      <c r="U8883" s="99" t="str">
        <f>IFERROR(IF(#REF!="S",VLOOKUP('Raw Data'!A8883,References!#REF!,2,FALSE),(VLOOKUP($S8883,References!$B$3:$C$8,2,FALSE))),"")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4"/>
        <v>0</v>
      </c>
      <c r="T8884" s="98">
        <f t="shared" si="343"/>
        <v>0</v>
      </c>
      <c r="U8884" s="99" t="str">
        <f>IFERROR(IF(#REF!="S",VLOOKUP('Raw Data'!A8884,References!#REF!,2,FALSE),(VLOOKUP($S8884,References!$B$3:$C$8,2,FALSE))),"")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4"/>
        <v>0</v>
      </c>
      <c r="T8885" s="98">
        <f t="shared" si="343"/>
        <v>0</v>
      </c>
      <c r="U8885" s="99" t="str">
        <f>IFERROR(IF(#REF!="S",VLOOKUP('Raw Data'!A8885,References!#REF!,2,FALSE),(VLOOKUP($S8885,References!$B$3:$C$8,2,FALSE))),"")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4"/>
        <v>0</v>
      </c>
      <c r="T8886" s="98">
        <f t="shared" si="343"/>
        <v>0</v>
      </c>
      <c r="U8886" s="99" t="str">
        <f>IFERROR(IF(#REF!="S",VLOOKUP('Raw Data'!A8886,References!#REF!,2,FALSE),(VLOOKUP($S8886,References!$B$3:$C$8,2,FALSE))),"")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4"/>
        <v>0</v>
      </c>
      <c r="T8887" s="98">
        <f t="shared" si="343"/>
        <v>0</v>
      </c>
      <c r="U8887" s="99" t="str">
        <f>IFERROR(IF(#REF!="S",VLOOKUP('Raw Data'!A8887,References!#REF!,2,FALSE),(VLOOKUP($S8887,References!$B$3:$C$8,2,FALSE))),"")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4"/>
        <v>0</v>
      </c>
      <c r="T8888" s="98">
        <f t="shared" si="343"/>
        <v>0</v>
      </c>
      <c r="U8888" s="99" t="str">
        <f>IFERROR(IF(#REF!="S",VLOOKUP('Raw Data'!A8888,References!#REF!,2,FALSE),(VLOOKUP($S8888,References!$B$3:$C$8,2,FALSE))),"")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4"/>
        <v>0</v>
      </c>
      <c r="T8889" s="98">
        <f t="shared" si="343"/>
        <v>0</v>
      </c>
      <c r="U8889" s="99" t="str">
        <f>IFERROR(IF(#REF!="S",VLOOKUP('Raw Data'!A8889,References!#REF!,2,FALSE),(VLOOKUP($S8889,References!$B$3:$C$8,2,FALSE))),"")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4"/>
        <v>0</v>
      </c>
      <c r="T8890" s="98">
        <f t="shared" si="343"/>
        <v>0</v>
      </c>
      <c r="U8890" s="99" t="str">
        <f>IFERROR(IF(#REF!="S",VLOOKUP('Raw Data'!A8890,References!#REF!,2,FALSE),(VLOOKUP($S8890,References!$B$3:$C$8,2,FALSE))),"")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4"/>
        <v>0</v>
      </c>
      <c r="T8891" s="98">
        <f t="shared" si="343"/>
        <v>0</v>
      </c>
      <c r="U8891" s="99" t="str">
        <f>IFERROR(IF(#REF!="S",VLOOKUP('Raw Data'!A8891,References!#REF!,2,FALSE),(VLOOKUP($S8891,References!$B$3:$C$8,2,FALSE))),"")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4"/>
        <v>0</v>
      </c>
      <c r="T8892" s="98">
        <f t="shared" si="343"/>
        <v>0</v>
      </c>
      <c r="U8892" s="99" t="str">
        <f>IFERROR(IF(#REF!="S",VLOOKUP('Raw Data'!A8892,References!#REF!,2,FALSE),(VLOOKUP($S8892,References!$B$3:$C$8,2,FALSE))),"")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4"/>
        <v>0</v>
      </c>
      <c r="T8893" s="98">
        <f t="shared" si="343"/>
        <v>0</v>
      </c>
      <c r="U8893" s="99" t="str">
        <f>IFERROR(IF(#REF!="S",VLOOKUP('Raw Data'!A8893,References!#REF!,2,FALSE),(VLOOKUP($S8893,References!$B$3:$C$8,2,FALSE))),"")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4"/>
        <v>0</v>
      </c>
      <c r="T8894" s="98">
        <f t="shared" si="343"/>
        <v>0</v>
      </c>
      <c r="U8894" s="99" t="str">
        <f>IFERROR(IF(#REF!="S",VLOOKUP('Raw Data'!A8894,References!#REF!,2,FALSE),(VLOOKUP($S8894,References!$B$3:$C$8,2,FALSE))),"")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4"/>
        <v>0</v>
      </c>
      <c r="T8895" s="98">
        <f t="shared" si="343"/>
        <v>0</v>
      </c>
      <c r="U8895" s="99" t="str">
        <f>IFERROR(IF(#REF!="S",VLOOKUP('Raw Data'!A8895,References!#REF!,2,FALSE),(VLOOKUP($S8895,References!$B$3:$C$8,2,FALSE))),"")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4"/>
        <v>0</v>
      </c>
      <c r="T8896" s="98">
        <f t="shared" si="343"/>
        <v>0</v>
      </c>
      <c r="U8896" s="99" t="str">
        <f>IFERROR(IF(#REF!="S",VLOOKUP('Raw Data'!A8896,References!#REF!,2,FALSE),(VLOOKUP($S8896,References!$B$3:$C$8,2,FALSE))),"")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4"/>
        <v>0</v>
      </c>
      <c r="T8897" s="98">
        <f t="shared" si="343"/>
        <v>0</v>
      </c>
      <c r="U8897" s="99" t="str">
        <f>IFERROR(IF(#REF!="S",VLOOKUP('Raw Data'!A8897,References!#REF!,2,FALSE),(VLOOKUP($S8897,References!$B$3:$C$8,2,FALSE))),"")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4"/>
        <v>0</v>
      </c>
      <c r="T8898" s="98">
        <f t="shared" si="343"/>
        <v>0</v>
      </c>
      <c r="U8898" s="99" t="str">
        <f>IFERROR(IF(#REF!="S",VLOOKUP('Raw Data'!A8898,References!#REF!,2,FALSE),(VLOOKUP($S8898,References!$B$3:$C$8,2,FALSE))),"")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4"/>
        <v>0</v>
      </c>
      <c r="T8899" s="98">
        <f t="shared" si="343"/>
        <v>0</v>
      </c>
      <c r="U8899" s="99" t="str">
        <f>IFERROR(IF(#REF!="S",VLOOKUP('Raw Data'!A8899,References!#REF!,2,FALSE),(VLOOKUP($S8899,References!$B$3:$C$8,2,FALSE))),"")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4"/>
        <v>0</v>
      </c>
      <c r="T8900" s="98">
        <f t="shared" si="343"/>
        <v>0</v>
      </c>
      <c r="U8900" s="99" t="str">
        <f>IFERROR(IF(#REF!="S",VLOOKUP('Raw Data'!A8900,References!#REF!,2,FALSE),(VLOOKUP($S8900,References!$B$3:$C$8,2,FALSE))),"")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4"/>
        <v>0</v>
      </c>
      <c r="T8901" s="98">
        <f t="shared" si="343"/>
        <v>0</v>
      </c>
      <c r="U8901" s="99" t="str">
        <f>IFERROR(IF(#REF!="S",VLOOKUP('Raw Data'!A8901,References!#REF!,2,FALSE),(VLOOKUP($S8901,References!$B$3:$C$8,2,FALSE))),"")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4"/>
        <v>0</v>
      </c>
      <c r="T8902" s="98">
        <f t="shared" si="343"/>
        <v>0</v>
      </c>
      <c r="U8902" s="99" t="str">
        <f>IFERROR(IF(#REF!="S",VLOOKUP('Raw Data'!A8902,References!#REF!,2,FALSE),(VLOOKUP($S8902,References!$B$3:$C$8,2,FALSE))),"")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4"/>
        <v>0</v>
      </c>
      <c r="T8903" s="98">
        <f t="shared" si="343"/>
        <v>0</v>
      </c>
      <c r="U8903" s="99" t="str">
        <f>IFERROR(IF(#REF!="S",VLOOKUP('Raw Data'!A8903,References!#REF!,2,FALSE),(VLOOKUP($S8903,References!$B$3:$C$8,2,FALSE))),"")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4"/>
        <v>0</v>
      </c>
      <c r="T8904" s="98">
        <f t="shared" si="343"/>
        <v>0</v>
      </c>
      <c r="U8904" s="99" t="str">
        <f>IFERROR(IF(#REF!="S",VLOOKUP('Raw Data'!A8904,References!#REF!,2,FALSE),(VLOOKUP($S8904,References!$B$3:$C$8,2,FALSE))),"")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4"/>
        <v>0</v>
      </c>
      <c r="T8905" s="98">
        <f t="shared" si="343"/>
        <v>0</v>
      </c>
      <c r="U8905" s="99" t="str">
        <f>IFERROR(IF(#REF!="S",VLOOKUP('Raw Data'!A8905,References!#REF!,2,FALSE),(VLOOKUP($S8905,References!$B$3:$C$8,2,FALSE))),"")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4"/>
        <v>0</v>
      </c>
      <c r="T8906" s="98">
        <f t="shared" si="343"/>
        <v>0</v>
      </c>
      <c r="U8906" s="99" t="str">
        <f>IFERROR(IF(#REF!="S",VLOOKUP('Raw Data'!A8906,References!#REF!,2,FALSE),(VLOOKUP($S8906,References!$B$3:$C$8,2,FALSE))),"")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4"/>
        <v>0</v>
      </c>
      <c r="T8907" s="98">
        <f t="shared" si="343"/>
        <v>0</v>
      </c>
      <c r="U8907" s="99" t="str">
        <f>IFERROR(IF(#REF!="S",VLOOKUP('Raw Data'!A8907,References!#REF!,2,FALSE),(VLOOKUP($S8907,References!$B$3:$C$8,2,FALSE))),"")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4"/>
        <v>0</v>
      </c>
      <c r="T8908" s="98">
        <f t="shared" si="343"/>
        <v>0</v>
      </c>
      <c r="U8908" s="99" t="str">
        <f>IFERROR(IF(#REF!="S",VLOOKUP('Raw Data'!A8908,References!#REF!,2,FALSE),(VLOOKUP($S8908,References!$B$3:$C$8,2,FALSE))),"")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4"/>
        <v>0</v>
      </c>
      <c r="T8909" s="98">
        <f t="shared" si="343"/>
        <v>0</v>
      </c>
      <c r="U8909" s="99" t="str">
        <f>IFERROR(IF(#REF!="S",VLOOKUP('Raw Data'!A8909,References!#REF!,2,FALSE),(VLOOKUP($S8909,References!$B$3:$C$8,2,FALSE))),"")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4"/>
        <v>0</v>
      </c>
      <c r="T8910" s="98">
        <f t="shared" si="343"/>
        <v>0</v>
      </c>
      <c r="U8910" s="99" t="str">
        <f>IFERROR(IF(#REF!="S",VLOOKUP('Raw Data'!A8910,References!#REF!,2,FALSE),(VLOOKUP($S8910,References!$B$3:$C$8,2,FALSE))),"")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4"/>
        <v>0</v>
      </c>
      <c r="T8911" s="98">
        <f t="shared" si="343"/>
        <v>0</v>
      </c>
      <c r="U8911" s="99" t="str">
        <f>IFERROR(IF(#REF!="S",VLOOKUP('Raw Data'!A8911,References!#REF!,2,FALSE),(VLOOKUP($S8911,References!$B$3:$C$8,2,FALSE))),"")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4"/>
        <v>0</v>
      </c>
      <c r="T8912" s="98">
        <f t="shared" ref="T8912:T8975" si="345">IF(S8912="50 - Cleaning Fee",1,HOUR($R8912)+MINUTE(R8912)/60)</f>
        <v>0</v>
      </c>
      <c r="U8912" s="99" t="str">
        <f>IFERROR(IF(#REF!="S",VLOOKUP('Raw Data'!A8912,References!#REF!,2,FALSE),(VLOOKUP($S8912,References!$B$3:$C$8,2,FALSE))),"")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4"/>
        <v>0</v>
      </c>
      <c r="T8913" s="98">
        <f t="shared" si="345"/>
        <v>0</v>
      </c>
      <c r="U8913" s="99" t="str">
        <f>IFERROR(IF(#REF!="S",VLOOKUP('Raw Data'!A8913,References!#REF!,2,FALSE),(VLOOKUP($S8913,References!$B$3:$C$8,2,FALSE))),"")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4"/>
        <v>0</v>
      </c>
      <c r="T8914" s="98">
        <f t="shared" si="345"/>
        <v>0</v>
      </c>
      <c r="U8914" s="99" t="str">
        <f>IFERROR(IF(#REF!="S",VLOOKUP('Raw Data'!A8914,References!#REF!,2,FALSE),(VLOOKUP($S8914,References!$B$3:$C$8,2,FALSE))),"")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4"/>
        <v>0</v>
      </c>
      <c r="T8915" s="98">
        <f t="shared" si="345"/>
        <v>0</v>
      </c>
      <c r="U8915" s="99" t="str">
        <f>IFERROR(IF(#REF!="S",VLOOKUP('Raw Data'!A8915,References!#REF!,2,FALSE),(VLOOKUP($S8915,References!$B$3:$C$8,2,FALSE))),"")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4"/>
        <v>0</v>
      </c>
      <c r="T8916" s="98">
        <f t="shared" si="345"/>
        <v>0</v>
      </c>
      <c r="U8916" s="99" t="str">
        <f>IFERROR(IF(#REF!="S",VLOOKUP('Raw Data'!A8916,References!#REF!,2,FALSE),(VLOOKUP($S8916,References!$B$3:$C$8,2,FALSE))),"")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4"/>
        <v>0</v>
      </c>
      <c r="T8917" s="98">
        <f t="shared" si="345"/>
        <v>0</v>
      </c>
      <c r="U8917" s="99" t="str">
        <f>IFERROR(IF(#REF!="S",VLOOKUP('Raw Data'!A8917,References!#REF!,2,FALSE),(VLOOKUP($S8917,References!$B$3:$C$8,2,FALSE))),"")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4"/>
        <v>0</v>
      </c>
      <c r="T8918" s="98">
        <f t="shared" si="345"/>
        <v>0</v>
      </c>
      <c r="U8918" s="99" t="str">
        <f>IFERROR(IF(#REF!="S",VLOOKUP('Raw Data'!A8918,References!#REF!,2,FALSE),(VLOOKUP($S8918,References!$B$3:$C$8,2,FALSE))),"")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4"/>
        <v>0</v>
      </c>
      <c r="T8919" s="98">
        <f t="shared" si="345"/>
        <v>0</v>
      </c>
      <c r="U8919" s="99" t="str">
        <f>IFERROR(IF(#REF!="S",VLOOKUP('Raw Data'!A8919,References!#REF!,2,FALSE),(VLOOKUP($S8919,References!$B$3:$C$8,2,FALSE))),"")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4"/>
        <v>0</v>
      </c>
      <c r="T8920" s="98">
        <f t="shared" si="345"/>
        <v>0</v>
      </c>
      <c r="U8920" s="99" t="str">
        <f>IFERROR(IF(#REF!="S",VLOOKUP('Raw Data'!A8920,References!#REF!,2,FALSE),(VLOOKUP($S8920,References!$B$3:$C$8,2,FALSE))),"")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4"/>
        <v>0</v>
      </c>
      <c r="T8921" s="98">
        <f t="shared" si="345"/>
        <v>0</v>
      </c>
      <c r="U8921" s="99" t="str">
        <f>IFERROR(IF(#REF!="S",VLOOKUP('Raw Data'!A8921,References!#REF!,2,FALSE),(VLOOKUP($S8921,References!$B$3:$C$8,2,FALSE))),"")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4"/>
        <v>0</v>
      </c>
      <c r="T8922" s="98">
        <f t="shared" si="345"/>
        <v>0</v>
      </c>
      <c r="U8922" s="99" t="str">
        <f>IFERROR(IF(#REF!="S",VLOOKUP('Raw Data'!A8922,References!#REF!,2,FALSE),(VLOOKUP($S8922,References!$B$3:$C$8,2,FALSE))),"")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4"/>
        <v>0</v>
      </c>
      <c r="T8923" s="98">
        <f t="shared" si="345"/>
        <v>0</v>
      </c>
      <c r="U8923" s="99" t="str">
        <f>IFERROR(IF(#REF!="S",VLOOKUP('Raw Data'!A8923,References!#REF!,2,FALSE),(VLOOKUP($S8923,References!$B$3:$C$8,2,FALSE))),"")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4"/>
        <v>0</v>
      </c>
      <c r="T8924" s="98">
        <f t="shared" si="345"/>
        <v>0</v>
      </c>
      <c r="U8924" s="99" t="str">
        <f>IFERROR(IF(#REF!="S",VLOOKUP('Raw Data'!A8924,References!#REF!,2,FALSE),(VLOOKUP($S8924,References!$B$3:$C$8,2,FALSE))),"")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4"/>
        <v>0</v>
      </c>
      <c r="T8925" s="98">
        <f t="shared" si="345"/>
        <v>0</v>
      </c>
      <c r="U8925" s="99" t="str">
        <f>IFERROR(IF(#REF!="S",VLOOKUP('Raw Data'!A8925,References!#REF!,2,FALSE),(VLOOKUP($S8925,References!$B$3:$C$8,2,FALSE))),"")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4"/>
        <v>0</v>
      </c>
      <c r="T8926" s="98">
        <f t="shared" si="345"/>
        <v>0</v>
      </c>
      <c r="U8926" s="99" t="str">
        <f>IFERROR(IF(#REF!="S",VLOOKUP('Raw Data'!A8926,References!#REF!,2,FALSE),(VLOOKUP($S8926,References!$B$3:$C$8,2,FALSE))),"")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4"/>
        <v>0</v>
      </c>
      <c r="T8927" s="98">
        <f t="shared" si="345"/>
        <v>0</v>
      </c>
      <c r="U8927" s="99" t="str">
        <f>IFERROR(IF(#REF!="S",VLOOKUP('Raw Data'!A8927,References!#REF!,2,FALSE),(VLOOKUP($S8927,References!$B$3:$C$8,2,FALSE))),"")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4"/>
        <v>0</v>
      </c>
      <c r="T8928" s="98">
        <f t="shared" si="345"/>
        <v>0</v>
      </c>
      <c r="U8928" s="99" t="str">
        <f>IFERROR(IF(#REF!="S",VLOOKUP('Raw Data'!A8928,References!#REF!,2,FALSE),(VLOOKUP($S8928,References!$B$3:$C$8,2,FALSE))),"")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4"/>
        <v>0</v>
      </c>
      <c r="T8929" s="98">
        <f t="shared" si="345"/>
        <v>0</v>
      </c>
      <c r="U8929" s="99" t="str">
        <f>IFERROR(IF(#REF!="S",VLOOKUP('Raw Data'!A8929,References!#REF!,2,FALSE),(VLOOKUP($S8929,References!$B$3:$C$8,2,FALSE))),"")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4"/>
        <v>0</v>
      </c>
      <c r="T8930" s="98">
        <f t="shared" si="345"/>
        <v>0</v>
      </c>
      <c r="U8930" s="99" t="str">
        <f>IFERROR(IF(#REF!="S",VLOOKUP('Raw Data'!A8930,References!#REF!,2,FALSE),(VLOOKUP($S8930,References!$B$3:$C$8,2,FALSE))),"")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4"/>
        <v>0</v>
      </c>
      <c r="T8931" s="98">
        <f t="shared" si="345"/>
        <v>0</v>
      </c>
      <c r="U8931" s="99" t="str">
        <f>IFERROR(IF(#REF!="S",VLOOKUP('Raw Data'!A8931,References!#REF!,2,FALSE),(VLOOKUP($S8931,References!$B$3:$C$8,2,FALSE))),"")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4"/>
        <v>0</v>
      </c>
      <c r="T8932" s="98">
        <f t="shared" si="345"/>
        <v>0</v>
      </c>
      <c r="U8932" s="99" t="str">
        <f>IFERROR(IF(#REF!="S",VLOOKUP('Raw Data'!A8932,References!#REF!,2,FALSE),(VLOOKUP($S8932,References!$B$3:$C$8,2,FALSE))),"")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4"/>
        <v>0</v>
      </c>
      <c r="T8933" s="98">
        <f t="shared" si="345"/>
        <v>0</v>
      </c>
      <c r="U8933" s="99" t="str">
        <f>IFERROR(IF(#REF!="S",VLOOKUP('Raw Data'!A8933,References!#REF!,2,FALSE),(VLOOKUP($S8933,References!$B$3:$C$8,2,FALSE))),"")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4"/>
        <v>0</v>
      </c>
      <c r="T8934" s="98">
        <f t="shared" si="345"/>
        <v>0</v>
      </c>
      <c r="U8934" s="99" t="str">
        <f>IFERROR(IF(#REF!="S",VLOOKUP('Raw Data'!A8934,References!#REF!,2,FALSE),(VLOOKUP($S8934,References!$B$3:$C$8,2,FALSE))),"")</f>
        <v/>
      </c>
      <c r="W8934" s="66" t="str">
        <f>IFERROR(VLOOKUP($O8934,'Customer List'!$A$1:$J$488,10,FALSE),"")</f>
        <v/>
      </c>
    </row>
    <row r="8935" spans="18:23">
      <c r="R8935" s="97">
        <f t="shared" si="344"/>
        <v>0</v>
      </c>
      <c r="T8935" s="98">
        <f t="shared" si="345"/>
        <v>0</v>
      </c>
      <c r="U8935" s="99" t="str">
        <f>IFERROR(IF(#REF!="S",VLOOKUP('Raw Data'!A8935,References!#REF!,2,FALSE),(VLOOKUP($S8935,References!$B$3:$C$8,2,FALSE))),"")</f>
        <v/>
      </c>
      <c r="W8935" s="66" t="str">
        <f>IFERROR(VLOOKUP($O8935,'Customer List'!$A$1:$J$488,10,FALSE),"")</f>
        <v/>
      </c>
    </row>
    <row r="8936" spans="18:23">
      <c r="R8936" s="97">
        <f t="shared" ref="R8936:R8999" si="346">L8936-K8936</f>
        <v>0</v>
      </c>
      <c r="T8936" s="98">
        <f t="shared" si="345"/>
        <v>0</v>
      </c>
      <c r="U8936" s="99" t="str">
        <f>IFERROR(IF(#REF!="S",VLOOKUP('Raw Data'!A8936,References!#REF!,2,FALSE),(VLOOKUP($S8936,References!$B$3:$C$8,2,FALSE))),"")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6"/>
        <v>0</v>
      </c>
      <c r="T8937" s="98">
        <f t="shared" si="345"/>
        <v>0</v>
      </c>
      <c r="U8937" s="99" t="str">
        <f>IFERROR(IF(#REF!="S",VLOOKUP('Raw Data'!A8937,References!#REF!,2,FALSE),(VLOOKUP($S8937,References!$B$3:$C$8,2,FALSE))),"")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6"/>
        <v>0</v>
      </c>
      <c r="T8938" s="98">
        <f t="shared" si="345"/>
        <v>0</v>
      </c>
      <c r="U8938" s="99" t="str">
        <f>IFERROR(IF(#REF!="S",VLOOKUP('Raw Data'!A8938,References!#REF!,2,FALSE),(VLOOKUP($S8938,References!$B$3:$C$8,2,FALSE))),"")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6"/>
        <v>0</v>
      </c>
      <c r="T8939" s="98">
        <f t="shared" si="345"/>
        <v>0</v>
      </c>
      <c r="U8939" s="99" t="str">
        <f>IFERROR(IF(#REF!="S",VLOOKUP('Raw Data'!A8939,References!#REF!,2,FALSE),(VLOOKUP($S8939,References!$B$3:$C$8,2,FALSE))),"")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6"/>
        <v>0</v>
      </c>
      <c r="T8940" s="98">
        <f t="shared" si="345"/>
        <v>0</v>
      </c>
      <c r="U8940" s="99" t="str">
        <f>IFERROR(IF(#REF!="S",VLOOKUP('Raw Data'!A8940,References!#REF!,2,FALSE),(VLOOKUP($S8940,References!$B$3:$C$8,2,FALSE))),"")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6"/>
        <v>0</v>
      </c>
      <c r="T8941" s="98">
        <f t="shared" si="345"/>
        <v>0</v>
      </c>
      <c r="U8941" s="99" t="str">
        <f>IFERROR(IF(#REF!="S",VLOOKUP('Raw Data'!A8941,References!#REF!,2,FALSE),(VLOOKUP($S8941,References!$B$3:$C$8,2,FALSE))),"")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6"/>
        <v>0</v>
      </c>
      <c r="T8942" s="98">
        <f t="shared" si="345"/>
        <v>0</v>
      </c>
      <c r="U8942" s="99" t="str">
        <f>IFERROR(IF(#REF!="S",VLOOKUP('Raw Data'!A8942,References!#REF!,2,FALSE),(VLOOKUP($S8942,References!$B$3:$C$8,2,FALSE))),"")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6"/>
        <v>0</v>
      </c>
      <c r="T8943" s="98">
        <f t="shared" si="345"/>
        <v>0</v>
      </c>
      <c r="U8943" s="99" t="str">
        <f>IFERROR(IF(#REF!="S",VLOOKUP('Raw Data'!A8943,References!#REF!,2,FALSE),(VLOOKUP($S8943,References!$B$3:$C$8,2,FALSE))),"")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6"/>
        <v>0</v>
      </c>
      <c r="T8944" s="98">
        <f t="shared" si="345"/>
        <v>0</v>
      </c>
      <c r="U8944" s="99" t="str">
        <f>IFERROR(IF(#REF!="S",VLOOKUP('Raw Data'!A8944,References!#REF!,2,FALSE),(VLOOKUP($S8944,References!$B$3:$C$8,2,FALSE))),"")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6"/>
        <v>0</v>
      </c>
      <c r="T8945" s="98">
        <f t="shared" si="345"/>
        <v>0</v>
      </c>
      <c r="U8945" s="99" t="str">
        <f>IFERROR(IF(#REF!="S",VLOOKUP('Raw Data'!A8945,References!#REF!,2,FALSE),(VLOOKUP($S8945,References!$B$3:$C$8,2,FALSE))),"")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6"/>
        <v>0</v>
      </c>
      <c r="T8946" s="98">
        <f t="shared" si="345"/>
        <v>0</v>
      </c>
      <c r="U8946" s="99" t="str">
        <f>IFERROR(IF(#REF!="S",VLOOKUP('Raw Data'!A8946,References!#REF!,2,FALSE),(VLOOKUP($S8946,References!$B$3:$C$8,2,FALSE))),"")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6"/>
        <v>0</v>
      </c>
      <c r="T8947" s="98">
        <f t="shared" si="345"/>
        <v>0</v>
      </c>
      <c r="U8947" s="99" t="str">
        <f>IFERROR(IF(#REF!="S",VLOOKUP('Raw Data'!A8947,References!#REF!,2,FALSE),(VLOOKUP($S8947,References!$B$3:$C$8,2,FALSE))),"")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6"/>
        <v>0</v>
      </c>
      <c r="T8948" s="98">
        <f t="shared" si="345"/>
        <v>0</v>
      </c>
      <c r="U8948" s="99" t="str">
        <f>IFERROR(IF(#REF!="S",VLOOKUP('Raw Data'!A8948,References!#REF!,2,FALSE),(VLOOKUP($S8948,References!$B$3:$C$8,2,FALSE))),"")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6"/>
        <v>0</v>
      </c>
      <c r="T8949" s="98">
        <f t="shared" si="345"/>
        <v>0</v>
      </c>
      <c r="U8949" s="99" t="str">
        <f>IFERROR(IF(#REF!="S",VLOOKUP('Raw Data'!A8949,References!#REF!,2,FALSE),(VLOOKUP($S8949,References!$B$3:$C$8,2,FALSE))),"")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6"/>
        <v>0</v>
      </c>
      <c r="T8950" s="98">
        <f t="shared" si="345"/>
        <v>0</v>
      </c>
      <c r="U8950" s="99" t="str">
        <f>IFERROR(IF(#REF!="S",VLOOKUP('Raw Data'!A8950,References!#REF!,2,FALSE),(VLOOKUP($S8950,References!$B$3:$C$8,2,FALSE))),"")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6"/>
        <v>0</v>
      </c>
      <c r="T8951" s="98">
        <f t="shared" si="345"/>
        <v>0</v>
      </c>
      <c r="U8951" s="99" t="str">
        <f>IFERROR(IF(#REF!="S",VLOOKUP('Raw Data'!A8951,References!#REF!,2,FALSE),(VLOOKUP($S8951,References!$B$3:$C$8,2,FALSE))),"")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6"/>
        <v>0</v>
      </c>
      <c r="T8952" s="98">
        <f t="shared" si="345"/>
        <v>0</v>
      </c>
      <c r="U8952" s="99" t="str">
        <f>IFERROR(IF(#REF!="S",VLOOKUP('Raw Data'!A8952,References!#REF!,2,FALSE),(VLOOKUP($S8952,References!$B$3:$C$8,2,FALSE))),"")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6"/>
        <v>0</v>
      </c>
      <c r="T8953" s="98">
        <f t="shared" si="345"/>
        <v>0</v>
      </c>
      <c r="U8953" s="99" t="str">
        <f>IFERROR(IF(#REF!="S",VLOOKUP('Raw Data'!A8953,References!#REF!,2,FALSE),(VLOOKUP($S8953,References!$B$3:$C$8,2,FALSE))),"")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6"/>
        <v>0</v>
      </c>
      <c r="T8954" s="98">
        <f t="shared" si="345"/>
        <v>0</v>
      </c>
      <c r="U8954" s="99" t="str">
        <f>IFERROR(IF(#REF!="S",VLOOKUP('Raw Data'!A8954,References!#REF!,2,FALSE),(VLOOKUP($S8954,References!$B$3:$C$8,2,FALSE))),"")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6"/>
        <v>0</v>
      </c>
      <c r="T8955" s="98">
        <f t="shared" si="345"/>
        <v>0</v>
      </c>
      <c r="U8955" s="99" t="str">
        <f>IFERROR(IF(#REF!="S",VLOOKUP('Raw Data'!A8955,References!#REF!,2,FALSE),(VLOOKUP($S8955,References!$B$3:$C$8,2,FALSE))),"")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6"/>
        <v>0</v>
      </c>
      <c r="T8956" s="98">
        <f t="shared" si="345"/>
        <v>0</v>
      </c>
      <c r="U8956" s="99" t="str">
        <f>IFERROR(IF(#REF!="S",VLOOKUP('Raw Data'!A8956,References!#REF!,2,FALSE),(VLOOKUP($S8956,References!$B$3:$C$8,2,FALSE))),"")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6"/>
        <v>0</v>
      </c>
      <c r="T8957" s="98">
        <f t="shared" si="345"/>
        <v>0</v>
      </c>
      <c r="U8957" s="99" t="str">
        <f>IFERROR(IF(#REF!="S",VLOOKUP('Raw Data'!A8957,References!#REF!,2,FALSE),(VLOOKUP($S8957,References!$B$3:$C$8,2,FALSE))),"")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6"/>
        <v>0</v>
      </c>
      <c r="T8958" s="98">
        <f t="shared" si="345"/>
        <v>0</v>
      </c>
      <c r="U8958" s="99" t="str">
        <f>IFERROR(IF(#REF!="S",VLOOKUP('Raw Data'!A8958,References!#REF!,2,FALSE),(VLOOKUP($S8958,References!$B$3:$C$8,2,FALSE))),"")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6"/>
        <v>0</v>
      </c>
      <c r="T8959" s="98">
        <f t="shared" si="345"/>
        <v>0</v>
      </c>
      <c r="U8959" s="99" t="str">
        <f>IFERROR(IF(#REF!="S",VLOOKUP('Raw Data'!A8959,References!#REF!,2,FALSE),(VLOOKUP($S8959,References!$B$3:$C$8,2,FALSE))),"")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6"/>
        <v>0</v>
      </c>
      <c r="T8960" s="98">
        <f t="shared" si="345"/>
        <v>0</v>
      </c>
      <c r="U8960" s="99" t="str">
        <f>IFERROR(IF(#REF!="S",VLOOKUP('Raw Data'!A8960,References!#REF!,2,FALSE),(VLOOKUP($S8960,References!$B$3:$C$8,2,FALSE))),"")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6"/>
        <v>0</v>
      </c>
      <c r="T8961" s="98">
        <f t="shared" si="345"/>
        <v>0</v>
      </c>
      <c r="U8961" s="99" t="str">
        <f>IFERROR(IF(#REF!="S",VLOOKUP('Raw Data'!A8961,References!#REF!,2,FALSE),(VLOOKUP($S8961,References!$B$3:$C$8,2,FALSE))),"")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6"/>
        <v>0</v>
      </c>
      <c r="T8962" s="98">
        <f t="shared" si="345"/>
        <v>0</v>
      </c>
      <c r="U8962" s="99" t="str">
        <f>IFERROR(IF(#REF!="S",VLOOKUP('Raw Data'!A8962,References!#REF!,2,FALSE),(VLOOKUP($S8962,References!$B$3:$C$8,2,FALSE))),"")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6"/>
        <v>0</v>
      </c>
      <c r="T8963" s="98">
        <f t="shared" si="345"/>
        <v>0</v>
      </c>
      <c r="U8963" s="99" t="str">
        <f>IFERROR(IF(#REF!="S",VLOOKUP('Raw Data'!A8963,References!#REF!,2,FALSE),(VLOOKUP($S8963,References!$B$3:$C$8,2,FALSE))),"")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6"/>
        <v>0</v>
      </c>
      <c r="T8964" s="98">
        <f t="shared" si="345"/>
        <v>0</v>
      </c>
      <c r="U8964" s="99" t="str">
        <f>IFERROR(IF(#REF!="S",VLOOKUP('Raw Data'!A8964,References!#REF!,2,FALSE),(VLOOKUP($S8964,References!$B$3:$C$8,2,FALSE))),"")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6"/>
        <v>0</v>
      </c>
      <c r="T8965" s="98">
        <f t="shared" si="345"/>
        <v>0</v>
      </c>
      <c r="U8965" s="99" t="str">
        <f>IFERROR(IF(#REF!="S",VLOOKUP('Raw Data'!A8965,References!#REF!,2,FALSE),(VLOOKUP($S8965,References!$B$3:$C$8,2,FALSE))),"")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6"/>
        <v>0</v>
      </c>
      <c r="T8966" s="98">
        <f t="shared" si="345"/>
        <v>0</v>
      </c>
      <c r="U8966" s="99" t="str">
        <f>IFERROR(IF(#REF!="S",VLOOKUP('Raw Data'!A8966,References!#REF!,2,FALSE),(VLOOKUP($S8966,References!$B$3:$C$8,2,FALSE))),"")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6"/>
        <v>0</v>
      </c>
      <c r="T8967" s="98">
        <f t="shared" si="345"/>
        <v>0</v>
      </c>
      <c r="U8967" s="99" t="str">
        <f>IFERROR(IF(#REF!="S",VLOOKUP('Raw Data'!A8967,References!#REF!,2,FALSE),(VLOOKUP($S8967,References!$B$3:$C$8,2,FALSE))),"")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6"/>
        <v>0</v>
      </c>
      <c r="T8968" s="98">
        <f t="shared" si="345"/>
        <v>0</v>
      </c>
      <c r="U8968" s="99" t="str">
        <f>IFERROR(IF(#REF!="S",VLOOKUP('Raw Data'!A8968,References!#REF!,2,FALSE),(VLOOKUP($S8968,References!$B$3:$C$8,2,FALSE))),"")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6"/>
        <v>0</v>
      </c>
      <c r="T8969" s="98">
        <f t="shared" si="345"/>
        <v>0</v>
      </c>
      <c r="U8969" s="99" t="str">
        <f>IFERROR(IF(#REF!="S",VLOOKUP('Raw Data'!A8969,References!#REF!,2,FALSE),(VLOOKUP($S8969,References!$B$3:$C$8,2,FALSE))),"")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6"/>
        <v>0</v>
      </c>
      <c r="T8970" s="98">
        <f t="shared" si="345"/>
        <v>0</v>
      </c>
      <c r="U8970" s="99" t="str">
        <f>IFERROR(IF(#REF!="S",VLOOKUP('Raw Data'!A8970,References!#REF!,2,FALSE),(VLOOKUP($S8970,References!$B$3:$C$8,2,FALSE))),"")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6"/>
        <v>0</v>
      </c>
      <c r="T8971" s="98">
        <f t="shared" si="345"/>
        <v>0</v>
      </c>
      <c r="U8971" s="99" t="str">
        <f>IFERROR(IF(#REF!="S",VLOOKUP('Raw Data'!A8971,References!#REF!,2,FALSE),(VLOOKUP($S8971,References!$B$3:$C$8,2,FALSE))),"")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6"/>
        <v>0</v>
      </c>
      <c r="T8972" s="98">
        <f t="shared" si="345"/>
        <v>0</v>
      </c>
      <c r="U8972" s="99" t="str">
        <f>IFERROR(IF(#REF!="S",VLOOKUP('Raw Data'!A8972,References!#REF!,2,FALSE),(VLOOKUP($S8972,References!$B$3:$C$8,2,FALSE))),"")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6"/>
        <v>0</v>
      </c>
      <c r="T8973" s="98">
        <f t="shared" si="345"/>
        <v>0</v>
      </c>
      <c r="U8973" s="99" t="str">
        <f>IFERROR(IF(#REF!="S",VLOOKUP('Raw Data'!A8973,References!#REF!,2,FALSE),(VLOOKUP($S8973,References!$B$3:$C$8,2,FALSE))),"")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6"/>
        <v>0</v>
      </c>
      <c r="T8974" s="98">
        <f t="shared" si="345"/>
        <v>0</v>
      </c>
      <c r="U8974" s="99" t="str">
        <f>IFERROR(IF(#REF!="S",VLOOKUP('Raw Data'!A8974,References!#REF!,2,FALSE),(VLOOKUP($S8974,References!$B$3:$C$8,2,FALSE))),"")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6"/>
        <v>0</v>
      </c>
      <c r="T8975" s="98">
        <f t="shared" si="345"/>
        <v>0</v>
      </c>
      <c r="U8975" s="99" t="str">
        <f>IFERROR(IF(#REF!="S",VLOOKUP('Raw Data'!A8975,References!#REF!,2,FALSE),(VLOOKUP($S8975,References!$B$3:$C$8,2,FALSE))),"")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6"/>
        <v>0</v>
      </c>
      <c r="T8976" s="98">
        <f t="shared" ref="T8976:T9039" si="347">IF(S8976="50 - Cleaning Fee",1,HOUR($R8976)+MINUTE(R8976)/60)</f>
        <v>0</v>
      </c>
      <c r="U8976" s="99" t="str">
        <f>IFERROR(IF(#REF!="S",VLOOKUP('Raw Data'!A8976,References!#REF!,2,FALSE),(VLOOKUP($S8976,References!$B$3:$C$8,2,FALSE))),"")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6"/>
        <v>0</v>
      </c>
      <c r="T8977" s="98">
        <f t="shared" si="347"/>
        <v>0</v>
      </c>
      <c r="U8977" s="99" t="str">
        <f>IFERROR(IF(#REF!="S",VLOOKUP('Raw Data'!A8977,References!#REF!,2,FALSE),(VLOOKUP($S8977,References!$B$3:$C$8,2,FALSE))),"")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6"/>
        <v>0</v>
      </c>
      <c r="T8978" s="98">
        <f t="shared" si="347"/>
        <v>0</v>
      </c>
      <c r="U8978" s="99" t="str">
        <f>IFERROR(IF(#REF!="S",VLOOKUP('Raw Data'!A8978,References!#REF!,2,FALSE),(VLOOKUP($S8978,References!$B$3:$C$8,2,FALSE))),"")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6"/>
        <v>0</v>
      </c>
      <c r="T8979" s="98">
        <f t="shared" si="347"/>
        <v>0</v>
      </c>
      <c r="U8979" s="99" t="str">
        <f>IFERROR(IF(#REF!="S",VLOOKUP('Raw Data'!A8979,References!#REF!,2,FALSE),(VLOOKUP($S8979,References!$B$3:$C$8,2,FALSE))),"")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6"/>
        <v>0</v>
      </c>
      <c r="T8980" s="98">
        <f t="shared" si="347"/>
        <v>0</v>
      </c>
      <c r="U8980" s="99" t="str">
        <f>IFERROR(IF(#REF!="S",VLOOKUP('Raw Data'!A8980,References!#REF!,2,FALSE),(VLOOKUP($S8980,References!$B$3:$C$8,2,FALSE))),"")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6"/>
        <v>0</v>
      </c>
      <c r="T8981" s="98">
        <f t="shared" si="347"/>
        <v>0</v>
      </c>
      <c r="U8981" s="99" t="str">
        <f>IFERROR(IF(#REF!="S",VLOOKUP('Raw Data'!A8981,References!#REF!,2,FALSE),(VLOOKUP($S8981,References!$B$3:$C$8,2,FALSE))),"")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6"/>
        <v>0</v>
      </c>
      <c r="T8982" s="98">
        <f t="shared" si="347"/>
        <v>0</v>
      </c>
      <c r="U8982" s="99" t="str">
        <f>IFERROR(IF(#REF!="S",VLOOKUP('Raw Data'!A8982,References!#REF!,2,FALSE),(VLOOKUP($S8982,References!$B$3:$C$8,2,FALSE))),"")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6"/>
        <v>0</v>
      </c>
      <c r="T8983" s="98">
        <f t="shared" si="347"/>
        <v>0</v>
      </c>
      <c r="U8983" s="99" t="str">
        <f>IFERROR(IF(#REF!="S",VLOOKUP('Raw Data'!A8983,References!#REF!,2,FALSE),(VLOOKUP($S8983,References!$B$3:$C$8,2,FALSE))),"")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6"/>
        <v>0</v>
      </c>
      <c r="T8984" s="98">
        <f t="shared" si="347"/>
        <v>0</v>
      </c>
      <c r="U8984" s="99" t="str">
        <f>IFERROR(IF(#REF!="S",VLOOKUP('Raw Data'!A8984,References!#REF!,2,FALSE),(VLOOKUP($S8984,References!$B$3:$C$8,2,FALSE))),"")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6"/>
        <v>0</v>
      </c>
      <c r="T8985" s="98">
        <f t="shared" si="347"/>
        <v>0</v>
      </c>
      <c r="U8985" s="99" t="str">
        <f>IFERROR(IF(#REF!="S",VLOOKUP('Raw Data'!A8985,References!#REF!,2,FALSE),(VLOOKUP($S8985,References!$B$3:$C$8,2,FALSE))),"")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6"/>
        <v>0</v>
      </c>
      <c r="T8986" s="98">
        <f t="shared" si="347"/>
        <v>0</v>
      </c>
      <c r="U8986" s="99" t="str">
        <f>IFERROR(IF(#REF!="S",VLOOKUP('Raw Data'!A8986,References!#REF!,2,FALSE),(VLOOKUP($S8986,References!$B$3:$C$8,2,FALSE))),"")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6"/>
        <v>0</v>
      </c>
      <c r="T8987" s="98">
        <f t="shared" si="347"/>
        <v>0</v>
      </c>
      <c r="U8987" s="99" t="str">
        <f>IFERROR(IF(#REF!="S",VLOOKUP('Raw Data'!A8987,References!#REF!,2,FALSE),(VLOOKUP($S8987,References!$B$3:$C$8,2,FALSE))),"")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6"/>
        <v>0</v>
      </c>
      <c r="T8988" s="98">
        <f t="shared" si="347"/>
        <v>0</v>
      </c>
      <c r="U8988" s="99" t="str">
        <f>IFERROR(IF(#REF!="S",VLOOKUP('Raw Data'!A8988,References!#REF!,2,FALSE),(VLOOKUP($S8988,References!$B$3:$C$8,2,FALSE))),"")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6"/>
        <v>0</v>
      </c>
      <c r="T8989" s="98">
        <f t="shared" si="347"/>
        <v>0</v>
      </c>
      <c r="U8989" s="99" t="str">
        <f>IFERROR(IF(#REF!="S",VLOOKUP('Raw Data'!A8989,References!#REF!,2,FALSE),(VLOOKUP($S8989,References!$B$3:$C$8,2,FALSE))),"")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6"/>
        <v>0</v>
      </c>
      <c r="T8990" s="98">
        <f t="shared" si="347"/>
        <v>0</v>
      </c>
      <c r="U8990" s="99" t="str">
        <f>IFERROR(IF(#REF!="S",VLOOKUP('Raw Data'!A8990,References!#REF!,2,FALSE),(VLOOKUP($S8990,References!$B$3:$C$8,2,FALSE))),"")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6"/>
        <v>0</v>
      </c>
      <c r="T8991" s="98">
        <f t="shared" si="347"/>
        <v>0</v>
      </c>
      <c r="U8991" s="99" t="str">
        <f>IFERROR(IF(#REF!="S",VLOOKUP('Raw Data'!A8991,References!#REF!,2,FALSE),(VLOOKUP($S8991,References!$B$3:$C$8,2,FALSE))),"")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6"/>
        <v>0</v>
      </c>
      <c r="T8992" s="98">
        <f t="shared" si="347"/>
        <v>0</v>
      </c>
      <c r="U8992" s="99" t="str">
        <f>IFERROR(IF(#REF!="S",VLOOKUP('Raw Data'!A8992,References!#REF!,2,FALSE),(VLOOKUP($S8992,References!$B$3:$C$8,2,FALSE))),"")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6"/>
        <v>0</v>
      </c>
      <c r="T8993" s="98">
        <f t="shared" si="347"/>
        <v>0</v>
      </c>
      <c r="U8993" s="99" t="str">
        <f>IFERROR(IF(#REF!="S",VLOOKUP('Raw Data'!A8993,References!#REF!,2,FALSE),(VLOOKUP($S8993,References!$B$3:$C$8,2,FALSE))),"")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6"/>
        <v>0</v>
      </c>
      <c r="T8994" s="98">
        <f t="shared" si="347"/>
        <v>0</v>
      </c>
      <c r="U8994" s="99" t="str">
        <f>IFERROR(IF(#REF!="S",VLOOKUP('Raw Data'!A8994,References!#REF!,2,FALSE),(VLOOKUP($S8994,References!$B$3:$C$8,2,FALSE))),"")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6"/>
        <v>0</v>
      </c>
      <c r="T8995" s="98">
        <f t="shared" si="347"/>
        <v>0</v>
      </c>
      <c r="U8995" s="99" t="str">
        <f>IFERROR(IF(#REF!="S",VLOOKUP('Raw Data'!A8995,References!#REF!,2,FALSE),(VLOOKUP($S8995,References!$B$3:$C$8,2,FALSE))),"")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6"/>
        <v>0</v>
      </c>
      <c r="T8996" s="98">
        <f t="shared" si="347"/>
        <v>0</v>
      </c>
      <c r="U8996" s="99" t="str">
        <f>IFERROR(IF(#REF!="S",VLOOKUP('Raw Data'!A8996,References!#REF!,2,FALSE),(VLOOKUP($S8996,References!$B$3:$C$8,2,FALSE))),"")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6"/>
        <v>0</v>
      </c>
      <c r="T8997" s="98">
        <f t="shared" si="347"/>
        <v>0</v>
      </c>
      <c r="U8997" s="99" t="str">
        <f>IFERROR(IF(#REF!="S",VLOOKUP('Raw Data'!A8997,References!#REF!,2,FALSE),(VLOOKUP($S8997,References!$B$3:$C$8,2,FALSE))),"")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6"/>
        <v>0</v>
      </c>
      <c r="T8998" s="98">
        <f t="shared" si="347"/>
        <v>0</v>
      </c>
      <c r="U8998" s="99" t="str">
        <f>IFERROR(IF(#REF!="S",VLOOKUP('Raw Data'!A8998,References!#REF!,2,FALSE),(VLOOKUP($S8998,References!$B$3:$C$8,2,FALSE))),"")</f>
        <v/>
      </c>
      <c r="W8998" s="66" t="str">
        <f>IFERROR(VLOOKUP($O8998,'Customer List'!$A$1:$J$488,10,FALSE),"")</f>
        <v/>
      </c>
    </row>
    <row r="8999" spans="18:23">
      <c r="R8999" s="97">
        <f t="shared" si="346"/>
        <v>0</v>
      </c>
      <c r="T8999" s="98">
        <f t="shared" si="347"/>
        <v>0</v>
      </c>
      <c r="U8999" s="99" t="str">
        <f>IFERROR(IF(#REF!="S",VLOOKUP('Raw Data'!A8999,References!#REF!,2,FALSE),(VLOOKUP($S8999,References!$B$3:$C$8,2,FALSE))),"")</f>
        <v/>
      </c>
      <c r="W8999" s="66" t="str">
        <f>IFERROR(VLOOKUP($O8999,'Customer List'!$A$1:$J$488,10,FALSE),"")</f>
        <v/>
      </c>
    </row>
    <row r="9000" spans="18:23">
      <c r="R9000" s="97">
        <f t="shared" ref="R9000:R9063" si="348">L9000-K9000</f>
        <v>0</v>
      </c>
      <c r="T9000" s="98">
        <f t="shared" si="347"/>
        <v>0</v>
      </c>
      <c r="U9000" s="99" t="str">
        <f>IFERROR(IF(#REF!="S",VLOOKUP('Raw Data'!A9000,References!#REF!,2,FALSE),(VLOOKUP($S9000,References!$B$3:$C$8,2,FALSE))),"")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48"/>
        <v>0</v>
      </c>
      <c r="T9001" s="98">
        <f t="shared" si="347"/>
        <v>0</v>
      </c>
      <c r="U9001" s="99" t="str">
        <f>IFERROR(IF(#REF!="S",VLOOKUP('Raw Data'!A9001,References!#REF!,2,FALSE),(VLOOKUP($S9001,References!$B$3:$C$8,2,FALSE))),"")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48"/>
        <v>0</v>
      </c>
      <c r="T9002" s="98">
        <f t="shared" si="347"/>
        <v>0</v>
      </c>
      <c r="U9002" s="99" t="str">
        <f>IFERROR(IF(#REF!="S",VLOOKUP('Raw Data'!A9002,References!#REF!,2,FALSE),(VLOOKUP($S9002,References!$B$3:$C$8,2,FALSE))),"")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48"/>
        <v>0</v>
      </c>
      <c r="T9003" s="98">
        <f t="shared" si="347"/>
        <v>0</v>
      </c>
      <c r="U9003" s="99" t="str">
        <f>IFERROR(IF(#REF!="S",VLOOKUP('Raw Data'!A9003,References!#REF!,2,FALSE),(VLOOKUP($S9003,References!$B$3:$C$8,2,FALSE))),"")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48"/>
        <v>0</v>
      </c>
      <c r="T9004" s="98">
        <f t="shared" si="347"/>
        <v>0</v>
      </c>
      <c r="U9004" s="99" t="str">
        <f>IFERROR(IF(#REF!="S",VLOOKUP('Raw Data'!A9004,References!#REF!,2,FALSE),(VLOOKUP($S9004,References!$B$3:$C$8,2,FALSE))),"")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48"/>
        <v>0</v>
      </c>
      <c r="T9005" s="98">
        <f t="shared" si="347"/>
        <v>0</v>
      </c>
      <c r="U9005" s="99" t="str">
        <f>IFERROR(IF(#REF!="S",VLOOKUP('Raw Data'!A9005,References!#REF!,2,FALSE),(VLOOKUP($S9005,References!$B$3:$C$8,2,FALSE))),"")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48"/>
        <v>0</v>
      </c>
      <c r="T9006" s="98">
        <f t="shared" si="347"/>
        <v>0</v>
      </c>
      <c r="U9006" s="99" t="str">
        <f>IFERROR(IF(#REF!="S",VLOOKUP('Raw Data'!A9006,References!#REF!,2,FALSE),(VLOOKUP($S9006,References!$B$3:$C$8,2,FALSE))),"")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48"/>
        <v>0</v>
      </c>
      <c r="T9007" s="98">
        <f t="shared" si="347"/>
        <v>0</v>
      </c>
      <c r="U9007" s="99" t="str">
        <f>IFERROR(IF(#REF!="S",VLOOKUP('Raw Data'!A9007,References!#REF!,2,FALSE),(VLOOKUP($S9007,References!$B$3:$C$8,2,FALSE))),"")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48"/>
        <v>0</v>
      </c>
      <c r="T9008" s="98">
        <f t="shared" si="347"/>
        <v>0</v>
      </c>
      <c r="U9008" s="99" t="str">
        <f>IFERROR(IF(#REF!="S",VLOOKUP('Raw Data'!A9008,References!#REF!,2,FALSE),(VLOOKUP($S9008,References!$B$3:$C$8,2,FALSE))),"")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48"/>
        <v>0</v>
      </c>
      <c r="T9009" s="98">
        <f t="shared" si="347"/>
        <v>0</v>
      </c>
      <c r="U9009" s="99" t="str">
        <f>IFERROR(IF(#REF!="S",VLOOKUP('Raw Data'!A9009,References!#REF!,2,FALSE),(VLOOKUP($S9009,References!$B$3:$C$8,2,FALSE))),"")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48"/>
        <v>0</v>
      </c>
      <c r="T9010" s="98">
        <f t="shared" si="347"/>
        <v>0</v>
      </c>
      <c r="U9010" s="99" t="str">
        <f>IFERROR(IF(#REF!="S",VLOOKUP('Raw Data'!A9010,References!#REF!,2,FALSE),(VLOOKUP($S9010,References!$B$3:$C$8,2,FALSE))),"")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48"/>
        <v>0</v>
      </c>
      <c r="T9011" s="98">
        <f t="shared" si="347"/>
        <v>0</v>
      </c>
      <c r="U9011" s="99" t="str">
        <f>IFERROR(IF(#REF!="S",VLOOKUP('Raw Data'!A9011,References!#REF!,2,FALSE),(VLOOKUP($S9011,References!$B$3:$C$8,2,FALSE))),"")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48"/>
        <v>0</v>
      </c>
      <c r="T9012" s="98">
        <f t="shared" si="347"/>
        <v>0</v>
      </c>
      <c r="U9012" s="99" t="str">
        <f>IFERROR(IF(#REF!="S",VLOOKUP('Raw Data'!A9012,References!#REF!,2,FALSE),(VLOOKUP($S9012,References!$B$3:$C$8,2,FALSE))),"")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48"/>
        <v>0</v>
      </c>
      <c r="T9013" s="98">
        <f t="shared" si="347"/>
        <v>0</v>
      </c>
      <c r="U9013" s="99" t="str">
        <f>IFERROR(IF(#REF!="S",VLOOKUP('Raw Data'!A9013,References!#REF!,2,FALSE),(VLOOKUP($S9013,References!$B$3:$C$8,2,FALSE))),"")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48"/>
        <v>0</v>
      </c>
      <c r="T9014" s="98">
        <f t="shared" si="347"/>
        <v>0</v>
      </c>
      <c r="U9014" s="99" t="str">
        <f>IFERROR(IF(#REF!="S",VLOOKUP('Raw Data'!A9014,References!#REF!,2,FALSE),(VLOOKUP($S9014,References!$B$3:$C$8,2,FALSE))),"")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48"/>
        <v>0</v>
      </c>
      <c r="T9015" s="98">
        <f t="shared" si="347"/>
        <v>0</v>
      </c>
      <c r="U9015" s="99" t="str">
        <f>IFERROR(IF(#REF!="S",VLOOKUP('Raw Data'!A9015,References!#REF!,2,FALSE),(VLOOKUP($S9015,References!$B$3:$C$8,2,FALSE))),"")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48"/>
        <v>0</v>
      </c>
      <c r="T9016" s="98">
        <f t="shared" si="347"/>
        <v>0</v>
      </c>
      <c r="U9016" s="99" t="str">
        <f>IFERROR(IF(#REF!="S",VLOOKUP('Raw Data'!A9016,References!#REF!,2,FALSE),(VLOOKUP($S9016,References!$B$3:$C$8,2,FALSE))),"")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48"/>
        <v>0</v>
      </c>
      <c r="T9017" s="98">
        <f t="shared" si="347"/>
        <v>0</v>
      </c>
      <c r="U9017" s="99" t="str">
        <f>IFERROR(IF(#REF!="S",VLOOKUP('Raw Data'!A9017,References!#REF!,2,FALSE),(VLOOKUP($S9017,References!$B$3:$C$8,2,FALSE))),"")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48"/>
        <v>0</v>
      </c>
      <c r="T9018" s="98">
        <f t="shared" si="347"/>
        <v>0</v>
      </c>
      <c r="U9018" s="99" t="str">
        <f>IFERROR(IF(#REF!="S",VLOOKUP('Raw Data'!A9018,References!#REF!,2,FALSE),(VLOOKUP($S9018,References!$B$3:$C$8,2,FALSE))),"")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48"/>
        <v>0</v>
      </c>
      <c r="T9019" s="98">
        <f t="shared" si="347"/>
        <v>0</v>
      </c>
      <c r="U9019" s="99" t="str">
        <f>IFERROR(IF(#REF!="S",VLOOKUP('Raw Data'!A9019,References!#REF!,2,FALSE),(VLOOKUP($S9019,References!$B$3:$C$8,2,FALSE))),"")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48"/>
        <v>0</v>
      </c>
      <c r="T9020" s="98">
        <f t="shared" si="347"/>
        <v>0</v>
      </c>
      <c r="U9020" s="99" t="str">
        <f>IFERROR(IF(#REF!="S",VLOOKUP('Raw Data'!A9020,References!#REF!,2,FALSE),(VLOOKUP($S9020,References!$B$3:$C$8,2,FALSE))),"")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48"/>
        <v>0</v>
      </c>
      <c r="T9021" s="98">
        <f t="shared" si="347"/>
        <v>0</v>
      </c>
      <c r="U9021" s="99" t="str">
        <f>IFERROR(IF(#REF!="S",VLOOKUP('Raw Data'!A9021,References!#REF!,2,FALSE),(VLOOKUP($S9021,References!$B$3:$C$8,2,FALSE))),"")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48"/>
        <v>0</v>
      </c>
      <c r="T9022" s="98">
        <f t="shared" si="347"/>
        <v>0</v>
      </c>
      <c r="U9022" s="99" t="str">
        <f>IFERROR(IF(#REF!="S",VLOOKUP('Raw Data'!A9022,References!#REF!,2,FALSE),(VLOOKUP($S9022,References!$B$3:$C$8,2,FALSE))),"")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48"/>
        <v>0</v>
      </c>
      <c r="T9023" s="98">
        <f t="shared" si="347"/>
        <v>0</v>
      </c>
      <c r="U9023" s="99" t="str">
        <f>IFERROR(IF(#REF!="S",VLOOKUP('Raw Data'!A9023,References!#REF!,2,FALSE),(VLOOKUP($S9023,References!$B$3:$C$8,2,FALSE))),"")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48"/>
        <v>0</v>
      </c>
      <c r="T9024" s="98">
        <f t="shared" si="347"/>
        <v>0</v>
      </c>
      <c r="U9024" s="99" t="str">
        <f>IFERROR(IF(#REF!="S",VLOOKUP('Raw Data'!A9024,References!#REF!,2,FALSE),(VLOOKUP($S9024,References!$B$3:$C$8,2,FALSE))),"")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48"/>
        <v>0</v>
      </c>
      <c r="T9025" s="98">
        <f t="shared" si="347"/>
        <v>0</v>
      </c>
      <c r="U9025" s="99" t="str">
        <f>IFERROR(IF(#REF!="S",VLOOKUP('Raw Data'!A9025,References!#REF!,2,FALSE),(VLOOKUP($S9025,References!$B$3:$C$8,2,FALSE))),"")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48"/>
        <v>0</v>
      </c>
      <c r="T9026" s="98">
        <f t="shared" si="347"/>
        <v>0</v>
      </c>
      <c r="U9026" s="99" t="str">
        <f>IFERROR(IF(#REF!="S",VLOOKUP('Raw Data'!A9026,References!#REF!,2,FALSE),(VLOOKUP($S9026,References!$B$3:$C$8,2,FALSE))),"")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48"/>
        <v>0</v>
      </c>
      <c r="T9027" s="98">
        <f t="shared" si="347"/>
        <v>0</v>
      </c>
      <c r="U9027" s="99" t="str">
        <f>IFERROR(IF(#REF!="S",VLOOKUP('Raw Data'!A9027,References!#REF!,2,FALSE),(VLOOKUP($S9027,References!$B$3:$C$8,2,FALSE))),"")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48"/>
        <v>0</v>
      </c>
      <c r="T9028" s="98">
        <f t="shared" si="347"/>
        <v>0</v>
      </c>
      <c r="U9028" s="99" t="str">
        <f>IFERROR(IF(#REF!="S",VLOOKUP('Raw Data'!A9028,References!#REF!,2,FALSE),(VLOOKUP($S9028,References!$B$3:$C$8,2,FALSE))),"")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48"/>
        <v>0</v>
      </c>
      <c r="T9029" s="98">
        <f t="shared" si="347"/>
        <v>0</v>
      </c>
      <c r="U9029" s="99" t="str">
        <f>IFERROR(IF(#REF!="S",VLOOKUP('Raw Data'!A9029,References!#REF!,2,FALSE),(VLOOKUP($S9029,References!$B$3:$C$8,2,FALSE))),"")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48"/>
        <v>0</v>
      </c>
      <c r="T9030" s="98">
        <f t="shared" si="347"/>
        <v>0</v>
      </c>
      <c r="U9030" s="99" t="str">
        <f>IFERROR(IF(#REF!="S",VLOOKUP('Raw Data'!A9030,References!#REF!,2,FALSE),(VLOOKUP($S9030,References!$B$3:$C$8,2,FALSE))),"")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48"/>
        <v>0</v>
      </c>
      <c r="T9031" s="98">
        <f t="shared" si="347"/>
        <v>0</v>
      </c>
      <c r="U9031" s="99" t="str">
        <f>IFERROR(IF(#REF!="S",VLOOKUP('Raw Data'!A9031,References!#REF!,2,FALSE),(VLOOKUP($S9031,References!$B$3:$C$8,2,FALSE))),"")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48"/>
        <v>0</v>
      </c>
      <c r="T9032" s="98">
        <f t="shared" si="347"/>
        <v>0</v>
      </c>
      <c r="U9032" s="99" t="str">
        <f>IFERROR(IF(#REF!="S",VLOOKUP('Raw Data'!A9032,References!#REF!,2,FALSE),(VLOOKUP($S9032,References!$B$3:$C$8,2,FALSE))),"")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48"/>
        <v>0</v>
      </c>
      <c r="T9033" s="98">
        <f t="shared" si="347"/>
        <v>0</v>
      </c>
      <c r="U9033" s="99" t="str">
        <f>IFERROR(IF(#REF!="S",VLOOKUP('Raw Data'!A9033,References!#REF!,2,FALSE),(VLOOKUP($S9033,References!$B$3:$C$8,2,FALSE))),"")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48"/>
        <v>0</v>
      </c>
      <c r="T9034" s="98">
        <f t="shared" si="347"/>
        <v>0</v>
      </c>
      <c r="U9034" s="99" t="str">
        <f>IFERROR(IF(#REF!="S",VLOOKUP('Raw Data'!A9034,References!#REF!,2,FALSE),(VLOOKUP($S9034,References!$B$3:$C$8,2,FALSE))),"")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48"/>
        <v>0</v>
      </c>
      <c r="T9035" s="98">
        <f t="shared" si="347"/>
        <v>0</v>
      </c>
      <c r="U9035" s="99" t="str">
        <f>IFERROR(IF(#REF!="S",VLOOKUP('Raw Data'!A9035,References!#REF!,2,FALSE),(VLOOKUP($S9035,References!$B$3:$C$8,2,FALSE))),"")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48"/>
        <v>0</v>
      </c>
      <c r="T9036" s="98">
        <f t="shared" si="347"/>
        <v>0</v>
      </c>
      <c r="U9036" s="99" t="str">
        <f>IFERROR(IF(#REF!="S",VLOOKUP('Raw Data'!A9036,References!#REF!,2,FALSE),(VLOOKUP($S9036,References!$B$3:$C$8,2,FALSE))),"")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48"/>
        <v>0</v>
      </c>
      <c r="T9037" s="98">
        <f t="shared" si="347"/>
        <v>0</v>
      </c>
      <c r="U9037" s="99" t="str">
        <f>IFERROR(IF(#REF!="S",VLOOKUP('Raw Data'!A9037,References!#REF!,2,FALSE),(VLOOKUP($S9037,References!$B$3:$C$8,2,FALSE))),"")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48"/>
        <v>0</v>
      </c>
      <c r="T9038" s="98">
        <f t="shared" si="347"/>
        <v>0</v>
      </c>
      <c r="U9038" s="99" t="str">
        <f>IFERROR(IF(#REF!="S",VLOOKUP('Raw Data'!A9038,References!#REF!,2,FALSE),(VLOOKUP($S9038,References!$B$3:$C$8,2,FALSE))),"")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48"/>
        <v>0</v>
      </c>
      <c r="T9039" s="98">
        <f t="shared" si="347"/>
        <v>0</v>
      </c>
      <c r="U9039" s="99" t="str">
        <f>IFERROR(IF(#REF!="S",VLOOKUP('Raw Data'!A9039,References!#REF!,2,FALSE),(VLOOKUP($S9039,References!$B$3:$C$8,2,FALSE))),"")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48"/>
        <v>0</v>
      </c>
      <c r="T9040" s="98">
        <f t="shared" ref="T9040:T9103" si="349">IF(S9040="50 - Cleaning Fee",1,HOUR($R9040)+MINUTE(R9040)/60)</f>
        <v>0</v>
      </c>
      <c r="U9040" s="99" t="str">
        <f>IFERROR(IF(#REF!="S",VLOOKUP('Raw Data'!A9040,References!#REF!,2,FALSE),(VLOOKUP($S9040,References!$B$3:$C$8,2,FALSE))),"")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48"/>
        <v>0</v>
      </c>
      <c r="T9041" s="98">
        <f t="shared" si="349"/>
        <v>0</v>
      </c>
      <c r="U9041" s="99" t="str">
        <f>IFERROR(IF(#REF!="S",VLOOKUP('Raw Data'!A9041,References!#REF!,2,FALSE),(VLOOKUP($S9041,References!$B$3:$C$8,2,FALSE))),"")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48"/>
        <v>0</v>
      </c>
      <c r="T9042" s="98">
        <f t="shared" si="349"/>
        <v>0</v>
      </c>
      <c r="U9042" s="99" t="str">
        <f>IFERROR(IF(#REF!="S",VLOOKUP('Raw Data'!A9042,References!#REF!,2,FALSE),(VLOOKUP($S9042,References!$B$3:$C$8,2,FALSE))),"")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48"/>
        <v>0</v>
      </c>
      <c r="T9043" s="98">
        <f t="shared" si="349"/>
        <v>0</v>
      </c>
      <c r="U9043" s="99" t="str">
        <f>IFERROR(IF(#REF!="S",VLOOKUP('Raw Data'!A9043,References!#REF!,2,FALSE),(VLOOKUP($S9043,References!$B$3:$C$8,2,FALSE))),"")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48"/>
        <v>0</v>
      </c>
      <c r="T9044" s="98">
        <f t="shared" si="349"/>
        <v>0</v>
      </c>
      <c r="U9044" s="99" t="str">
        <f>IFERROR(IF(#REF!="S",VLOOKUP('Raw Data'!A9044,References!#REF!,2,FALSE),(VLOOKUP($S9044,References!$B$3:$C$8,2,FALSE))),"")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48"/>
        <v>0</v>
      </c>
      <c r="T9045" s="98">
        <f t="shared" si="349"/>
        <v>0</v>
      </c>
      <c r="U9045" s="99" t="str">
        <f>IFERROR(IF(#REF!="S",VLOOKUP('Raw Data'!A9045,References!#REF!,2,FALSE),(VLOOKUP($S9045,References!$B$3:$C$8,2,FALSE))),"")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48"/>
        <v>0</v>
      </c>
      <c r="T9046" s="98">
        <f t="shared" si="349"/>
        <v>0</v>
      </c>
      <c r="U9046" s="99" t="str">
        <f>IFERROR(IF(#REF!="S",VLOOKUP('Raw Data'!A9046,References!#REF!,2,FALSE),(VLOOKUP($S9046,References!$B$3:$C$8,2,FALSE))),"")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48"/>
        <v>0</v>
      </c>
      <c r="T9047" s="98">
        <f t="shared" si="349"/>
        <v>0</v>
      </c>
      <c r="U9047" s="99" t="str">
        <f>IFERROR(IF(#REF!="S",VLOOKUP('Raw Data'!A9047,References!#REF!,2,FALSE),(VLOOKUP($S9047,References!$B$3:$C$8,2,FALSE))),"")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48"/>
        <v>0</v>
      </c>
      <c r="T9048" s="98">
        <f t="shared" si="349"/>
        <v>0</v>
      </c>
      <c r="U9048" s="99" t="str">
        <f>IFERROR(IF(#REF!="S",VLOOKUP('Raw Data'!A9048,References!#REF!,2,FALSE),(VLOOKUP($S9048,References!$B$3:$C$8,2,FALSE))),"")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48"/>
        <v>0</v>
      </c>
      <c r="T9049" s="98">
        <f t="shared" si="349"/>
        <v>0</v>
      </c>
      <c r="U9049" s="99" t="str">
        <f>IFERROR(IF(#REF!="S",VLOOKUP('Raw Data'!A9049,References!#REF!,2,FALSE),(VLOOKUP($S9049,References!$B$3:$C$8,2,FALSE))),"")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48"/>
        <v>0</v>
      </c>
      <c r="T9050" s="98">
        <f t="shared" si="349"/>
        <v>0</v>
      </c>
      <c r="U9050" s="99" t="str">
        <f>IFERROR(IF(#REF!="S",VLOOKUP('Raw Data'!A9050,References!#REF!,2,FALSE),(VLOOKUP($S9050,References!$B$3:$C$8,2,FALSE))),"")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48"/>
        <v>0</v>
      </c>
      <c r="T9051" s="98">
        <f t="shared" si="349"/>
        <v>0</v>
      </c>
      <c r="U9051" s="99" t="str">
        <f>IFERROR(IF(#REF!="S",VLOOKUP('Raw Data'!A9051,References!#REF!,2,FALSE),(VLOOKUP($S9051,References!$B$3:$C$8,2,FALSE))),"")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48"/>
        <v>0</v>
      </c>
      <c r="T9052" s="98">
        <f t="shared" si="349"/>
        <v>0</v>
      </c>
      <c r="U9052" s="99" t="str">
        <f>IFERROR(IF(#REF!="S",VLOOKUP('Raw Data'!A9052,References!#REF!,2,FALSE),(VLOOKUP($S9052,References!$B$3:$C$8,2,FALSE))),"")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48"/>
        <v>0</v>
      </c>
      <c r="T9053" s="98">
        <f t="shared" si="349"/>
        <v>0</v>
      </c>
      <c r="U9053" s="99" t="str">
        <f>IFERROR(IF(#REF!="S",VLOOKUP('Raw Data'!A9053,References!#REF!,2,FALSE),(VLOOKUP($S9053,References!$B$3:$C$8,2,FALSE))),"")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48"/>
        <v>0</v>
      </c>
      <c r="T9054" s="98">
        <f t="shared" si="349"/>
        <v>0</v>
      </c>
      <c r="U9054" s="99" t="str">
        <f>IFERROR(IF(#REF!="S",VLOOKUP('Raw Data'!A9054,References!#REF!,2,FALSE),(VLOOKUP($S9054,References!$B$3:$C$8,2,FALSE))),"")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48"/>
        <v>0</v>
      </c>
      <c r="T9055" s="98">
        <f t="shared" si="349"/>
        <v>0</v>
      </c>
      <c r="U9055" s="99" t="str">
        <f>IFERROR(IF(#REF!="S",VLOOKUP('Raw Data'!A9055,References!#REF!,2,FALSE),(VLOOKUP($S9055,References!$B$3:$C$8,2,FALSE))),"")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48"/>
        <v>0</v>
      </c>
      <c r="T9056" s="98">
        <f t="shared" si="349"/>
        <v>0</v>
      </c>
      <c r="U9056" s="99" t="str">
        <f>IFERROR(IF(#REF!="S",VLOOKUP('Raw Data'!A9056,References!#REF!,2,FALSE),(VLOOKUP($S9056,References!$B$3:$C$8,2,FALSE))),"")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48"/>
        <v>0</v>
      </c>
      <c r="T9057" s="98">
        <f t="shared" si="349"/>
        <v>0</v>
      </c>
      <c r="U9057" s="99" t="str">
        <f>IFERROR(IF(#REF!="S",VLOOKUP('Raw Data'!A9057,References!#REF!,2,FALSE),(VLOOKUP($S9057,References!$B$3:$C$8,2,FALSE))),"")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48"/>
        <v>0</v>
      </c>
      <c r="T9058" s="98">
        <f t="shared" si="349"/>
        <v>0</v>
      </c>
      <c r="U9058" s="99" t="str">
        <f>IFERROR(IF(#REF!="S",VLOOKUP('Raw Data'!A9058,References!#REF!,2,FALSE),(VLOOKUP($S9058,References!$B$3:$C$8,2,FALSE))),"")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48"/>
        <v>0</v>
      </c>
      <c r="T9059" s="98">
        <f t="shared" si="349"/>
        <v>0</v>
      </c>
      <c r="U9059" s="99" t="str">
        <f>IFERROR(IF(#REF!="S",VLOOKUP('Raw Data'!A9059,References!#REF!,2,FALSE),(VLOOKUP($S9059,References!$B$3:$C$8,2,FALSE))),"")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48"/>
        <v>0</v>
      </c>
      <c r="T9060" s="98">
        <f t="shared" si="349"/>
        <v>0</v>
      </c>
      <c r="U9060" s="99" t="str">
        <f>IFERROR(IF(#REF!="S",VLOOKUP('Raw Data'!A9060,References!#REF!,2,FALSE),(VLOOKUP($S9060,References!$B$3:$C$8,2,FALSE))),"")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48"/>
        <v>0</v>
      </c>
      <c r="T9061" s="98">
        <f t="shared" si="349"/>
        <v>0</v>
      </c>
      <c r="U9061" s="99" t="str">
        <f>IFERROR(IF(#REF!="S",VLOOKUP('Raw Data'!A9061,References!#REF!,2,FALSE),(VLOOKUP($S9061,References!$B$3:$C$8,2,FALSE))),"")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48"/>
        <v>0</v>
      </c>
      <c r="T9062" s="98">
        <f t="shared" si="349"/>
        <v>0</v>
      </c>
      <c r="U9062" s="99" t="str">
        <f>IFERROR(IF(#REF!="S",VLOOKUP('Raw Data'!A9062,References!#REF!,2,FALSE),(VLOOKUP($S9062,References!$B$3:$C$8,2,FALSE))),"")</f>
        <v/>
      </c>
      <c r="W9062" s="66" t="str">
        <f>IFERROR(VLOOKUP($O9062,'Customer List'!$A$1:$J$488,10,FALSE),"")</f>
        <v/>
      </c>
    </row>
    <row r="9063" spans="18:23">
      <c r="R9063" s="97">
        <f t="shared" si="348"/>
        <v>0</v>
      </c>
      <c r="T9063" s="98">
        <f t="shared" si="349"/>
        <v>0</v>
      </c>
      <c r="U9063" s="99" t="str">
        <f>IFERROR(IF(#REF!="S",VLOOKUP('Raw Data'!A9063,References!#REF!,2,FALSE),(VLOOKUP($S9063,References!$B$3:$C$8,2,FALSE))),"")</f>
        <v/>
      </c>
      <c r="W9063" s="66" t="str">
        <f>IFERROR(VLOOKUP($O9063,'Customer List'!$A$1:$J$488,10,FALSE),"")</f>
        <v/>
      </c>
    </row>
    <row r="9064" spans="18:23">
      <c r="R9064" s="97">
        <f t="shared" ref="R9064:R9127" si="350">L9064-K9064</f>
        <v>0</v>
      </c>
      <c r="T9064" s="98">
        <f t="shared" si="349"/>
        <v>0</v>
      </c>
      <c r="U9064" s="99" t="str">
        <f>IFERROR(IF(#REF!="S",VLOOKUP('Raw Data'!A9064,References!#REF!,2,FALSE),(VLOOKUP($S9064,References!$B$3:$C$8,2,FALSE))),"")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0"/>
        <v>0</v>
      </c>
      <c r="T9065" s="98">
        <f t="shared" si="349"/>
        <v>0</v>
      </c>
      <c r="U9065" s="99" t="str">
        <f>IFERROR(IF(#REF!="S",VLOOKUP('Raw Data'!A9065,References!#REF!,2,FALSE),(VLOOKUP($S9065,References!$B$3:$C$8,2,FALSE))),"")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0"/>
        <v>0</v>
      </c>
      <c r="T9066" s="98">
        <f t="shared" si="349"/>
        <v>0</v>
      </c>
      <c r="U9066" s="99" t="str">
        <f>IFERROR(IF(#REF!="S",VLOOKUP('Raw Data'!A9066,References!#REF!,2,FALSE),(VLOOKUP($S9066,References!$B$3:$C$8,2,FALSE))),"")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0"/>
        <v>0</v>
      </c>
      <c r="T9067" s="98">
        <f t="shared" si="349"/>
        <v>0</v>
      </c>
      <c r="U9067" s="99" t="str">
        <f>IFERROR(IF(#REF!="S",VLOOKUP('Raw Data'!A9067,References!#REF!,2,FALSE),(VLOOKUP($S9067,References!$B$3:$C$8,2,FALSE))),"")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0"/>
        <v>0</v>
      </c>
      <c r="T9068" s="98">
        <f t="shared" si="349"/>
        <v>0</v>
      </c>
      <c r="U9068" s="99" t="str">
        <f>IFERROR(IF(#REF!="S",VLOOKUP('Raw Data'!A9068,References!#REF!,2,FALSE),(VLOOKUP($S9068,References!$B$3:$C$8,2,FALSE))),"")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0"/>
        <v>0</v>
      </c>
      <c r="T9069" s="98">
        <f t="shared" si="349"/>
        <v>0</v>
      </c>
      <c r="U9069" s="99" t="str">
        <f>IFERROR(IF(#REF!="S",VLOOKUP('Raw Data'!A9069,References!#REF!,2,FALSE),(VLOOKUP($S9069,References!$B$3:$C$8,2,FALSE))),"")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0"/>
        <v>0</v>
      </c>
      <c r="T9070" s="98">
        <f t="shared" si="349"/>
        <v>0</v>
      </c>
      <c r="U9070" s="99" t="str">
        <f>IFERROR(IF(#REF!="S",VLOOKUP('Raw Data'!A9070,References!#REF!,2,FALSE),(VLOOKUP($S9070,References!$B$3:$C$8,2,FALSE))),"")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0"/>
        <v>0</v>
      </c>
      <c r="T9071" s="98">
        <f t="shared" si="349"/>
        <v>0</v>
      </c>
      <c r="U9071" s="99" t="str">
        <f>IFERROR(IF(#REF!="S",VLOOKUP('Raw Data'!A9071,References!#REF!,2,FALSE),(VLOOKUP($S9071,References!$B$3:$C$8,2,FALSE))),"")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0"/>
        <v>0</v>
      </c>
      <c r="T9072" s="98">
        <f t="shared" si="349"/>
        <v>0</v>
      </c>
      <c r="U9072" s="99" t="str">
        <f>IFERROR(IF(#REF!="S",VLOOKUP('Raw Data'!A9072,References!#REF!,2,FALSE),(VLOOKUP($S9072,References!$B$3:$C$8,2,FALSE))),"")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0"/>
        <v>0</v>
      </c>
      <c r="T9073" s="98">
        <f t="shared" si="349"/>
        <v>0</v>
      </c>
      <c r="U9073" s="99" t="str">
        <f>IFERROR(IF(#REF!="S",VLOOKUP('Raw Data'!A9073,References!#REF!,2,FALSE),(VLOOKUP($S9073,References!$B$3:$C$8,2,FALSE))),"")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0"/>
        <v>0</v>
      </c>
      <c r="T9074" s="98">
        <f t="shared" si="349"/>
        <v>0</v>
      </c>
      <c r="U9074" s="99" t="str">
        <f>IFERROR(IF(#REF!="S",VLOOKUP('Raw Data'!A9074,References!#REF!,2,FALSE),(VLOOKUP($S9074,References!$B$3:$C$8,2,FALSE))),"")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0"/>
        <v>0</v>
      </c>
      <c r="T9075" s="98">
        <f t="shared" si="349"/>
        <v>0</v>
      </c>
      <c r="U9075" s="99" t="str">
        <f>IFERROR(IF(#REF!="S",VLOOKUP('Raw Data'!A9075,References!#REF!,2,FALSE),(VLOOKUP($S9075,References!$B$3:$C$8,2,FALSE))),"")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0"/>
        <v>0</v>
      </c>
      <c r="T9076" s="98">
        <f t="shared" si="349"/>
        <v>0</v>
      </c>
      <c r="U9076" s="99" t="str">
        <f>IFERROR(IF(#REF!="S",VLOOKUP('Raw Data'!A9076,References!#REF!,2,FALSE),(VLOOKUP($S9076,References!$B$3:$C$8,2,FALSE))),"")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0"/>
        <v>0</v>
      </c>
      <c r="T9077" s="98">
        <f t="shared" si="349"/>
        <v>0</v>
      </c>
      <c r="U9077" s="99" t="str">
        <f>IFERROR(IF(#REF!="S",VLOOKUP('Raw Data'!A9077,References!#REF!,2,FALSE),(VLOOKUP($S9077,References!$B$3:$C$8,2,FALSE))),"")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0"/>
        <v>0</v>
      </c>
      <c r="T9078" s="98">
        <f t="shared" si="349"/>
        <v>0</v>
      </c>
      <c r="U9078" s="99" t="str">
        <f>IFERROR(IF(#REF!="S",VLOOKUP('Raw Data'!A9078,References!#REF!,2,FALSE),(VLOOKUP($S9078,References!$B$3:$C$8,2,FALSE))),"")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0"/>
        <v>0</v>
      </c>
      <c r="T9079" s="98">
        <f t="shared" si="349"/>
        <v>0</v>
      </c>
      <c r="U9079" s="99" t="str">
        <f>IFERROR(IF(#REF!="S",VLOOKUP('Raw Data'!A9079,References!#REF!,2,FALSE),(VLOOKUP($S9079,References!$B$3:$C$8,2,FALSE))),"")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0"/>
        <v>0</v>
      </c>
      <c r="T9080" s="98">
        <f t="shared" si="349"/>
        <v>0</v>
      </c>
      <c r="U9080" s="99" t="str">
        <f>IFERROR(IF(#REF!="S",VLOOKUP('Raw Data'!A9080,References!#REF!,2,FALSE),(VLOOKUP($S9080,References!$B$3:$C$8,2,FALSE))),"")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0"/>
        <v>0</v>
      </c>
      <c r="T9081" s="98">
        <f t="shared" si="349"/>
        <v>0</v>
      </c>
      <c r="U9081" s="99" t="str">
        <f>IFERROR(IF(#REF!="S",VLOOKUP('Raw Data'!A9081,References!#REF!,2,FALSE),(VLOOKUP($S9081,References!$B$3:$C$8,2,FALSE))),"")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0"/>
        <v>0</v>
      </c>
      <c r="T9082" s="98">
        <f t="shared" si="349"/>
        <v>0</v>
      </c>
      <c r="U9082" s="99" t="str">
        <f>IFERROR(IF(#REF!="S",VLOOKUP('Raw Data'!A9082,References!#REF!,2,FALSE),(VLOOKUP($S9082,References!$B$3:$C$8,2,FALSE))),"")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0"/>
        <v>0</v>
      </c>
      <c r="T9083" s="98">
        <f t="shared" si="349"/>
        <v>0</v>
      </c>
      <c r="U9083" s="99" t="str">
        <f>IFERROR(IF(#REF!="S",VLOOKUP('Raw Data'!A9083,References!#REF!,2,FALSE),(VLOOKUP($S9083,References!$B$3:$C$8,2,FALSE))),"")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0"/>
        <v>0</v>
      </c>
      <c r="T9084" s="98">
        <f t="shared" si="349"/>
        <v>0</v>
      </c>
      <c r="U9084" s="99" t="str">
        <f>IFERROR(IF(#REF!="S",VLOOKUP('Raw Data'!A9084,References!#REF!,2,FALSE),(VLOOKUP($S9084,References!$B$3:$C$8,2,FALSE))),"")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0"/>
        <v>0</v>
      </c>
      <c r="T9085" s="98">
        <f t="shared" si="349"/>
        <v>0</v>
      </c>
      <c r="U9085" s="99" t="str">
        <f>IFERROR(IF(#REF!="S",VLOOKUP('Raw Data'!A9085,References!#REF!,2,FALSE),(VLOOKUP($S9085,References!$B$3:$C$8,2,FALSE))),"")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0"/>
        <v>0</v>
      </c>
      <c r="T9086" s="98">
        <f t="shared" si="349"/>
        <v>0</v>
      </c>
      <c r="U9086" s="99" t="str">
        <f>IFERROR(IF(#REF!="S",VLOOKUP('Raw Data'!A9086,References!#REF!,2,FALSE),(VLOOKUP($S9086,References!$B$3:$C$8,2,FALSE))),"")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0"/>
        <v>0</v>
      </c>
      <c r="T9087" s="98">
        <f t="shared" si="349"/>
        <v>0</v>
      </c>
      <c r="U9087" s="99" t="str">
        <f>IFERROR(IF(#REF!="S",VLOOKUP('Raw Data'!A9087,References!#REF!,2,FALSE),(VLOOKUP($S9087,References!$B$3:$C$8,2,FALSE))),"")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0"/>
        <v>0</v>
      </c>
      <c r="T9088" s="98">
        <f t="shared" si="349"/>
        <v>0</v>
      </c>
      <c r="U9088" s="99" t="str">
        <f>IFERROR(IF(#REF!="S",VLOOKUP('Raw Data'!A9088,References!#REF!,2,FALSE),(VLOOKUP($S9088,References!$B$3:$C$8,2,FALSE))),"")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0"/>
        <v>0</v>
      </c>
      <c r="T9089" s="98">
        <f t="shared" si="349"/>
        <v>0</v>
      </c>
      <c r="U9089" s="99" t="str">
        <f>IFERROR(IF(#REF!="S",VLOOKUP('Raw Data'!A9089,References!#REF!,2,FALSE),(VLOOKUP($S9089,References!$B$3:$C$8,2,FALSE))),"")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0"/>
        <v>0</v>
      </c>
      <c r="T9090" s="98">
        <f t="shared" si="349"/>
        <v>0</v>
      </c>
      <c r="U9090" s="99" t="str">
        <f>IFERROR(IF(#REF!="S",VLOOKUP('Raw Data'!A9090,References!#REF!,2,FALSE),(VLOOKUP($S9090,References!$B$3:$C$8,2,FALSE))),"")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0"/>
        <v>0</v>
      </c>
      <c r="T9091" s="98">
        <f t="shared" si="349"/>
        <v>0</v>
      </c>
      <c r="U9091" s="99" t="str">
        <f>IFERROR(IF(#REF!="S",VLOOKUP('Raw Data'!A9091,References!#REF!,2,FALSE),(VLOOKUP($S9091,References!$B$3:$C$8,2,FALSE))),"")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0"/>
        <v>0</v>
      </c>
      <c r="T9092" s="98">
        <f t="shared" si="349"/>
        <v>0</v>
      </c>
      <c r="U9092" s="99" t="str">
        <f>IFERROR(IF(#REF!="S",VLOOKUP('Raw Data'!A9092,References!#REF!,2,FALSE),(VLOOKUP($S9092,References!$B$3:$C$8,2,FALSE))),"")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0"/>
        <v>0</v>
      </c>
      <c r="T9093" s="98">
        <f t="shared" si="349"/>
        <v>0</v>
      </c>
      <c r="U9093" s="99" t="str">
        <f>IFERROR(IF(#REF!="S",VLOOKUP('Raw Data'!A9093,References!#REF!,2,FALSE),(VLOOKUP($S9093,References!$B$3:$C$8,2,FALSE))),"")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0"/>
        <v>0</v>
      </c>
      <c r="T9094" s="98">
        <f t="shared" si="349"/>
        <v>0</v>
      </c>
      <c r="U9094" s="99" t="str">
        <f>IFERROR(IF(#REF!="S",VLOOKUP('Raw Data'!A9094,References!#REF!,2,FALSE),(VLOOKUP($S9094,References!$B$3:$C$8,2,FALSE))),"")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0"/>
        <v>0</v>
      </c>
      <c r="T9095" s="98">
        <f t="shared" si="349"/>
        <v>0</v>
      </c>
      <c r="U9095" s="99" t="str">
        <f>IFERROR(IF(#REF!="S",VLOOKUP('Raw Data'!A9095,References!#REF!,2,FALSE),(VLOOKUP($S9095,References!$B$3:$C$8,2,FALSE))),"")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0"/>
        <v>0</v>
      </c>
      <c r="T9096" s="98">
        <f t="shared" si="349"/>
        <v>0</v>
      </c>
      <c r="U9096" s="99" t="str">
        <f>IFERROR(IF(#REF!="S",VLOOKUP('Raw Data'!A9096,References!#REF!,2,FALSE),(VLOOKUP($S9096,References!$B$3:$C$8,2,FALSE))),"")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0"/>
        <v>0</v>
      </c>
      <c r="T9097" s="98">
        <f t="shared" si="349"/>
        <v>0</v>
      </c>
      <c r="U9097" s="99" t="str">
        <f>IFERROR(IF(#REF!="S",VLOOKUP('Raw Data'!A9097,References!#REF!,2,FALSE),(VLOOKUP($S9097,References!$B$3:$C$8,2,FALSE))),"")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0"/>
        <v>0</v>
      </c>
      <c r="T9098" s="98">
        <f t="shared" si="349"/>
        <v>0</v>
      </c>
      <c r="U9098" s="99" t="str">
        <f>IFERROR(IF(#REF!="S",VLOOKUP('Raw Data'!A9098,References!#REF!,2,FALSE),(VLOOKUP($S9098,References!$B$3:$C$8,2,FALSE))),"")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0"/>
        <v>0</v>
      </c>
      <c r="T9099" s="98">
        <f t="shared" si="349"/>
        <v>0</v>
      </c>
      <c r="U9099" s="99" t="str">
        <f>IFERROR(IF(#REF!="S",VLOOKUP('Raw Data'!A9099,References!#REF!,2,FALSE),(VLOOKUP($S9099,References!$B$3:$C$8,2,FALSE))),"")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0"/>
        <v>0</v>
      </c>
      <c r="T9100" s="98">
        <f t="shared" si="349"/>
        <v>0</v>
      </c>
      <c r="U9100" s="99" t="str">
        <f>IFERROR(IF(#REF!="S",VLOOKUP('Raw Data'!A9100,References!#REF!,2,FALSE),(VLOOKUP($S9100,References!$B$3:$C$8,2,FALSE))),"")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0"/>
        <v>0</v>
      </c>
      <c r="T9101" s="98">
        <f t="shared" si="349"/>
        <v>0</v>
      </c>
      <c r="U9101" s="99" t="str">
        <f>IFERROR(IF(#REF!="S",VLOOKUP('Raw Data'!A9101,References!#REF!,2,FALSE),(VLOOKUP($S9101,References!$B$3:$C$8,2,FALSE))),"")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0"/>
        <v>0</v>
      </c>
      <c r="T9102" s="98">
        <f t="shared" si="349"/>
        <v>0</v>
      </c>
      <c r="U9102" s="99" t="str">
        <f>IFERROR(IF(#REF!="S",VLOOKUP('Raw Data'!A9102,References!#REF!,2,FALSE),(VLOOKUP($S9102,References!$B$3:$C$8,2,FALSE))),"")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0"/>
        <v>0</v>
      </c>
      <c r="T9103" s="98">
        <f t="shared" si="349"/>
        <v>0</v>
      </c>
      <c r="U9103" s="99" t="str">
        <f>IFERROR(IF(#REF!="S",VLOOKUP('Raw Data'!A9103,References!#REF!,2,FALSE),(VLOOKUP($S9103,References!$B$3:$C$8,2,FALSE))),"")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0"/>
        <v>0</v>
      </c>
      <c r="T9104" s="98">
        <f t="shared" ref="T9104:T9167" si="351">IF(S9104="50 - Cleaning Fee",1,HOUR($R9104)+MINUTE(R9104)/60)</f>
        <v>0</v>
      </c>
      <c r="U9104" s="99" t="str">
        <f>IFERROR(IF(#REF!="S",VLOOKUP('Raw Data'!A9104,References!#REF!,2,FALSE),(VLOOKUP($S9104,References!$B$3:$C$8,2,FALSE))),"")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0"/>
        <v>0</v>
      </c>
      <c r="T9105" s="98">
        <f t="shared" si="351"/>
        <v>0</v>
      </c>
      <c r="U9105" s="99" t="str">
        <f>IFERROR(IF(#REF!="S",VLOOKUP('Raw Data'!A9105,References!#REF!,2,FALSE),(VLOOKUP($S9105,References!$B$3:$C$8,2,FALSE))),"")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0"/>
        <v>0</v>
      </c>
      <c r="T9106" s="98">
        <f t="shared" si="351"/>
        <v>0</v>
      </c>
      <c r="U9106" s="99" t="str">
        <f>IFERROR(IF(#REF!="S",VLOOKUP('Raw Data'!A9106,References!#REF!,2,FALSE),(VLOOKUP($S9106,References!$B$3:$C$8,2,FALSE))),"")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0"/>
        <v>0</v>
      </c>
      <c r="T9107" s="98">
        <f t="shared" si="351"/>
        <v>0</v>
      </c>
      <c r="U9107" s="99" t="str">
        <f>IFERROR(IF(#REF!="S",VLOOKUP('Raw Data'!A9107,References!#REF!,2,FALSE),(VLOOKUP($S9107,References!$B$3:$C$8,2,FALSE))),"")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0"/>
        <v>0</v>
      </c>
      <c r="T9108" s="98">
        <f t="shared" si="351"/>
        <v>0</v>
      </c>
      <c r="U9108" s="99" t="str">
        <f>IFERROR(IF(#REF!="S",VLOOKUP('Raw Data'!A9108,References!#REF!,2,FALSE),(VLOOKUP($S9108,References!$B$3:$C$8,2,FALSE))),"")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0"/>
        <v>0</v>
      </c>
      <c r="T9109" s="98">
        <f t="shared" si="351"/>
        <v>0</v>
      </c>
      <c r="U9109" s="99" t="str">
        <f>IFERROR(IF(#REF!="S",VLOOKUP('Raw Data'!A9109,References!#REF!,2,FALSE),(VLOOKUP($S9109,References!$B$3:$C$8,2,FALSE))),"")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0"/>
        <v>0</v>
      </c>
      <c r="T9110" s="98">
        <f t="shared" si="351"/>
        <v>0</v>
      </c>
      <c r="U9110" s="99" t="str">
        <f>IFERROR(IF(#REF!="S",VLOOKUP('Raw Data'!A9110,References!#REF!,2,FALSE),(VLOOKUP($S9110,References!$B$3:$C$8,2,FALSE))),"")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0"/>
        <v>0</v>
      </c>
      <c r="T9111" s="98">
        <f t="shared" si="351"/>
        <v>0</v>
      </c>
      <c r="U9111" s="99" t="str">
        <f>IFERROR(IF(#REF!="S",VLOOKUP('Raw Data'!A9111,References!#REF!,2,FALSE),(VLOOKUP($S9111,References!$B$3:$C$8,2,FALSE))),"")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0"/>
        <v>0</v>
      </c>
      <c r="T9112" s="98">
        <f t="shared" si="351"/>
        <v>0</v>
      </c>
      <c r="U9112" s="99" t="str">
        <f>IFERROR(IF(#REF!="S",VLOOKUP('Raw Data'!A9112,References!#REF!,2,FALSE),(VLOOKUP($S9112,References!$B$3:$C$8,2,FALSE))),"")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0"/>
        <v>0</v>
      </c>
      <c r="T9113" s="98">
        <f t="shared" si="351"/>
        <v>0</v>
      </c>
      <c r="U9113" s="99" t="str">
        <f>IFERROR(IF(#REF!="S",VLOOKUP('Raw Data'!A9113,References!#REF!,2,FALSE),(VLOOKUP($S9113,References!$B$3:$C$8,2,FALSE))),"")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0"/>
        <v>0</v>
      </c>
      <c r="T9114" s="98">
        <f t="shared" si="351"/>
        <v>0</v>
      </c>
      <c r="U9114" s="99" t="str">
        <f>IFERROR(IF(#REF!="S",VLOOKUP('Raw Data'!A9114,References!#REF!,2,FALSE),(VLOOKUP($S9114,References!$B$3:$C$8,2,FALSE))),"")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0"/>
        <v>0</v>
      </c>
      <c r="T9115" s="98">
        <f t="shared" si="351"/>
        <v>0</v>
      </c>
      <c r="U9115" s="99" t="str">
        <f>IFERROR(IF(#REF!="S",VLOOKUP('Raw Data'!A9115,References!#REF!,2,FALSE),(VLOOKUP($S9115,References!$B$3:$C$8,2,FALSE))),"")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0"/>
        <v>0</v>
      </c>
      <c r="T9116" s="98">
        <f t="shared" si="351"/>
        <v>0</v>
      </c>
      <c r="U9116" s="99" t="str">
        <f>IFERROR(IF(#REF!="S",VLOOKUP('Raw Data'!A9116,References!#REF!,2,FALSE),(VLOOKUP($S9116,References!$B$3:$C$8,2,FALSE))),"")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0"/>
        <v>0</v>
      </c>
      <c r="T9117" s="98">
        <f t="shared" si="351"/>
        <v>0</v>
      </c>
      <c r="U9117" s="99" t="str">
        <f>IFERROR(IF(#REF!="S",VLOOKUP('Raw Data'!A9117,References!#REF!,2,FALSE),(VLOOKUP($S9117,References!$B$3:$C$8,2,FALSE))),"")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0"/>
        <v>0</v>
      </c>
      <c r="T9118" s="98">
        <f t="shared" si="351"/>
        <v>0</v>
      </c>
      <c r="U9118" s="99" t="str">
        <f>IFERROR(IF(#REF!="S",VLOOKUP('Raw Data'!A9118,References!#REF!,2,FALSE),(VLOOKUP($S9118,References!$B$3:$C$8,2,FALSE))),"")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0"/>
        <v>0</v>
      </c>
      <c r="T9119" s="98">
        <f t="shared" si="351"/>
        <v>0</v>
      </c>
      <c r="U9119" s="99" t="str">
        <f>IFERROR(IF(#REF!="S",VLOOKUP('Raw Data'!A9119,References!#REF!,2,FALSE),(VLOOKUP($S9119,References!$B$3:$C$8,2,FALSE))),"")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0"/>
        <v>0</v>
      </c>
      <c r="T9120" s="98">
        <f t="shared" si="351"/>
        <v>0</v>
      </c>
      <c r="U9120" s="99" t="str">
        <f>IFERROR(IF(#REF!="S",VLOOKUP('Raw Data'!A9120,References!#REF!,2,FALSE),(VLOOKUP($S9120,References!$B$3:$C$8,2,FALSE))),"")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0"/>
        <v>0</v>
      </c>
      <c r="T9121" s="98">
        <f t="shared" si="351"/>
        <v>0</v>
      </c>
      <c r="U9121" s="99" t="str">
        <f>IFERROR(IF(#REF!="S",VLOOKUP('Raw Data'!A9121,References!#REF!,2,FALSE),(VLOOKUP($S9121,References!$B$3:$C$8,2,FALSE))),"")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0"/>
        <v>0</v>
      </c>
      <c r="T9122" s="98">
        <f t="shared" si="351"/>
        <v>0</v>
      </c>
      <c r="U9122" s="99" t="str">
        <f>IFERROR(IF(#REF!="S",VLOOKUP('Raw Data'!A9122,References!#REF!,2,FALSE),(VLOOKUP($S9122,References!$B$3:$C$8,2,FALSE))),"")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0"/>
        <v>0</v>
      </c>
      <c r="T9123" s="98">
        <f t="shared" si="351"/>
        <v>0</v>
      </c>
      <c r="U9123" s="99" t="str">
        <f>IFERROR(IF(#REF!="S",VLOOKUP('Raw Data'!A9123,References!#REF!,2,FALSE),(VLOOKUP($S9123,References!$B$3:$C$8,2,FALSE))),"")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0"/>
        <v>0</v>
      </c>
      <c r="T9124" s="98">
        <f t="shared" si="351"/>
        <v>0</v>
      </c>
      <c r="U9124" s="99" t="str">
        <f>IFERROR(IF(#REF!="S",VLOOKUP('Raw Data'!A9124,References!#REF!,2,FALSE),(VLOOKUP($S9124,References!$B$3:$C$8,2,FALSE))),"")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0"/>
        <v>0</v>
      </c>
      <c r="T9125" s="98">
        <f t="shared" si="351"/>
        <v>0</v>
      </c>
      <c r="U9125" s="99" t="str">
        <f>IFERROR(IF(#REF!="S",VLOOKUP('Raw Data'!A9125,References!#REF!,2,FALSE),(VLOOKUP($S9125,References!$B$3:$C$8,2,FALSE))),"")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0"/>
        <v>0</v>
      </c>
      <c r="T9126" s="98">
        <f t="shared" si="351"/>
        <v>0</v>
      </c>
      <c r="U9126" s="99" t="str">
        <f>IFERROR(IF(#REF!="S",VLOOKUP('Raw Data'!A9126,References!#REF!,2,FALSE),(VLOOKUP($S9126,References!$B$3:$C$8,2,FALSE))),"")</f>
        <v/>
      </c>
      <c r="W9126" s="66" t="str">
        <f>IFERROR(VLOOKUP($O9126,'Customer List'!$A$1:$J$488,10,FALSE),"")</f>
        <v/>
      </c>
    </row>
    <row r="9127" spans="18:23">
      <c r="R9127" s="97">
        <f t="shared" si="350"/>
        <v>0</v>
      </c>
      <c r="T9127" s="98">
        <f t="shared" si="351"/>
        <v>0</v>
      </c>
      <c r="U9127" s="99" t="str">
        <f>IFERROR(IF(#REF!="S",VLOOKUP('Raw Data'!A9127,References!#REF!,2,FALSE),(VLOOKUP($S9127,References!$B$3:$C$8,2,FALSE))),"")</f>
        <v/>
      </c>
      <c r="W9127" s="66" t="str">
        <f>IFERROR(VLOOKUP($O9127,'Customer List'!$A$1:$J$488,10,FALSE),"")</f>
        <v/>
      </c>
    </row>
    <row r="9128" spans="18:23">
      <c r="R9128" s="97">
        <f t="shared" ref="R9128:R9191" si="352">L9128-K9128</f>
        <v>0</v>
      </c>
      <c r="T9128" s="98">
        <f t="shared" si="351"/>
        <v>0</v>
      </c>
      <c r="U9128" s="99" t="str">
        <f>IFERROR(IF(#REF!="S",VLOOKUP('Raw Data'!A9128,References!#REF!,2,FALSE),(VLOOKUP($S9128,References!$B$3:$C$8,2,FALSE))),"")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2"/>
        <v>0</v>
      </c>
      <c r="T9129" s="98">
        <f t="shared" si="351"/>
        <v>0</v>
      </c>
      <c r="U9129" s="99" t="str">
        <f>IFERROR(IF(#REF!="S",VLOOKUP('Raw Data'!A9129,References!#REF!,2,FALSE),(VLOOKUP($S9129,References!$B$3:$C$8,2,FALSE))),"")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2"/>
        <v>0</v>
      </c>
      <c r="T9130" s="98">
        <f t="shared" si="351"/>
        <v>0</v>
      </c>
      <c r="U9130" s="99" t="str">
        <f>IFERROR(IF(#REF!="S",VLOOKUP('Raw Data'!A9130,References!#REF!,2,FALSE),(VLOOKUP($S9130,References!$B$3:$C$8,2,FALSE))),"")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2"/>
        <v>0</v>
      </c>
      <c r="T9131" s="98">
        <f t="shared" si="351"/>
        <v>0</v>
      </c>
      <c r="U9131" s="99" t="str">
        <f>IFERROR(IF(#REF!="S",VLOOKUP('Raw Data'!A9131,References!#REF!,2,FALSE),(VLOOKUP($S9131,References!$B$3:$C$8,2,FALSE))),"")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2"/>
        <v>0</v>
      </c>
      <c r="T9132" s="98">
        <f t="shared" si="351"/>
        <v>0</v>
      </c>
      <c r="U9132" s="99" t="str">
        <f>IFERROR(IF(#REF!="S",VLOOKUP('Raw Data'!A9132,References!#REF!,2,FALSE),(VLOOKUP($S9132,References!$B$3:$C$8,2,FALSE))),"")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2"/>
        <v>0</v>
      </c>
      <c r="T9133" s="98">
        <f t="shared" si="351"/>
        <v>0</v>
      </c>
      <c r="U9133" s="99" t="str">
        <f>IFERROR(IF(#REF!="S",VLOOKUP('Raw Data'!A9133,References!#REF!,2,FALSE),(VLOOKUP($S9133,References!$B$3:$C$8,2,FALSE))),"")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2"/>
        <v>0</v>
      </c>
      <c r="T9134" s="98">
        <f t="shared" si="351"/>
        <v>0</v>
      </c>
      <c r="U9134" s="99" t="str">
        <f>IFERROR(IF(#REF!="S",VLOOKUP('Raw Data'!A9134,References!#REF!,2,FALSE),(VLOOKUP($S9134,References!$B$3:$C$8,2,FALSE))),"")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2"/>
        <v>0</v>
      </c>
      <c r="T9135" s="98">
        <f t="shared" si="351"/>
        <v>0</v>
      </c>
      <c r="U9135" s="99" t="str">
        <f>IFERROR(IF(#REF!="S",VLOOKUP('Raw Data'!A9135,References!#REF!,2,FALSE),(VLOOKUP($S9135,References!$B$3:$C$8,2,FALSE))),"")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2"/>
        <v>0</v>
      </c>
      <c r="T9136" s="98">
        <f t="shared" si="351"/>
        <v>0</v>
      </c>
      <c r="U9136" s="99" t="str">
        <f>IFERROR(IF(#REF!="S",VLOOKUP('Raw Data'!A9136,References!#REF!,2,FALSE),(VLOOKUP($S9136,References!$B$3:$C$8,2,FALSE))),"")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2"/>
        <v>0</v>
      </c>
      <c r="T9137" s="98">
        <f t="shared" si="351"/>
        <v>0</v>
      </c>
      <c r="U9137" s="99" t="str">
        <f>IFERROR(IF(#REF!="S",VLOOKUP('Raw Data'!A9137,References!#REF!,2,FALSE),(VLOOKUP($S9137,References!$B$3:$C$8,2,FALSE))),"")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2"/>
        <v>0</v>
      </c>
      <c r="T9138" s="98">
        <f t="shared" si="351"/>
        <v>0</v>
      </c>
      <c r="U9138" s="99" t="str">
        <f>IFERROR(IF(#REF!="S",VLOOKUP('Raw Data'!A9138,References!#REF!,2,FALSE),(VLOOKUP($S9138,References!$B$3:$C$8,2,FALSE))),"")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2"/>
        <v>0</v>
      </c>
      <c r="T9139" s="98">
        <f t="shared" si="351"/>
        <v>0</v>
      </c>
      <c r="U9139" s="99" t="str">
        <f>IFERROR(IF(#REF!="S",VLOOKUP('Raw Data'!A9139,References!#REF!,2,FALSE),(VLOOKUP($S9139,References!$B$3:$C$8,2,FALSE))),"")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2"/>
        <v>0</v>
      </c>
      <c r="T9140" s="98">
        <f t="shared" si="351"/>
        <v>0</v>
      </c>
      <c r="U9140" s="99" t="str">
        <f>IFERROR(IF(#REF!="S",VLOOKUP('Raw Data'!A9140,References!#REF!,2,FALSE),(VLOOKUP($S9140,References!$B$3:$C$8,2,FALSE))),"")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2"/>
        <v>0</v>
      </c>
      <c r="T9141" s="98">
        <f t="shared" si="351"/>
        <v>0</v>
      </c>
      <c r="U9141" s="99" t="str">
        <f>IFERROR(IF(#REF!="S",VLOOKUP('Raw Data'!A9141,References!#REF!,2,FALSE),(VLOOKUP($S9141,References!$B$3:$C$8,2,FALSE))),"")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2"/>
        <v>0</v>
      </c>
      <c r="T9142" s="98">
        <f t="shared" si="351"/>
        <v>0</v>
      </c>
      <c r="U9142" s="99" t="str">
        <f>IFERROR(IF(#REF!="S",VLOOKUP('Raw Data'!A9142,References!#REF!,2,FALSE),(VLOOKUP($S9142,References!$B$3:$C$8,2,FALSE))),"")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2"/>
        <v>0</v>
      </c>
      <c r="T9143" s="98">
        <f t="shared" si="351"/>
        <v>0</v>
      </c>
      <c r="U9143" s="99" t="str">
        <f>IFERROR(IF(#REF!="S",VLOOKUP('Raw Data'!A9143,References!#REF!,2,FALSE),(VLOOKUP($S9143,References!$B$3:$C$8,2,FALSE))),"")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2"/>
        <v>0</v>
      </c>
      <c r="T9144" s="98">
        <f t="shared" si="351"/>
        <v>0</v>
      </c>
      <c r="U9144" s="99" t="str">
        <f>IFERROR(IF(#REF!="S",VLOOKUP('Raw Data'!A9144,References!#REF!,2,FALSE),(VLOOKUP($S9144,References!$B$3:$C$8,2,FALSE))),"")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2"/>
        <v>0</v>
      </c>
      <c r="T9145" s="98">
        <f t="shared" si="351"/>
        <v>0</v>
      </c>
      <c r="U9145" s="99" t="str">
        <f>IFERROR(IF(#REF!="S",VLOOKUP('Raw Data'!A9145,References!#REF!,2,FALSE),(VLOOKUP($S9145,References!$B$3:$C$8,2,FALSE))),"")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2"/>
        <v>0</v>
      </c>
      <c r="T9146" s="98">
        <f t="shared" si="351"/>
        <v>0</v>
      </c>
      <c r="U9146" s="99" t="str">
        <f>IFERROR(IF(#REF!="S",VLOOKUP('Raw Data'!A9146,References!#REF!,2,FALSE),(VLOOKUP($S9146,References!$B$3:$C$8,2,FALSE))),"")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2"/>
        <v>0</v>
      </c>
      <c r="T9147" s="98">
        <f t="shared" si="351"/>
        <v>0</v>
      </c>
      <c r="U9147" s="99" t="str">
        <f>IFERROR(IF(#REF!="S",VLOOKUP('Raw Data'!A9147,References!#REF!,2,FALSE),(VLOOKUP($S9147,References!$B$3:$C$8,2,FALSE))),"")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2"/>
        <v>0</v>
      </c>
      <c r="T9148" s="98">
        <f t="shared" si="351"/>
        <v>0</v>
      </c>
      <c r="U9148" s="99" t="str">
        <f>IFERROR(IF(#REF!="S",VLOOKUP('Raw Data'!A9148,References!#REF!,2,FALSE),(VLOOKUP($S9148,References!$B$3:$C$8,2,FALSE))),"")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2"/>
        <v>0</v>
      </c>
      <c r="T9149" s="98">
        <f t="shared" si="351"/>
        <v>0</v>
      </c>
      <c r="U9149" s="99" t="str">
        <f>IFERROR(IF(#REF!="S",VLOOKUP('Raw Data'!A9149,References!#REF!,2,FALSE),(VLOOKUP($S9149,References!$B$3:$C$8,2,FALSE))),"")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2"/>
        <v>0</v>
      </c>
      <c r="T9150" s="98">
        <f t="shared" si="351"/>
        <v>0</v>
      </c>
      <c r="U9150" s="99" t="str">
        <f>IFERROR(IF(#REF!="S",VLOOKUP('Raw Data'!A9150,References!#REF!,2,FALSE),(VLOOKUP($S9150,References!$B$3:$C$8,2,FALSE))),"")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2"/>
        <v>0</v>
      </c>
      <c r="T9151" s="98">
        <f t="shared" si="351"/>
        <v>0</v>
      </c>
      <c r="U9151" s="99" t="str">
        <f>IFERROR(IF(#REF!="S",VLOOKUP('Raw Data'!A9151,References!#REF!,2,FALSE),(VLOOKUP($S9151,References!$B$3:$C$8,2,FALSE))),"")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2"/>
        <v>0</v>
      </c>
      <c r="T9152" s="98">
        <f t="shared" si="351"/>
        <v>0</v>
      </c>
      <c r="U9152" s="99" t="str">
        <f>IFERROR(IF(#REF!="S",VLOOKUP('Raw Data'!A9152,References!#REF!,2,FALSE),(VLOOKUP($S9152,References!$B$3:$C$8,2,FALSE))),"")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2"/>
        <v>0</v>
      </c>
      <c r="T9153" s="98">
        <f t="shared" si="351"/>
        <v>0</v>
      </c>
      <c r="U9153" s="99" t="str">
        <f>IFERROR(IF(#REF!="S",VLOOKUP('Raw Data'!A9153,References!#REF!,2,FALSE),(VLOOKUP($S9153,References!$B$3:$C$8,2,FALSE))),"")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2"/>
        <v>0</v>
      </c>
      <c r="T9154" s="98">
        <f t="shared" si="351"/>
        <v>0</v>
      </c>
      <c r="U9154" s="99" t="str">
        <f>IFERROR(IF(#REF!="S",VLOOKUP('Raw Data'!A9154,References!#REF!,2,FALSE),(VLOOKUP($S9154,References!$B$3:$C$8,2,FALSE))),"")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2"/>
        <v>0</v>
      </c>
      <c r="T9155" s="98">
        <f t="shared" si="351"/>
        <v>0</v>
      </c>
      <c r="U9155" s="99" t="str">
        <f>IFERROR(IF(#REF!="S",VLOOKUP('Raw Data'!A9155,References!#REF!,2,FALSE),(VLOOKUP($S9155,References!$B$3:$C$8,2,FALSE))),"")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2"/>
        <v>0</v>
      </c>
      <c r="T9156" s="98">
        <f t="shared" si="351"/>
        <v>0</v>
      </c>
      <c r="U9156" s="99" t="str">
        <f>IFERROR(IF(#REF!="S",VLOOKUP('Raw Data'!A9156,References!#REF!,2,FALSE),(VLOOKUP($S9156,References!$B$3:$C$8,2,FALSE))),"")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2"/>
        <v>0</v>
      </c>
      <c r="T9157" s="98">
        <f t="shared" si="351"/>
        <v>0</v>
      </c>
      <c r="U9157" s="99" t="str">
        <f>IFERROR(IF(#REF!="S",VLOOKUP('Raw Data'!A9157,References!#REF!,2,FALSE),(VLOOKUP($S9157,References!$B$3:$C$8,2,FALSE))),"")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2"/>
        <v>0</v>
      </c>
      <c r="T9158" s="98">
        <f t="shared" si="351"/>
        <v>0</v>
      </c>
      <c r="U9158" s="99" t="str">
        <f>IFERROR(IF(#REF!="S",VLOOKUP('Raw Data'!A9158,References!#REF!,2,FALSE),(VLOOKUP($S9158,References!$B$3:$C$8,2,FALSE))),"")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2"/>
        <v>0</v>
      </c>
      <c r="T9159" s="98">
        <f t="shared" si="351"/>
        <v>0</v>
      </c>
      <c r="U9159" s="99" t="str">
        <f>IFERROR(IF(#REF!="S",VLOOKUP('Raw Data'!A9159,References!#REF!,2,FALSE),(VLOOKUP($S9159,References!$B$3:$C$8,2,FALSE))),"")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2"/>
        <v>0</v>
      </c>
      <c r="T9160" s="98">
        <f t="shared" si="351"/>
        <v>0</v>
      </c>
      <c r="U9160" s="99" t="str">
        <f>IFERROR(IF(#REF!="S",VLOOKUP('Raw Data'!A9160,References!#REF!,2,FALSE),(VLOOKUP($S9160,References!$B$3:$C$8,2,FALSE))),"")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2"/>
        <v>0</v>
      </c>
      <c r="T9161" s="98">
        <f t="shared" si="351"/>
        <v>0</v>
      </c>
      <c r="U9161" s="99" t="str">
        <f>IFERROR(IF(#REF!="S",VLOOKUP('Raw Data'!A9161,References!#REF!,2,FALSE),(VLOOKUP($S9161,References!$B$3:$C$8,2,FALSE))),"")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2"/>
        <v>0</v>
      </c>
      <c r="T9162" s="98">
        <f t="shared" si="351"/>
        <v>0</v>
      </c>
      <c r="U9162" s="99" t="str">
        <f>IFERROR(IF(#REF!="S",VLOOKUP('Raw Data'!A9162,References!#REF!,2,FALSE),(VLOOKUP($S9162,References!$B$3:$C$8,2,FALSE))),"")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2"/>
        <v>0</v>
      </c>
      <c r="T9163" s="98">
        <f t="shared" si="351"/>
        <v>0</v>
      </c>
      <c r="U9163" s="99" t="str">
        <f>IFERROR(IF(#REF!="S",VLOOKUP('Raw Data'!A9163,References!#REF!,2,FALSE),(VLOOKUP($S9163,References!$B$3:$C$8,2,FALSE))),"")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2"/>
        <v>0</v>
      </c>
      <c r="T9164" s="98">
        <f t="shared" si="351"/>
        <v>0</v>
      </c>
      <c r="U9164" s="99" t="str">
        <f>IFERROR(IF(#REF!="S",VLOOKUP('Raw Data'!A9164,References!#REF!,2,FALSE),(VLOOKUP($S9164,References!$B$3:$C$8,2,FALSE))),"")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2"/>
        <v>0</v>
      </c>
      <c r="T9165" s="98">
        <f t="shared" si="351"/>
        <v>0</v>
      </c>
      <c r="U9165" s="99" t="str">
        <f>IFERROR(IF(#REF!="S",VLOOKUP('Raw Data'!A9165,References!#REF!,2,FALSE),(VLOOKUP($S9165,References!$B$3:$C$8,2,FALSE))),"")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2"/>
        <v>0</v>
      </c>
      <c r="T9166" s="98">
        <f t="shared" si="351"/>
        <v>0</v>
      </c>
      <c r="U9166" s="99" t="str">
        <f>IFERROR(IF(#REF!="S",VLOOKUP('Raw Data'!A9166,References!#REF!,2,FALSE),(VLOOKUP($S9166,References!$B$3:$C$8,2,FALSE))),"")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2"/>
        <v>0</v>
      </c>
      <c r="T9167" s="98">
        <f t="shared" si="351"/>
        <v>0</v>
      </c>
      <c r="U9167" s="99" t="str">
        <f>IFERROR(IF(#REF!="S",VLOOKUP('Raw Data'!A9167,References!#REF!,2,FALSE),(VLOOKUP($S9167,References!$B$3:$C$8,2,FALSE))),"")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2"/>
        <v>0</v>
      </c>
      <c r="T9168" s="98">
        <f t="shared" ref="T9168:T9231" si="353">IF(S9168="50 - Cleaning Fee",1,HOUR($R9168)+MINUTE(R9168)/60)</f>
        <v>0</v>
      </c>
      <c r="U9168" s="99" t="str">
        <f>IFERROR(IF(#REF!="S",VLOOKUP('Raw Data'!A9168,References!#REF!,2,FALSE),(VLOOKUP($S9168,References!$B$3:$C$8,2,FALSE))),"")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2"/>
        <v>0</v>
      </c>
      <c r="T9169" s="98">
        <f t="shared" si="353"/>
        <v>0</v>
      </c>
      <c r="U9169" s="99" t="str">
        <f>IFERROR(IF(#REF!="S",VLOOKUP('Raw Data'!A9169,References!#REF!,2,FALSE),(VLOOKUP($S9169,References!$B$3:$C$8,2,FALSE))),"")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2"/>
        <v>0</v>
      </c>
      <c r="T9170" s="98">
        <f t="shared" si="353"/>
        <v>0</v>
      </c>
      <c r="U9170" s="99" t="str">
        <f>IFERROR(IF(#REF!="S",VLOOKUP('Raw Data'!A9170,References!#REF!,2,FALSE),(VLOOKUP($S9170,References!$B$3:$C$8,2,FALSE))),"")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2"/>
        <v>0</v>
      </c>
      <c r="T9171" s="98">
        <f t="shared" si="353"/>
        <v>0</v>
      </c>
      <c r="U9171" s="99" t="str">
        <f>IFERROR(IF(#REF!="S",VLOOKUP('Raw Data'!A9171,References!#REF!,2,FALSE),(VLOOKUP($S9171,References!$B$3:$C$8,2,FALSE))),"")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2"/>
        <v>0</v>
      </c>
      <c r="T9172" s="98">
        <f t="shared" si="353"/>
        <v>0</v>
      </c>
      <c r="U9172" s="99" t="str">
        <f>IFERROR(IF(#REF!="S",VLOOKUP('Raw Data'!A9172,References!#REF!,2,FALSE),(VLOOKUP($S9172,References!$B$3:$C$8,2,FALSE))),"")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2"/>
        <v>0</v>
      </c>
      <c r="T9173" s="98">
        <f t="shared" si="353"/>
        <v>0</v>
      </c>
      <c r="U9173" s="99" t="str">
        <f>IFERROR(IF(#REF!="S",VLOOKUP('Raw Data'!A9173,References!#REF!,2,FALSE),(VLOOKUP($S9173,References!$B$3:$C$8,2,FALSE))),"")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2"/>
        <v>0</v>
      </c>
      <c r="T9174" s="98">
        <f t="shared" si="353"/>
        <v>0</v>
      </c>
      <c r="U9174" s="99" t="str">
        <f>IFERROR(IF(#REF!="S",VLOOKUP('Raw Data'!A9174,References!#REF!,2,FALSE),(VLOOKUP($S9174,References!$B$3:$C$8,2,FALSE))),"")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2"/>
        <v>0</v>
      </c>
      <c r="T9175" s="98">
        <f t="shared" si="353"/>
        <v>0</v>
      </c>
      <c r="U9175" s="99" t="str">
        <f>IFERROR(IF(#REF!="S",VLOOKUP('Raw Data'!A9175,References!#REF!,2,FALSE),(VLOOKUP($S9175,References!$B$3:$C$8,2,FALSE))),"")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2"/>
        <v>0</v>
      </c>
      <c r="T9176" s="98">
        <f t="shared" si="353"/>
        <v>0</v>
      </c>
      <c r="U9176" s="99" t="str">
        <f>IFERROR(IF(#REF!="S",VLOOKUP('Raw Data'!A9176,References!#REF!,2,FALSE),(VLOOKUP($S9176,References!$B$3:$C$8,2,FALSE))),"")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2"/>
        <v>0</v>
      </c>
      <c r="T9177" s="98">
        <f t="shared" si="353"/>
        <v>0</v>
      </c>
      <c r="U9177" s="99" t="str">
        <f>IFERROR(IF(#REF!="S",VLOOKUP('Raw Data'!A9177,References!#REF!,2,FALSE),(VLOOKUP($S9177,References!$B$3:$C$8,2,FALSE))),"")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2"/>
        <v>0</v>
      </c>
      <c r="T9178" s="98">
        <f t="shared" si="353"/>
        <v>0</v>
      </c>
      <c r="U9178" s="99" t="str">
        <f>IFERROR(IF(#REF!="S",VLOOKUP('Raw Data'!A9178,References!#REF!,2,FALSE),(VLOOKUP($S9178,References!$B$3:$C$8,2,FALSE))),"")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2"/>
        <v>0</v>
      </c>
      <c r="T9179" s="98">
        <f t="shared" si="353"/>
        <v>0</v>
      </c>
      <c r="U9179" s="99" t="str">
        <f>IFERROR(IF(#REF!="S",VLOOKUP('Raw Data'!A9179,References!#REF!,2,FALSE),(VLOOKUP($S9179,References!$B$3:$C$8,2,FALSE))),"")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2"/>
        <v>0</v>
      </c>
      <c r="T9180" s="98">
        <f t="shared" si="353"/>
        <v>0</v>
      </c>
      <c r="U9180" s="99" t="str">
        <f>IFERROR(IF(#REF!="S",VLOOKUP('Raw Data'!A9180,References!#REF!,2,FALSE),(VLOOKUP($S9180,References!$B$3:$C$8,2,FALSE))),"")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2"/>
        <v>0</v>
      </c>
      <c r="T9181" s="98">
        <f t="shared" si="353"/>
        <v>0</v>
      </c>
      <c r="U9181" s="99" t="str">
        <f>IFERROR(IF(#REF!="S",VLOOKUP('Raw Data'!A9181,References!#REF!,2,FALSE),(VLOOKUP($S9181,References!$B$3:$C$8,2,FALSE))),"")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2"/>
        <v>0</v>
      </c>
      <c r="T9182" s="98">
        <f t="shared" si="353"/>
        <v>0</v>
      </c>
      <c r="U9182" s="99" t="str">
        <f>IFERROR(IF(#REF!="S",VLOOKUP('Raw Data'!A9182,References!#REF!,2,FALSE),(VLOOKUP($S9182,References!$B$3:$C$8,2,FALSE))),"")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2"/>
        <v>0</v>
      </c>
      <c r="T9183" s="98">
        <f t="shared" si="353"/>
        <v>0</v>
      </c>
      <c r="U9183" s="99" t="str">
        <f>IFERROR(IF(#REF!="S",VLOOKUP('Raw Data'!A9183,References!#REF!,2,FALSE),(VLOOKUP($S9183,References!$B$3:$C$8,2,FALSE))),"")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2"/>
        <v>0</v>
      </c>
      <c r="T9184" s="98">
        <f t="shared" si="353"/>
        <v>0</v>
      </c>
      <c r="U9184" s="99" t="str">
        <f>IFERROR(IF(#REF!="S",VLOOKUP('Raw Data'!A9184,References!#REF!,2,FALSE),(VLOOKUP($S9184,References!$B$3:$C$8,2,FALSE))),"")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2"/>
        <v>0</v>
      </c>
      <c r="T9185" s="98">
        <f t="shared" si="353"/>
        <v>0</v>
      </c>
      <c r="U9185" s="99" t="str">
        <f>IFERROR(IF(#REF!="S",VLOOKUP('Raw Data'!A9185,References!#REF!,2,FALSE),(VLOOKUP($S9185,References!$B$3:$C$8,2,FALSE))),"")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2"/>
        <v>0</v>
      </c>
      <c r="T9186" s="98">
        <f t="shared" si="353"/>
        <v>0</v>
      </c>
      <c r="U9186" s="99" t="str">
        <f>IFERROR(IF(#REF!="S",VLOOKUP('Raw Data'!A9186,References!#REF!,2,FALSE),(VLOOKUP($S9186,References!$B$3:$C$8,2,FALSE))),"")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2"/>
        <v>0</v>
      </c>
      <c r="T9187" s="98">
        <f t="shared" si="353"/>
        <v>0</v>
      </c>
      <c r="U9187" s="99" t="str">
        <f>IFERROR(IF(#REF!="S",VLOOKUP('Raw Data'!A9187,References!#REF!,2,FALSE),(VLOOKUP($S9187,References!$B$3:$C$8,2,FALSE))),"")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2"/>
        <v>0</v>
      </c>
      <c r="T9188" s="98">
        <f t="shared" si="353"/>
        <v>0</v>
      </c>
      <c r="U9188" s="99" t="str">
        <f>IFERROR(IF(#REF!="S",VLOOKUP('Raw Data'!A9188,References!#REF!,2,FALSE),(VLOOKUP($S9188,References!$B$3:$C$8,2,FALSE))),"")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2"/>
        <v>0</v>
      </c>
      <c r="T9189" s="98">
        <f t="shared" si="353"/>
        <v>0</v>
      </c>
      <c r="U9189" s="99" t="str">
        <f>IFERROR(IF(#REF!="S",VLOOKUP('Raw Data'!A9189,References!#REF!,2,FALSE),(VLOOKUP($S9189,References!$B$3:$C$8,2,FALSE))),"")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2"/>
        <v>0</v>
      </c>
      <c r="T9190" s="98">
        <f t="shared" si="353"/>
        <v>0</v>
      </c>
      <c r="U9190" s="99" t="str">
        <f>IFERROR(IF(#REF!="S",VLOOKUP('Raw Data'!A9190,References!#REF!,2,FALSE),(VLOOKUP($S9190,References!$B$3:$C$8,2,FALSE))),"")</f>
        <v/>
      </c>
      <c r="W9190" s="66" t="str">
        <f>IFERROR(VLOOKUP($O9190,'Customer List'!$A$1:$J$488,10,FALSE),"")</f>
        <v/>
      </c>
    </row>
    <row r="9191" spans="18:23">
      <c r="R9191" s="97">
        <f t="shared" si="352"/>
        <v>0</v>
      </c>
      <c r="T9191" s="98">
        <f t="shared" si="353"/>
        <v>0</v>
      </c>
      <c r="U9191" s="99" t="str">
        <f>IFERROR(IF(#REF!="S",VLOOKUP('Raw Data'!A9191,References!#REF!,2,FALSE),(VLOOKUP($S9191,References!$B$3:$C$8,2,FALSE))),"")</f>
        <v/>
      </c>
      <c r="W9191" s="66" t="str">
        <f>IFERROR(VLOOKUP($O9191,'Customer List'!$A$1:$J$488,10,FALSE),"")</f>
        <v/>
      </c>
    </row>
    <row r="9192" spans="18:23">
      <c r="R9192" s="97">
        <f t="shared" ref="R9192:R9255" si="354">L9192-K9192</f>
        <v>0</v>
      </c>
      <c r="T9192" s="98">
        <f t="shared" si="353"/>
        <v>0</v>
      </c>
      <c r="U9192" s="99" t="str">
        <f>IFERROR(IF(#REF!="S",VLOOKUP('Raw Data'!A9192,References!#REF!,2,FALSE),(VLOOKUP($S9192,References!$B$3:$C$8,2,FALSE))),"")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4"/>
        <v>0</v>
      </c>
      <c r="T9193" s="98">
        <f t="shared" si="353"/>
        <v>0</v>
      </c>
      <c r="U9193" s="99" t="str">
        <f>IFERROR(IF(#REF!="S",VLOOKUP('Raw Data'!A9193,References!#REF!,2,FALSE),(VLOOKUP($S9193,References!$B$3:$C$8,2,FALSE))),"")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4"/>
        <v>0</v>
      </c>
      <c r="T9194" s="98">
        <f t="shared" si="353"/>
        <v>0</v>
      </c>
      <c r="U9194" s="99" t="str">
        <f>IFERROR(IF(#REF!="S",VLOOKUP('Raw Data'!A9194,References!#REF!,2,FALSE),(VLOOKUP($S9194,References!$B$3:$C$8,2,FALSE))),"")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4"/>
        <v>0</v>
      </c>
      <c r="T9195" s="98">
        <f t="shared" si="353"/>
        <v>0</v>
      </c>
      <c r="U9195" s="99" t="str">
        <f>IFERROR(IF(#REF!="S",VLOOKUP('Raw Data'!A9195,References!#REF!,2,FALSE),(VLOOKUP($S9195,References!$B$3:$C$8,2,FALSE))),"")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4"/>
        <v>0</v>
      </c>
      <c r="T9196" s="98">
        <f t="shared" si="353"/>
        <v>0</v>
      </c>
      <c r="U9196" s="99" t="str">
        <f>IFERROR(IF(#REF!="S",VLOOKUP('Raw Data'!A9196,References!#REF!,2,FALSE),(VLOOKUP($S9196,References!$B$3:$C$8,2,FALSE))),"")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4"/>
        <v>0</v>
      </c>
      <c r="T9197" s="98">
        <f t="shared" si="353"/>
        <v>0</v>
      </c>
      <c r="U9197" s="99" t="str">
        <f>IFERROR(IF(#REF!="S",VLOOKUP('Raw Data'!A9197,References!#REF!,2,FALSE),(VLOOKUP($S9197,References!$B$3:$C$8,2,FALSE))),"")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4"/>
        <v>0</v>
      </c>
      <c r="T9198" s="98">
        <f t="shared" si="353"/>
        <v>0</v>
      </c>
      <c r="U9198" s="99" t="str">
        <f>IFERROR(IF(#REF!="S",VLOOKUP('Raw Data'!A9198,References!#REF!,2,FALSE),(VLOOKUP($S9198,References!$B$3:$C$8,2,FALSE))),"")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4"/>
        <v>0</v>
      </c>
      <c r="T9199" s="98">
        <f t="shared" si="353"/>
        <v>0</v>
      </c>
      <c r="U9199" s="99" t="str">
        <f>IFERROR(IF(#REF!="S",VLOOKUP('Raw Data'!A9199,References!#REF!,2,FALSE),(VLOOKUP($S9199,References!$B$3:$C$8,2,FALSE))),"")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4"/>
        <v>0</v>
      </c>
      <c r="T9200" s="98">
        <f t="shared" si="353"/>
        <v>0</v>
      </c>
      <c r="U9200" s="99" t="str">
        <f>IFERROR(IF(#REF!="S",VLOOKUP('Raw Data'!A9200,References!#REF!,2,FALSE),(VLOOKUP($S9200,References!$B$3:$C$8,2,FALSE))),"")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4"/>
        <v>0</v>
      </c>
      <c r="T9201" s="98">
        <f t="shared" si="353"/>
        <v>0</v>
      </c>
      <c r="U9201" s="99" t="str">
        <f>IFERROR(IF(#REF!="S",VLOOKUP('Raw Data'!A9201,References!#REF!,2,FALSE),(VLOOKUP($S9201,References!$B$3:$C$8,2,FALSE))),"")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4"/>
        <v>0</v>
      </c>
      <c r="T9202" s="98">
        <f t="shared" si="353"/>
        <v>0</v>
      </c>
      <c r="U9202" s="99" t="str">
        <f>IFERROR(IF(#REF!="S",VLOOKUP('Raw Data'!A9202,References!#REF!,2,FALSE),(VLOOKUP($S9202,References!$B$3:$C$8,2,FALSE))),"")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4"/>
        <v>0</v>
      </c>
      <c r="T9203" s="98">
        <f t="shared" si="353"/>
        <v>0</v>
      </c>
      <c r="U9203" s="99" t="str">
        <f>IFERROR(IF(#REF!="S",VLOOKUP('Raw Data'!A9203,References!#REF!,2,FALSE),(VLOOKUP($S9203,References!$B$3:$C$8,2,FALSE))),"")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4"/>
        <v>0</v>
      </c>
      <c r="T9204" s="98">
        <f t="shared" si="353"/>
        <v>0</v>
      </c>
      <c r="U9204" s="99" t="str">
        <f>IFERROR(IF(#REF!="S",VLOOKUP('Raw Data'!A9204,References!#REF!,2,FALSE),(VLOOKUP($S9204,References!$B$3:$C$8,2,FALSE))),"")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4"/>
        <v>0</v>
      </c>
      <c r="T9205" s="98">
        <f t="shared" si="353"/>
        <v>0</v>
      </c>
      <c r="U9205" s="99" t="str">
        <f>IFERROR(IF(#REF!="S",VLOOKUP('Raw Data'!A9205,References!#REF!,2,FALSE),(VLOOKUP($S9205,References!$B$3:$C$8,2,FALSE))),"")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4"/>
        <v>0</v>
      </c>
      <c r="T9206" s="98">
        <f t="shared" si="353"/>
        <v>0</v>
      </c>
      <c r="U9206" s="99" t="str">
        <f>IFERROR(IF(#REF!="S",VLOOKUP('Raw Data'!A9206,References!#REF!,2,FALSE),(VLOOKUP($S9206,References!$B$3:$C$8,2,FALSE))),"")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4"/>
        <v>0</v>
      </c>
      <c r="T9207" s="98">
        <f t="shared" si="353"/>
        <v>0</v>
      </c>
      <c r="U9207" s="99" t="str">
        <f>IFERROR(IF(#REF!="S",VLOOKUP('Raw Data'!A9207,References!#REF!,2,FALSE),(VLOOKUP($S9207,References!$B$3:$C$8,2,FALSE))),"")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4"/>
        <v>0</v>
      </c>
      <c r="T9208" s="98">
        <f t="shared" si="353"/>
        <v>0</v>
      </c>
      <c r="U9208" s="99" t="str">
        <f>IFERROR(IF(#REF!="S",VLOOKUP('Raw Data'!A9208,References!#REF!,2,FALSE),(VLOOKUP($S9208,References!$B$3:$C$8,2,FALSE))),"")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4"/>
        <v>0</v>
      </c>
      <c r="T9209" s="98">
        <f t="shared" si="353"/>
        <v>0</v>
      </c>
      <c r="U9209" s="99" t="str">
        <f>IFERROR(IF(#REF!="S",VLOOKUP('Raw Data'!A9209,References!#REF!,2,FALSE),(VLOOKUP($S9209,References!$B$3:$C$8,2,FALSE))),"")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4"/>
        <v>0</v>
      </c>
      <c r="T9210" s="98">
        <f t="shared" si="353"/>
        <v>0</v>
      </c>
      <c r="U9210" s="99" t="str">
        <f>IFERROR(IF(#REF!="S",VLOOKUP('Raw Data'!A9210,References!#REF!,2,FALSE),(VLOOKUP($S9210,References!$B$3:$C$8,2,FALSE))),"")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4"/>
        <v>0</v>
      </c>
      <c r="T9211" s="98">
        <f t="shared" si="353"/>
        <v>0</v>
      </c>
      <c r="U9211" s="99" t="str">
        <f>IFERROR(IF(#REF!="S",VLOOKUP('Raw Data'!A9211,References!#REF!,2,FALSE),(VLOOKUP($S9211,References!$B$3:$C$8,2,FALSE))),"")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4"/>
        <v>0</v>
      </c>
      <c r="T9212" s="98">
        <f t="shared" si="353"/>
        <v>0</v>
      </c>
      <c r="U9212" s="99" t="str">
        <f>IFERROR(IF(#REF!="S",VLOOKUP('Raw Data'!A9212,References!#REF!,2,FALSE),(VLOOKUP($S9212,References!$B$3:$C$8,2,FALSE))),"")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4"/>
        <v>0</v>
      </c>
      <c r="T9213" s="98">
        <f t="shared" si="353"/>
        <v>0</v>
      </c>
      <c r="U9213" s="99" t="str">
        <f>IFERROR(IF(#REF!="S",VLOOKUP('Raw Data'!A9213,References!#REF!,2,FALSE),(VLOOKUP($S9213,References!$B$3:$C$8,2,FALSE))),"")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4"/>
        <v>0</v>
      </c>
      <c r="T9214" s="98">
        <f t="shared" si="353"/>
        <v>0</v>
      </c>
      <c r="U9214" s="99" t="str">
        <f>IFERROR(IF(#REF!="S",VLOOKUP('Raw Data'!A9214,References!#REF!,2,FALSE),(VLOOKUP($S9214,References!$B$3:$C$8,2,FALSE))),"")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4"/>
        <v>0</v>
      </c>
      <c r="T9215" s="98">
        <f t="shared" si="353"/>
        <v>0</v>
      </c>
      <c r="U9215" s="99" t="str">
        <f>IFERROR(IF(#REF!="S",VLOOKUP('Raw Data'!A9215,References!#REF!,2,FALSE),(VLOOKUP($S9215,References!$B$3:$C$8,2,FALSE))),"")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4"/>
        <v>0</v>
      </c>
      <c r="T9216" s="98">
        <f t="shared" si="353"/>
        <v>0</v>
      </c>
      <c r="U9216" s="99" t="str">
        <f>IFERROR(IF(#REF!="S",VLOOKUP('Raw Data'!A9216,References!#REF!,2,FALSE),(VLOOKUP($S9216,References!$B$3:$C$8,2,FALSE))),"")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4"/>
        <v>0</v>
      </c>
      <c r="T9217" s="98">
        <f t="shared" si="353"/>
        <v>0</v>
      </c>
      <c r="U9217" s="99" t="str">
        <f>IFERROR(IF(#REF!="S",VLOOKUP('Raw Data'!A9217,References!#REF!,2,FALSE),(VLOOKUP($S9217,References!$B$3:$C$8,2,FALSE))),"")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4"/>
        <v>0</v>
      </c>
      <c r="T9218" s="98">
        <f t="shared" si="353"/>
        <v>0</v>
      </c>
      <c r="U9218" s="99" t="str">
        <f>IFERROR(IF(#REF!="S",VLOOKUP('Raw Data'!A9218,References!#REF!,2,FALSE),(VLOOKUP($S9218,References!$B$3:$C$8,2,FALSE))),"")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4"/>
        <v>0</v>
      </c>
      <c r="T9219" s="98">
        <f t="shared" si="353"/>
        <v>0</v>
      </c>
      <c r="U9219" s="99" t="str">
        <f>IFERROR(IF(#REF!="S",VLOOKUP('Raw Data'!A9219,References!#REF!,2,FALSE),(VLOOKUP($S9219,References!$B$3:$C$8,2,FALSE))),"")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4"/>
        <v>0</v>
      </c>
      <c r="T9220" s="98">
        <f t="shared" si="353"/>
        <v>0</v>
      </c>
      <c r="U9220" s="99" t="str">
        <f>IFERROR(IF(#REF!="S",VLOOKUP('Raw Data'!A9220,References!#REF!,2,FALSE),(VLOOKUP($S9220,References!$B$3:$C$8,2,FALSE))),"")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4"/>
        <v>0</v>
      </c>
      <c r="T9221" s="98">
        <f t="shared" si="353"/>
        <v>0</v>
      </c>
      <c r="U9221" s="99" t="str">
        <f>IFERROR(IF(#REF!="S",VLOOKUP('Raw Data'!A9221,References!#REF!,2,FALSE),(VLOOKUP($S9221,References!$B$3:$C$8,2,FALSE))),"")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4"/>
        <v>0</v>
      </c>
      <c r="T9222" s="98">
        <f t="shared" si="353"/>
        <v>0</v>
      </c>
      <c r="U9222" s="99" t="str">
        <f>IFERROR(IF(#REF!="S",VLOOKUP('Raw Data'!A9222,References!#REF!,2,FALSE),(VLOOKUP($S9222,References!$B$3:$C$8,2,FALSE))),"")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4"/>
        <v>0</v>
      </c>
      <c r="T9223" s="98">
        <f t="shared" si="353"/>
        <v>0</v>
      </c>
      <c r="U9223" s="99" t="str">
        <f>IFERROR(IF(#REF!="S",VLOOKUP('Raw Data'!A9223,References!#REF!,2,FALSE),(VLOOKUP($S9223,References!$B$3:$C$8,2,FALSE))),"")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4"/>
        <v>0</v>
      </c>
      <c r="T9224" s="98">
        <f t="shared" si="353"/>
        <v>0</v>
      </c>
      <c r="U9224" s="99" t="str">
        <f>IFERROR(IF(#REF!="S",VLOOKUP('Raw Data'!A9224,References!#REF!,2,FALSE),(VLOOKUP($S9224,References!$B$3:$C$8,2,FALSE))),"")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4"/>
        <v>0</v>
      </c>
      <c r="T9225" s="98">
        <f t="shared" si="353"/>
        <v>0</v>
      </c>
      <c r="U9225" s="99" t="str">
        <f>IFERROR(IF(#REF!="S",VLOOKUP('Raw Data'!A9225,References!#REF!,2,FALSE),(VLOOKUP($S9225,References!$B$3:$C$8,2,FALSE))),"")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4"/>
        <v>0</v>
      </c>
      <c r="T9226" s="98">
        <f t="shared" si="353"/>
        <v>0</v>
      </c>
      <c r="U9226" s="99" t="str">
        <f>IFERROR(IF(#REF!="S",VLOOKUP('Raw Data'!A9226,References!#REF!,2,FALSE),(VLOOKUP($S9226,References!$B$3:$C$8,2,FALSE))),"")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4"/>
        <v>0</v>
      </c>
      <c r="T9227" s="98">
        <f t="shared" si="353"/>
        <v>0</v>
      </c>
      <c r="U9227" s="99" t="str">
        <f>IFERROR(IF(#REF!="S",VLOOKUP('Raw Data'!A9227,References!#REF!,2,FALSE),(VLOOKUP($S9227,References!$B$3:$C$8,2,FALSE))),"")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4"/>
        <v>0</v>
      </c>
      <c r="T9228" s="98">
        <f t="shared" si="353"/>
        <v>0</v>
      </c>
      <c r="U9228" s="99" t="str">
        <f>IFERROR(IF(#REF!="S",VLOOKUP('Raw Data'!A9228,References!#REF!,2,FALSE),(VLOOKUP($S9228,References!$B$3:$C$8,2,FALSE))),"")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4"/>
        <v>0</v>
      </c>
      <c r="T9229" s="98">
        <f t="shared" si="353"/>
        <v>0</v>
      </c>
      <c r="U9229" s="99" t="str">
        <f>IFERROR(IF(#REF!="S",VLOOKUP('Raw Data'!A9229,References!#REF!,2,FALSE),(VLOOKUP($S9229,References!$B$3:$C$8,2,FALSE))),"")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4"/>
        <v>0</v>
      </c>
      <c r="T9230" s="98">
        <f t="shared" si="353"/>
        <v>0</v>
      </c>
      <c r="U9230" s="99" t="str">
        <f>IFERROR(IF(#REF!="S",VLOOKUP('Raw Data'!A9230,References!#REF!,2,FALSE),(VLOOKUP($S9230,References!$B$3:$C$8,2,FALSE))),"")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4"/>
        <v>0</v>
      </c>
      <c r="T9231" s="98">
        <f t="shared" si="353"/>
        <v>0</v>
      </c>
      <c r="U9231" s="99" t="str">
        <f>IFERROR(IF(#REF!="S",VLOOKUP('Raw Data'!A9231,References!#REF!,2,FALSE),(VLOOKUP($S9231,References!$B$3:$C$8,2,FALSE))),"")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4"/>
        <v>0</v>
      </c>
      <c r="T9232" s="98">
        <f t="shared" ref="T9232:T9295" si="355">IF(S9232="50 - Cleaning Fee",1,HOUR($R9232)+MINUTE(R9232)/60)</f>
        <v>0</v>
      </c>
      <c r="U9232" s="99" t="str">
        <f>IFERROR(IF(#REF!="S",VLOOKUP('Raw Data'!A9232,References!#REF!,2,FALSE),(VLOOKUP($S9232,References!$B$3:$C$8,2,FALSE))),"")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4"/>
        <v>0</v>
      </c>
      <c r="T9233" s="98">
        <f t="shared" si="355"/>
        <v>0</v>
      </c>
      <c r="U9233" s="99" t="str">
        <f>IFERROR(IF(#REF!="S",VLOOKUP('Raw Data'!A9233,References!#REF!,2,FALSE),(VLOOKUP($S9233,References!$B$3:$C$8,2,FALSE))),"")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4"/>
        <v>0</v>
      </c>
      <c r="T9234" s="98">
        <f t="shared" si="355"/>
        <v>0</v>
      </c>
      <c r="U9234" s="99" t="str">
        <f>IFERROR(IF(#REF!="S",VLOOKUP('Raw Data'!A9234,References!#REF!,2,FALSE),(VLOOKUP($S9234,References!$B$3:$C$8,2,FALSE))),"")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4"/>
        <v>0</v>
      </c>
      <c r="T9235" s="98">
        <f t="shared" si="355"/>
        <v>0</v>
      </c>
      <c r="U9235" s="99" t="str">
        <f>IFERROR(IF(#REF!="S",VLOOKUP('Raw Data'!A9235,References!#REF!,2,FALSE),(VLOOKUP($S9235,References!$B$3:$C$8,2,FALSE))),"")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4"/>
        <v>0</v>
      </c>
      <c r="T9236" s="98">
        <f t="shared" si="355"/>
        <v>0</v>
      </c>
      <c r="U9236" s="99" t="str">
        <f>IFERROR(IF(#REF!="S",VLOOKUP('Raw Data'!A9236,References!#REF!,2,FALSE),(VLOOKUP($S9236,References!$B$3:$C$8,2,FALSE))),"")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4"/>
        <v>0</v>
      </c>
      <c r="T9237" s="98">
        <f t="shared" si="355"/>
        <v>0</v>
      </c>
      <c r="U9237" s="99" t="str">
        <f>IFERROR(IF(#REF!="S",VLOOKUP('Raw Data'!A9237,References!#REF!,2,FALSE),(VLOOKUP($S9237,References!$B$3:$C$8,2,FALSE))),"")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4"/>
        <v>0</v>
      </c>
      <c r="T9238" s="98">
        <f t="shared" si="355"/>
        <v>0</v>
      </c>
      <c r="U9238" s="99" t="str">
        <f>IFERROR(IF(#REF!="S",VLOOKUP('Raw Data'!A9238,References!#REF!,2,FALSE),(VLOOKUP($S9238,References!$B$3:$C$8,2,FALSE))),"")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4"/>
        <v>0</v>
      </c>
      <c r="T9239" s="98">
        <f t="shared" si="355"/>
        <v>0</v>
      </c>
      <c r="U9239" s="99" t="str">
        <f>IFERROR(IF(#REF!="S",VLOOKUP('Raw Data'!A9239,References!#REF!,2,FALSE),(VLOOKUP($S9239,References!$B$3:$C$8,2,FALSE))),"")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4"/>
        <v>0</v>
      </c>
      <c r="T9240" s="98">
        <f t="shared" si="355"/>
        <v>0</v>
      </c>
      <c r="U9240" s="99" t="str">
        <f>IFERROR(IF(#REF!="S",VLOOKUP('Raw Data'!A9240,References!#REF!,2,FALSE),(VLOOKUP($S9240,References!$B$3:$C$8,2,FALSE))),"")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4"/>
        <v>0</v>
      </c>
      <c r="T9241" s="98">
        <f t="shared" si="355"/>
        <v>0</v>
      </c>
      <c r="U9241" s="99" t="str">
        <f>IFERROR(IF(#REF!="S",VLOOKUP('Raw Data'!A9241,References!#REF!,2,FALSE),(VLOOKUP($S9241,References!$B$3:$C$8,2,FALSE))),"")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4"/>
        <v>0</v>
      </c>
      <c r="T9242" s="98">
        <f t="shared" si="355"/>
        <v>0</v>
      </c>
      <c r="U9242" s="99" t="str">
        <f>IFERROR(IF(#REF!="S",VLOOKUP('Raw Data'!A9242,References!#REF!,2,FALSE),(VLOOKUP($S9242,References!$B$3:$C$8,2,FALSE))),"")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4"/>
        <v>0</v>
      </c>
      <c r="T9243" s="98">
        <f t="shared" si="355"/>
        <v>0</v>
      </c>
      <c r="U9243" s="99" t="str">
        <f>IFERROR(IF(#REF!="S",VLOOKUP('Raw Data'!A9243,References!#REF!,2,FALSE),(VLOOKUP($S9243,References!$B$3:$C$8,2,FALSE))),"")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4"/>
        <v>0</v>
      </c>
      <c r="T9244" s="98">
        <f t="shared" si="355"/>
        <v>0</v>
      </c>
      <c r="U9244" s="99" t="str">
        <f>IFERROR(IF(#REF!="S",VLOOKUP('Raw Data'!A9244,References!#REF!,2,FALSE),(VLOOKUP($S9244,References!$B$3:$C$8,2,FALSE))),"")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4"/>
        <v>0</v>
      </c>
      <c r="T9245" s="98">
        <f t="shared" si="355"/>
        <v>0</v>
      </c>
      <c r="U9245" s="99" t="str">
        <f>IFERROR(IF(#REF!="S",VLOOKUP('Raw Data'!A9245,References!#REF!,2,FALSE),(VLOOKUP($S9245,References!$B$3:$C$8,2,FALSE))),"")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4"/>
        <v>0</v>
      </c>
      <c r="T9246" s="98">
        <f t="shared" si="355"/>
        <v>0</v>
      </c>
      <c r="U9246" s="99" t="str">
        <f>IFERROR(IF(#REF!="S",VLOOKUP('Raw Data'!A9246,References!#REF!,2,FALSE),(VLOOKUP($S9246,References!$B$3:$C$8,2,FALSE))),"")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4"/>
        <v>0</v>
      </c>
      <c r="T9247" s="98">
        <f t="shared" si="355"/>
        <v>0</v>
      </c>
      <c r="U9247" s="99" t="str">
        <f>IFERROR(IF(#REF!="S",VLOOKUP('Raw Data'!A9247,References!#REF!,2,FALSE),(VLOOKUP($S9247,References!$B$3:$C$8,2,FALSE))),"")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4"/>
        <v>0</v>
      </c>
      <c r="T9248" s="98">
        <f t="shared" si="355"/>
        <v>0</v>
      </c>
      <c r="U9248" s="99" t="str">
        <f>IFERROR(IF(#REF!="S",VLOOKUP('Raw Data'!A9248,References!#REF!,2,FALSE),(VLOOKUP($S9248,References!$B$3:$C$8,2,FALSE))),"")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4"/>
        <v>0</v>
      </c>
      <c r="T9249" s="98">
        <f t="shared" si="355"/>
        <v>0</v>
      </c>
      <c r="U9249" s="99" t="str">
        <f>IFERROR(IF(#REF!="S",VLOOKUP('Raw Data'!A9249,References!#REF!,2,FALSE),(VLOOKUP($S9249,References!$B$3:$C$8,2,FALSE))),"")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4"/>
        <v>0</v>
      </c>
      <c r="T9250" s="98">
        <f t="shared" si="355"/>
        <v>0</v>
      </c>
      <c r="U9250" s="99" t="str">
        <f>IFERROR(IF(#REF!="S",VLOOKUP('Raw Data'!A9250,References!#REF!,2,FALSE),(VLOOKUP($S9250,References!$B$3:$C$8,2,FALSE))),"")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4"/>
        <v>0</v>
      </c>
      <c r="T9251" s="98">
        <f t="shared" si="355"/>
        <v>0</v>
      </c>
      <c r="U9251" s="99" t="str">
        <f>IFERROR(IF(#REF!="S",VLOOKUP('Raw Data'!A9251,References!#REF!,2,FALSE),(VLOOKUP($S9251,References!$B$3:$C$8,2,FALSE))),"")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4"/>
        <v>0</v>
      </c>
      <c r="T9252" s="98">
        <f t="shared" si="355"/>
        <v>0</v>
      </c>
      <c r="U9252" s="99" t="str">
        <f>IFERROR(IF(#REF!="S",VLOOKUP('Raw Data'!A9252,References!#REF!,2,FALSE),(VLOOKUP($S9252,References!$B$3:$C$8,2,FALSE))),"")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4"/>
        <v>0</v>
      </c>
      <c r="T9253" s="98">
        <f t="shared" si="355"/>
        <v>0</v>
      </c>
      <c r="U9253" s="99" t="str">
        <f>IFERROR(IF(#REF!="S",VLOOKUP('Raw Data'!A9253,References!#REF!,2,FALSE),(VLOOKUP($S9253,References!$B$3:$C$8,2,FALSE))),"")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4"/>
        <v>0</v>
      </c>
      <c r="T9254" s="98">
        <f t="shared" si="355"/>
        <v>0</v>
      </c>
      <c r="U9254" s="99" t="str">
        <f>IFERROR(IF(#REF!="S",VLOOKUP('Raw Data'!A9254,References!#REF!,2,FALSE),(VLOOKUP($S9254,References!$B$3:$C$8,2,FALSE))),"")</f>
        <v/>
      </c>
      <c r="W9254" s="66" t="str">
        <f>IFERROR(VLOOKUP($O9254,'Customer List'!$A$1:$J$488,10,FALSE),"")</f>
        <v/>
      </c>
    </row>
    <row r="9255" spans="18:23">
      <c r="R9255" s="97">
        <f t="shared" si="354"/>
        <v>0</v>
      </c>
      <c r="T9255" s="98">
        <f t="shared" si="355"/>
        <v>0</v>
      </c>
      <c r="U9255" s="99" t="str">
        <f>IFERROR(IF(#REF!="S",VLOOKUP('Raw Data'!A9255,References!#REF!,2,FALSE),(VLOOKUP($S9255,References!$B$3:$C$8,2,FALSE))),"")</f>
        <v/>
      </c>
      <c r="W9255" s="66" t="str">
        <f>IFERROR(VLOOKUP($O9255,'Customer List'!$A$1:$J$488,10,FALSE),"")</f>
        <v/>
      </c>
    </row>
    <row r="9256" spans="18:23">
      <c r="R9256" s="97">
        <f t="shared" ref="R9256:R9319" si="356">L9256-K9256</f>
        <v>0</v>
      </c>
      <c r="T9256" s="98">
        <f t="shared" si="355"/>
        <v>0</v>
      </c>
      <c r="U9256" s="99" t="str">
        <f>IFERROR(IF(#REF!="S",VLOOKUP('Raw Data'!A9256,References!#REF!,2,FALSE),(VLOOKUP($S9256,References!$B$3:$C$8,2,FALSE))),"")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6"/>
        <v>0</v>
      </c>
      <c r="T9257" s="98">
        <f t="shared" si="355"/>
        <v>0</v>
      </c>
      <c r="U9257" s="99" t="str">
        <f>IFERROR(IF(#REF!="S",VLOOKUP('Raw Data'!A9257,References!#REF!,2,FALSE),(VLOOKUP($S9257,References!$B$3:$C$8,2,FALSE))),"")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6"/>
        <v>0</v>
      </c>
      <c r="T9258" s="98">
        <f t="shared" si="355"/>
        <v>0</v>
      </c>
      <c r="U9258" s="99" t="str">
        <f>IFERROR(IF(#REF!="S",VLOOKUP('Raw Data'!A9258,References!#REF!,2,FALSE),(VLOOKUP($S9258,References!$B$3:$C$8,2,FALSE))),"")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6"/>
        <v>0</v>
      </c>
      <c r="T9259" s="98">
        <f t="shared" si="355"/>
        <v>0</v>
      </c>
      <c r="U9259" s="99" t="str">
        <f>IFERROR(IF(#REF!="S",VLOOKUP('Raw Data'!A9259,References!#REF!,2,FALSE),(VLOOKUP($S9259,References!$B$3:$C$8,2,FALSE))),"")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6"/>
        <v>0</v>
      </c>
      <c r="T9260" s="98">
        <f t="shared" si="355"/>
        <v>0</v>
      </c>
      <c r="U9260" s="99" t="str">
        <f>IFERROR(IF(#REF!="S",VLOOKUP('Raw Data'!A9260,References!#REF!,2,FALSE),(VLOOKUP($S9260,References!$B$3:$C$8,2,FALSE))),"")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6"/>
        <v>0</v>
      </c>
      <c r="T9261" s="98">
        <f t="shared" si="355"/>
        <v>0</v>
      </c>
      <c r="U9261" s="99" t="str">
        <f>IFERROR(IF(#REF!="S",VLOOKUP('Raw Data'!A9261,References!#REF!,2,FALSE),(VLOOKUP($S9261,References!$B$3:$C$8,2,FALSE))),"")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6"/>
        <v>0</v>
      </c>
      <c r="T9262" s="98">
        <f t="shared" si="355"/>
        <v>0</v>
      </c>
      <c r="U9262" s="99" t="str">
        <f>IFERROR(IF(#REF!="S",VLOOKUP('Raw Data'!A9262,References!#REF!,2,FALSE),(VLOOKUP($S9262,References!$B$3:$C$8,2,FALSE))),"")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6"/>
        <v>0</v>
      </c>
      <c r="T9263" s="98">
        <f t="shared" si="355"/>
        <v>0</v>
      </c>
      <c r="U9263" s="99" t="str">
        <f>IFERROR(IF(#REF!="S",VLOOKUP('Raw Data'!A9263,References!#REF!,2,FALSE),(VLOOKUP($S9263,References!$B$3:$C$8,2,FALSE))),"")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6"/>
        <v>0</v>
      </c>
      <c r="T9264" s="98">
        <f t="shared" si="355"/>
        <v>0</v>
      </c>
      <c r="U9264" s="99" t="str">
        <f>IFERROR(IF(#REF!="S",VLOOKUP('Raw Data'!A9264,References!#REF!,2,FALSE),(VLOOKUP($S9264,References!$B$3:$C$8,2,FALSE))),"")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6"/>
        <v>0</v>
      </c>
      <c r="T9265" s="98">
        <f t="shared" si="355"/>
        <v>0</v>
      </c>
      <c r="U9265" s="99" t="str">
        <f>IFERROR(IF(#REF!="S",VLOOKUP('Raw Data'!A9265,References!#REF!,2,FALSE),(VLOOKUP($S9265,References!$B$3:$C$8,2,FALSE))),"")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6"/>
        <v>0</v>
      </c>
      <c r="T9266" s="98">
        <f t="shared" si="355"/>
        <v>0</v>
      </c>
      <c r="U9266" s="99" t="str">
        <f>IFERROR(IF(#REF!="S",VLOOKUP('Raw Data'!A9266,References!#REF!,2,FALSE),(VLOOKUP($S9266,References!$B$3:$C$8,2,FALSE))),"")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6"/>
        <v>0</v>
      </c>
      <c r="T9267" s="98">
        <f t="shared" si="355"/>
        <v>0</v>
      </c>
      <c r="U9267" s="99" t="str">
        <f>IFERROR(IF(#REF!="S",VLOOKUP('Raw Data'!A9267,References!#REF!,2,FALSE),(VLOOKUP($S9267,References!$B$3:$C$8,2,FALSE))),"")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6"/>
        <v>0</v>
      </c>
      <c r="T9268" s="98">
        <f t="shared" si="355"/>
        <v>0</v>
      </c>
      <c r="U9268" s="99" t="str">
        <f>IFERROR(IF(#REF!="S",VLOOKUP('Raw Data'!A9268,References!#REF!,2,FALSE),(VLOOKUP($S9268,References!$B$3:$C$8,2,FALSE))),"")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6"/>
        <v>0</v>
      </c>
      <c r="T9269" s="98">
        <f t="shared" si="355"/>
        <v>0</v>
      </c>
      <c r="U9269" s="99" t="str">
        <f>IFERROR(IF(#REF!="S",VLOOKUP('Raw Data'!A9269,References!#REF!,2,FALSE),(VLOOKUP($S9269,References!$B$3:$C$8,2,FALSE))),"")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6"/>
        <v>0</v>
      </c>
      <c r="T9270" s="98">
        <f t="shared" si="355"/>
        <v>0</v>
      </c>
      <c r="U9270" s="99" t="str">
        <f>IFERROR(IF(#REF!="S",VLOOKUP('Raw Data'!A9270,References!#REF!,2,FALSE),(VLOOKUP($S9270,References!$B$3:$C$8,2,FALSE))),"")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6"/>
        <v>0</v>
      </c>
      <c r="T9271" s="98">
        <f t="shared" si="355"/>
        <v>0</v>
      </c>
      <c r="U9271" s="99" t="str">
        <f>IFERROR(IF(#REF!="S",VLOOKUP('Raw Data'!A9271,References!#REF!,2,FALSE),(VLOOKUP($S9271,References!$B$3:$C$8,2,FALSE))),"")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6"/>
        <v>0</v>
      </c>
      <c r="T9272" s="98">
        <f t="shared" si="355"/>
        <v>0</v>
      </c>
      <c r="U9272" s="99" t="str">
        <f>IFERROR(IF(#REF!="S",VLOOKUP('Raw Data'!A9272,References!#REF!,2,FALSE),(VLOOKUP($S9272,References!$B$3:$C$8,2,FALSE))),"")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6"/>
        <v>0</v>
      </c>
      <c r="T9273" s="98">
        <f t="shared" si="355"/>
        <v>0</v>
      </c>
      <c r="U9273" s="99" t="str">
        <f>IFERROR(IF(#REF!="S",VLOOKUP('Raw Data'!A9273,References!#REF!,2,FALSE),(VLOOKUP($S9273,References!$B$3:$C$8,2,FALSE))),"")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6"/>
        <v>0</v>
      </c>
      <c r="T9274" s="98">
        <f t="shared" si="355"/>
        <v>0</v>
      </c>
      <c r="U9274" s="99" t="str">
        <f>IFERROR(IF(#REF!="S",VLOOKUP('Raw Data'!A9274,References!#REF!,2,FALSE),(VLOOKUP($S9274,References!$B$3:$C$8,2,FALSE))),"")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6"/>
        <v>0</v>
      </c>
      <c r="T9275" s="98">
        <f t="shared" si="355"/>
        <v>0</v>
      </c>
      <c r="U9275" s="99" t="str">
        <f>IFERROR(IF(#REF!="S",VLOOKUP('Raw Data'!A9275,References!#REF!,2,FALSE),(VLOOKUP($S9275,References!$B$3:$C$8,2,FALSE))),"")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6"/>
        <v>0</v>
      </c>
      <c r="T9276" s="98">
        <f t="shared" si="355"/>
        <v>0</v>
      </c>
      <c r="U9276" s="99" t="str">
        <f>IFERROR(IF(#REF!="S",VLOOKUP('Raw Data'!A9276,References!#REF!,2,FALSE),(VLOOKUP($S9276,References!$B$3:$C$8,2,FALSE))),"")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6"/>
        <v>0</v>
      </c>
      <c r="T9277" s="98">
        <f t="shared" si="355"/>
        <v>0</v>
      </c>
      <c r="U9277" s="99" t="str">
        <f>IFERROR(IF(#REF!="S",VLOOKUP('Raw Data'!A9277,References!#REF!,2,FALSE),(VLOOKUP($S9277,References!$B$3:$C$8,2,FALSE))),"")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6"/>
        <v>0</v>
      </c>
      <c r="T9278" s="98">
        <f t="shared" si="355"/>
        <v>0</v>
      </c>
      <c r="U9278" s="99" t="str">
        <f>IFERROR(IF(#REF!="S",VLOOKUP('Raw Data'!A9278,References!#REF!,2,FALSE),(VLOOKUP($S9278,References!$B$3:$C$8,2,FALSE))),"")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6"/>
        <v>0</v>
      </c>
      <c r="T9279" s="98">
        <f t="shared" si="355"/>
        <v>0</v>
      </c>
      <c r="U9279" s="99" t="str">
        <f>IFERROR(IF(#REF!="S",VLOOKUP('Raw Data'!A9279,References!#REF!,2,FALSE),(VLOOKUP($S9279,References!$B$3:$C$8,2,FALSE))),"")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6"/>
        <v>0</v>
      </c>
      <c r="T9280" s="98">
        <f t="shared" si="355"/>
        <v>0</v>
      </c>
      <c r="U9280" s="99" t="str">
        <f>IFERROR(IF(#REF!="S",VLOOKUP('Raw Data'!A9280,References!#REF!,2,FALSE),(VLOOKUP($S9280,References!$B$3:$C$8,2,FALSE))),"")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6"/>
        <v>0</v>
      </c>
      <c r="T9281" s="98">
        <f t="shared" si="355"/>
        <v>0</v>
      </c>
      <c r="U9281" s="99" t="str">
        <f>IFERROR(IF(#REF!="S",VLOOKUP('Raw Data'!A9281,References!#REF!,2,FALSE),(VLOOKUP($S9281,References!$B$3:$C$8,2,FALSE))),"")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6"/>
        <v>0</v>
      </c>
      <c r="T9282" s="98">
        <f t="shared" si="355"/>
        <v>0</v>
      </c>
      <c r="U9282" s="99" t="str">
        <f>IFERROR(IF(#REF!="S",VLOOKUP('Raw Data'!A9282,References!#REF!,2,FALSE),(VLOOKUP($S9282,References!$B$3:$C$8,2,FALSE))),"")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6"/>
        <v>0</v>
      </c>
      <c r="T9283" s="98">
        <f t="shared" si="355"/>
        <v>0</v>
      </c>
      <c r="U9283" s="99" t="str">
        <f>IFERROR(IF(#REF!="S",VLOOKUP('Raw Data'!A9283,References!#REF!,2,FALSE),(VLOOKUP($S9283,References!$B$3:$C$8,2,FALSE))),"")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6"/>
        <v>0</v>
      </c>
      <c r="T9284" s="98">
        <f t="shared" si="355"/>
        <v>0</v>
      </c>
      <c r="U9284" s="99" t="str">
        <f>IFERROR(IF(#REF!="S",VLOOKUP('Raw Data'!A9284,References!#REF!,2,FALSE),(VLOOKUP($S9284,References!$B$3:$C$8,2,FALSE))),"")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6"/>
        <v>0</v>
      </c>
      <c r="T9285" s="98">
        <f t="shared" si="355"/>
        <v>0</v>
      </c>
      <c r="U9285" s="99" t="str">
        <f>IFERROR(IF(#REF!="S",VLOOKUP('Raw Data'!A9285,References!#REF!,2,FALSE),(VLOOKUP($S9285,References!$B$3:$C$8,2,FALSE))),"")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6"/>
        <v>0</v>
      </c>
      <c r="T9286" s="98">
        <f t="shared" si="355"/>
        <v>0</v>
      </c>
      <c r="U9286" s="99" t="str">
        <f>IFERROR(IF(#REF!="S",VLOOKUP('Raw Data'!A9286,References!#REF!,2,FALSE),(VLOOKUP($S9286,References!$B$3:$C$8,2,FALSE))),"")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6"/>
        <v>0</v>
      </c>
      <c r="T9287" s="98">
        <f t="shared" si="355"/>
        <v>0</v>
      </c>
      <c r="U9287" s="99" t="str">
        <f>IFERROR(IF(#REF!="S",VLOOKUP('Raw Data'!A9287,References!#REF!,2,FALSE),(VLOOKUP($S9287,References!$B$3:$C$8,2,FALSE))),"")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6"/>
        <v>0</v>
      </c>
      <c r="T9288" s="98">
        <f t="shared" si="355"/>
        <v>0</v>
      </c>
      <c r="U9288" s="99" t="str">
        <f>IFERROR(IF(#REF!="S",VLOOKUP('Raw Data'!A9288,References!#REF!,2,FALSE),(VLOOKUP($S9288,References!$B$3:$C$8,2,FALSE))),"")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6"/>
        <v>0</v>
      </c>
      <c r="T9289" s="98">
        <f t="shared" si="355"/>
        <v>0</v>
      </c>
      <c r="U9289" s="99" t="str">
        <f>IFERROR(IF(#REF!="S",VLOOKUP('Raw Data'!A9289,References!#REF!,2,FALSE),(VLOOKUP($S9289,References!$B$3:$C$8,2,FALSE))),"")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6"/>
        <v>0</v>
      </c>
      <c r="T9290" s="98">
        <f t="shared" si="355"/>
        <v>0</v>
      </c>
      <c r="U9290" s="99" t="str">
        <f>IFERROR(IF(#REF!="S",VLOOKUP('Raw Data'!A9290,References!#REF!,2,FALSE),(VLOOKUP($S9290,References!$B$3:$C$8,2,FALSE))),"")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6"/>
        <v>0</v>
      </c>
      <c r="T9291" s="98">
        <f t="shared" si="355"/>
        <v>0</v>
      </c>
      <c r="U9291" s="99" t="str">
        <f>IFERROR(IF(#REF!="S",VLOOKUP('Raw Data'!A9291,References!#REF!,2,FALSE),(VLOOKUP($S9291,References!$B$3:$C$8,2,FALSE))),"")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6"/>
        <v>0</v>
      </c>
      <c r="T9292" s="98">
        <f t="shared" si="355"/>
        <v>0</v>
      </c>
      <c r="U9292" s="99" t="str">
        <f>IFERROR(IF(#REF!="S",VLOOKUP('Raw Data'!A9292,References!#REF!,2,FALSE),(VLOOKUP($S9292,References!$B$3:$C$8,2,FALSE))),"")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6"/>
        <v>0</v>
      </c>
      <c r="T9293" s="98">
        <f t="shared" si="355"/>
        <v>0</v>
      </c>
      <c r="U9293" s="99" t="str">
        <f>IFERROR(IF(#REF!="S",VLOOKUP('Raw Data'!A9293,References!#REF!,2,FALSE),(VLOOKUP($S9293,References!$B$3:$C$8,2,FALSE))),"")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6"/>
        <v>0</v>
      </c>
      <c r="T9294" s="98">
        <f t="shared" si="355"/>
        <v>0</v>
      </c>
      <c r="U9294" s="99" t="str">
        <f>IFERROR(IF(#REF!="S",VLOOKUP('Raw Data'!A9294,References!#REF!,2,FALSE),(VLOOKUP($S9294,References!$B$3:$C$8,2,FALSE))),"")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6"/>
        <v>0</v>
      </c>
      <c r="T9295" s="98">
        <f t="shared" si="355"/>
        <v>0</v>
      </c>
      <c r="U9295" s="99" t="str">
        <f>IFERROR(IF(#REF!="S",VLOOKUP('Raw Data'!A9295,References!#REF!,2,FALSE),(VLOOKUP($S9295,References!$B$3:$C$8,2,FALSE))),"")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6"/>
        <v>0</v>
      </c>
      <c r="T9296" s="98">
        <f t="shared" ref="T9296:T9359" si="357">IF(S9296="50 - Cleaning Fee",1,HOUR($R9296)+MINUTE(R9296)/60)</f>
        <v>0</v>
      </c>
      <c r="U9296" s="99" t="str">
        <f>IFERROR(IF(#REF!="S",VLOOKUP('Raw Data'!A9296,References!#REF!,2,FALSE),(VLOOKUP($S9296,References!$B$3:$C$8,2,FALSE))),"")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6"/>
        <v>0</v>
      </c>
      <c r="T9297" s="98">
        <f t="shared" si="357"/>
        <v>0</v>
      </c>
      <c r="U9297" s="99" t="str">
        <f>IFERROR(IF(#REF!="S",VLOOKUP('Raw Data'!A9297,References!#REF!,2,FALSE),(VLOOKUP($S9297,References!$B$3:$C$8,2,FALSE))),"")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6"/>
        <v>0</v>
      </c>
      <c r="T9298" s="98">
        <f t="shared" si="357"/>
        <v>0</v>
      </c>
      <c r="U9298" s="99" t="str">
        <f>IFERROR(IF(#REF!="S",VLOOKUP('Raw Data'!A9298,References!#REF!,2,FALSE),(VLOOKUP($S9298,References!$B$3:$C$8,2,FALSE))),"")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6"/>
        <v>0</v>
      </c>
      <c r="T9299" s="98">
        <f t="shared" si="357"/>
        <v>0</v>
      </c>
      <c r="U9299" s="99" t="str">
        <f>IFERROR(IF(#REF!="S",VLOOKUP('Raw Data'!A9299,References!#REF!,2,FALSE),(VLOOKUP($S9299,References!$B$3:$C$8,2,FALSE))),"")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6"/>
        <v>0</v>
      </c>
      <c r="T9300" s="98">
        <f t="shared" si="357"/>
        <v>0</v>
      </c>
      <c r="U9300" s="99" t="str">
        <f>IFERROR(IF(#REF!="S",VLOOKUP('Raw Data'!A9300,References!#REF!,2,FALSE),(VLOOKUP($S9300,References!$B$3:$C$8,2,FALSE))),"")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6"/>
        <v>0</v>
      </c>
      <c r="T9301" s="98">
        <f t="shared" si="357"/>
        <v>0</v>
      </c>
      <c r="U9301" s="99" t="str">
        <f>IFERROR(IF(#REF!="S",VLOOKUP('Raw Data'!A9301,References!#REF!,2,FALSE),(VLOOKUP($S9301,References!$B$3:$C$8,2,FALSE))),"")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6"/>
        <v>0</v>
      </c>
      <c r="T9302" s="98">
        <f t="shared" si="357"/>
        <v>0</v>
      </c>
      <c r="U9302" s="99" t="str">
        <f>IFERROR(IF(#REF!="S",VLOOKUP('Raw Data'!A9302,References!#REF!,2,FALSE),(VLOOKUP($S9302,References!$B$3:$C$8,2,FALSE))),"")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6"/>
        <v>0</v>
      </c>
      <c r="T9303" s="98">
        <f t="shared" si="357"/>
        <v>0</v>
      </c>
      <c r="U9303" s="99" t="str">
        <f>IFERROR(IF(#REF!="S",VLOOKUP('Raw Data'!A9303,References!#REF!,2,FALSE),(VLOOKUP($S9303,References!$B$3:$C$8,2,FALSE))),"")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6"/>
        <v>0</v>
      </c>
      <c r="T9304" s="98">
        <f t="shared" si="357"/>
        <v>0</v>
      </c>
      <c r="U9304" s="99" t="str">
        <f>IFERROR(IF(#REF!="S",VLOOKUP('Raw Data'!A9304,References!#REF!,2,FALSE),(VLOOKUP($S9304,References!$B$3:$C$8,2,FALSE))),"")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6"/>
        <v>0</v>
      </c>
      <c r="T9305" s="98">
        <f t="shared" si="357"/>
        <v>0</v>
      </c>
      <c r="U9305" s="99" t="str">
        <f>IFERROR(IF(#REF!="S",VLOOKUP('Raw Data'!A9305,References!#REF!,2,FALSE),(VLOOKUP($S9305,References!$B$3:$C$8,2,FALSE))),"")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6"/>
        <v>0</v>
      </c>
      <c r="T9306" s="98">
        <f t="shared" si="357"/>
        <v>0</v>
      </c>
      <c r="U9306" s="99" t="str">
        <f>IFERROR(IF(#REF!="S",VLOOKUP('Raw Data'!A9306,References!#REF!,2,FALSE),(VLOOKUP($S9306,References!$B$3:$C$8,2,FALSE))),"")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6"/>
        <v>0</v>
      </c>
      <c r="T9307" s="98">
        <f t="shared" si="357"/>
        <v>0</v>
      </c>
      <c r="U9307" s="99" t="str">
        <f>IFERROR(IF(#REF!="S",VLOOKUP('Raw Data'!A9307,References!#REF!,2,FALSE),(VLOOKUP($S9307,References!$B$3:$C$8,2,FALSE))),"")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6"/>
        <v>0</v>
      </c>
      <c r="T9308" s="98">
        <f t="shared" si="357"/>
        <v>0</v>
      </c>
      <c r="U9308" s="99" t="str">
        <f>IFERROR(IF(#REF!="S",VLOOKUP('Raw Data'!A9308,References!#REF!,2,FALSE),(VLOOKUP($S9308,References!$B$3:$C$8,2,FALSE))),"")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6"/>
        <v>0</v>
      </c>
      <c r="T9309" s="98">
        <f t="shared" si="357"/>
        <v>0</v>
      </c>
      <c r="U9309" s="99" t="str">
        <f>IFERROR(IF(#REF!="S",VLOOKUP('Raw Data'!A9309,References!#REF!,2,FALSE),(VLOOKUP($S9309,References!$B$3:$C$8,2,FALSE))),"")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6"/>
        <v>0</v>
      </c>
      <c r="T9310" s="98">
        <f t="shared" si="357"/>
        <v>0</v>
      </c>
      <c r="U9310" s="99" t="str">
        <f>IFERROR(IF(#REF!="S",VLOOKUP('Raw Data'!A9310,References!#REF!,2,FALSE),(VLOOKUP($S9310,References!$B$3:$C$8,2,FALSE))),"")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6"/>
        <v>0</v>
      </c>
      <c r="T9311" s="98">
        <f t="shared" si="357"/>
        <v>0</v>
      </c>
      <c r="U9311" s="99" t="str">
        <f>IFERROR(IF(#REF!="S",VLOOKUP('Raw Data'!A9311,References!#REF!,2,FALSE),(VLOOKUP($S9311,References!$B$3:$C$8,2,FALSE))),"")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6"/>
        <v>0</v>
      </c>
      <c r="T9312" s="98">
        <f t="shared" si="357"/>
        <v>0</v>
      </c>
      <c r="U9312" s="99" t="str">
        <f>IFERROR(IF(#REF!="S",VLOOKUP('Raw Data'!A9312,References!#REF!,2,FALSE),(VLOOKUP($S9312,References!$B$3:$C$8,2,FALSE))),"")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6"/>
        <v>0</v>
      </c>
      <c r="T9313" s="98">
        <f t="shared" si="357"/>
        <v>0</v>
      </c>
      <c r="U9313" s="99" t="str">
        <f>IFERROR(IF(#REF!="S",VLOOKUP('Raw Data'!A9313,References!#REF!,2,FALSE),(VLOOKUP($S9313,References!$B$3:$C$8,2,FALSE))),"")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6"/>
        <v>0</v>
      </c>
      <c r="T9314" s="98">
        <f t="shared" si="357"/>
        <v>0</v>
      </c>
      <c r="U9314" s="99" t="str">
        <f>IFERROR(IF(#REF!="S",VLOOKUP('Raw Data'!A9314,References!#REF!,2,FALSE),(VLOOKUP($S9314,References!$B$3:$C$8,2,FALSE))),"")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6"/>
        <v>0</v>
      </c>
      <c r="T9315" s="98">
        <f t="shared" si="357"/>
        <v>0</v>
      </c>
      <c r="U9315" s="99" t="str">
        <f>IFERROR(IF(#REF!="S",VLOOKUP('Raw Data'!A9315,References!#REF!,2,FALSE),(VLOOKUP($S9315,References!$B$3:$C$8,2,FALSE))),"")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6"/>
        <v>0</v>
      </c>
      <c r="T9316" s="98">
        <f t="shared" si="357"/>
        <v>0</v>
      </c>
      <c r="U9316" s="99" t="str">
        <f>IFERROR(IF(#REF!="S",VLOOKUP('Raw Data'!A9316,References!#REF!,2,FALSE),(VLOOKUP($S9316,References!$B$3:$C$8,2,FALSE))),"")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6"/>
        <v>0</v>
      </c>
      <c r="T9317" s="98">
        <f t="shared" si="357"/>
        <v>0</v>
      </c>
      <c r="U9317" s="99" t="str">
        <f>IFERROR(IF(#REF!="S",VLOOKUP('Raw Data'!A9317,References!#REF!,2,FALSE),(VLOOKUP($S9317,References!$B$3:$C$8,2,FALSE))),"")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6"/>
        <v>0</v>
      </c>
      <c r="T9318" s="98">
        <f t="shared" si="357"/>
        <v>0</v>
      </c>
      <c r="U9318" s="99" t="str">
        <f>IFERROR(IF(#REF!="S",VLOOKUP('Raw Data'!A9318,References!#REF!,2,FALSE),(VLOOKUP($S9318,References!$B$3:$C$8,2,FALSE))),"")</f>
        <v/>
      </c>
      <c r="W9318" s="66" t="str">
        <f>IFERROR(VLOOKUP($O9318,'Customer List'!$A$1:$J$488,10,FALSE),"")</f>
        <v/>
      </c>
    </row>
    <row r="9319" spans="18:23">
      <c r="R9319" s="97">
        <f t="shared" si="356"/>
        <v>0</v>
      </c>
      <c r="T9319" s="98">
        <f t="shared" si="357"/>
        <v>0</v>
      </c>
      <c r="U9319" s="99" t="str">
        <f>IFERROR(IF(#REF!="S",VLOOKUP('Raw Data'!A9319,References!#REF!,2,FALSE),(VLOOKUP($S9319,References!$B$3:$C$8,2,FALSE))),"")</f>
        <v/>
      </c>
      <c r="W9319" s="66" t="str">
        <f>IFERROR(VLOOKUP($O9319,'Customer List'!$A$1:$J$488,10,FALSE),"")</f>
        <v/>
      </c>
    </row>
    <row r="9320" spans="18:23">
      <c r="R9320" s="97">
        <f t="shared" ref="R9320:R9383" si="358">L9320-K9320</f>
        <v>0</v>
      </c>
      <c r="T9320" s="98">
        <f t="shared" si="357"/>
        <v>0</v>
      </c>
      <c r="U9320" s="99" t="str">
        <f>IFERROR(IF(#REF!="S",VLOOKUP('Raw Data'!A9320,References!#REF!,2,FALSE),(VLOOKUP($S9320,References!$B$3:$C$8,2,FALSE))),"")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58"/>
        <v>0</v>
      </c>
      <c r="T9321" s="98">
        <f t="shared" si="357"/>
        <v>0</v>
      </c>
      <c r="U9321" s="99" t="str">
        <f>IFERROR(IF(#REF!="S",VLOOKUP('Raw Data'!A9321,References!#REF!,2,FALSE),(VLOOKUP($S9321,References!$B$3:$C$8,2,FALSE))),"")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58"/>
        <v>0</v>
      </c>
      <c r="T9322" s="98">
        <f t="shared" si="357"/>
        <v>0</v>
      </c>
      <c r="U9322" s="99" t="str">
        <f>IFERROR(IF(#REF!="S",VLOOKUP('Raw Data'!A9322,References!#REF!,2,FALSE),(VLOOKUP($S9322,References!$B$3:$C$8,2,FALSE))),"")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58"/>
        <v>0</v>
      </c>
      <c r="T9323" s="98">
        <f t="shared" si="357"/>
        <v>0</v>
      </c>
      <c r="U9323" s="99" t="str">
        <f>IFERROR(IF(#REF!="S",VLOOKUP('Raw Data'!A9323,References!#REF!,2,FALSE),(VLOOKUP($S9323,References!$B$3:$C$8,2,FALSE))),"")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58"/>
        <v>0</v>
      </c>
      <c r="T9324" s="98">
        <f t="shared" si="357"/>
        <v>0</v>
      </c>
      <c r="U9324" s="99" t="str">
        <f>IFERROR(IF(#REF!="S",VLOOKUP('Raw Data'!A9324,References!#REF!,2,FALSE),(VLOOKUP($S9324,References!$B$3:$C$8,2,FALSE))),"")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58"/>
        <v>0</v>
      </c>
      <c r="T9325" s="98">
        <f t="shared" si="357"/>
        <v>0</v>
      </c>
      <c r="U9325" s="99" t="str">
        <f>IFERROR(IF(#REF!="S",VLOOKUP('Raw Data'!A9325,References!#REF!,2,FALSE),(VLOOKUP($S9325,References!$B$3:$C$8,2,FALSE))),"")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58"/>
        <v>0</v>
      </c>
      <c r="T9326" s="98">
        <f t="shared" si="357"/>
        <v>0</v>
      </c>
      <c r="U9326" s="99" t="str">
        <f>IFERROR(IF(#REF!="S",VLOOKUP('Raw Data'!A9326,References!#REF!,2,FALSE),(VLOOKUP($S9326,References!$B$3:$C$8,2,FALSE))),"")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58"/>
        <v>0</v>
      </c>
      <c r="T9327" s="98">
        <f t="shared" si="357"/>
        <v>0</v>
      </c>
      <c r="U9327" s="99" t="str">
        <f>IFERROR(IF(#REF!="S",VLOOKUP('Raw Data'!A9327,References!#REF!,2,FALSE),(VLOOKUP($S9327,References!$B$3:$C$8,2,FALSE))),"")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58"/>
        <v>0</v>
      </c>
      <c r="T9328" s="98">
        <f t="shared" si="357"/>
        <v>0</v>
      </c>
      <c r="U9328" s="99" t="str">
        <f>IFERROR(IF(#REF!="S",VLOOKUP('Raw Data'!A9328,References!#REF!,2,FALSE),(VLOOKUP($S9328,References!$B$3:$C$8,2,FALSE))),"")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58"/>
        <v>0</v>
      </c>
      <c r="T9329" s="98">
        <f t="shared" si="357"/>
        <v>0</v>
      </c>
      <c r="U9329" s="99" t="str">
        <f>IFERROR(IF(#REF!="S",VLOOKUP('Raw Data'!A9329,References!#REF!,2,FALSE),(VLOOKUP($S9329,References!$B$3:$C$8,2,FALSE))),"")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58"/>
        <v>0</v>
      </c>
      <c r="T9330" s="98">
        <f t="shared" si="357"/>
        <v>0</v>
      </c>
      <c r="U9330" s="99" t="str">
        <f>IFERROR(IF(#REF!="S",VLOOKUP('Raw Data'!A9330,References!#REF!,2,FALSE),(VLOOKUP($S9330,References!$B$3:$C$8,2,FALSE))),"")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58"/>
        <v>0</v>
      </c>
      <c r="T9331" s="98">
        <f t="shared" si="357"/>
        <v>0</v>
      </c>
      <c r="U9331" s="99" t="str">
        <f>IFERROR(IF(#REF!="S",VLOOKUP('Raw Data'!A9331,References!#REF!,2,FALSE),(VLOOKUP($S9331,References!$B$3:$C$8,2,FALSE))),"")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58"/>
        <v>0</v>
      </c>
      <c r="T9332" s="98">
        <f t="shared" si="357"/>
        <v>0</v>
      </c>
      <c r="U9332" s="99" t="str">
        <f>IFERROR(IF(#REF!="S",VLOOKUP('Raw Data'!A9332,References!#REF!,2,FALSE),(VLOOKUP($S9332,References!$B$3:$C$8,2,FALSE))),"")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58"/>
        <v>0</v>
      </c>
      <c r="T9333" s="98">
        <f t="shared" si="357"/>
        <v>0</v>
      </c>
      <c r="U9333" s="99" t="str">
        <f>IFERROR(IF(#REF!="S",VLOOKUP('Raw Data'!A9333,References!#REF!,2,FALSE),(VLOOKUP($S9333,References!$B$3:$C$8,2,FALSE))),"")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58"/>
        <v>0</v>
      </c>
      <c r="T9334" s="98">
        <f t="shared" si="357"/>
        <v>0</v>
      </c>
      <c r="U9334" s="99" t="str">
        <f>IFERROR(IF(#REF!="S",VLOOKUP('Raw Data'!A9334,References!#REF!,2,FALSE),(VLOOKUP($S9334,References!$B$3:$C$8,2,FALSE))),"")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58"/>
        <v>0</v>
      </c>
      <c r="T9335" s="98">
        <f t="shared" si="357"/>
        <v>0</v>
      </c>
      <c r="U9335" s="99" t="str">
        <f>IFERROR(IF(#REF!="S",VLOOKUP('Raw Data'!A9335,References!#REF!,2,FALSE),(VLOOKUP($S9335,References!$B$3:$C$8,2,FALSE))),"")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58"/>
        <v>0</v>
      </c>
      <c r="T9336" s="98">
        <f t="shared" si="357"/>
        <v>0</v>
      </c>
      <c r="U9336" s="99" t="str">
        <f>IFERROR(IF(#REF!="S",VLOOKUP('Raw Data'!A9336,References!#REF!,2,FALSE),(VLOOKUP($S9336,References!$B$3:$C$8,2,FALSE))),"")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58"/>
        <v>0</v>
      </c>
      <c r="T9337" s="98">
        <f t="shared" si="357"/>
        <v>0</v>
      </c>
      <c r="U9337" s="99" t="str">
        <f>IFERROR(IF(#REF!="S",VLOOKUP('Raw Data'!A9337,References!#REF!,2,FALSE),(VLOOKUP($S9337,References!$B$3:$C$8,2,FALSE))),"")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58"/>
        <v>0</v>
      </c>
      <c r="T9338" s="98">
        <f t="shared" si="357"/>
        <v>0</v>
      </c>
      <c r="U9338" s="99" t="str">
        <f>IFERROR(IF(#REF!="S",VLOOKUP('Raw Data'!A9338,References!#REF!,2,FALSE),(VLOOKUP($S9338,References!$B$3:$C$8,2,FALSE))),"")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58"/>
        <v>0</v>
      </c>
      <c r="T9339" s="98">
        <f t="shared" si="357"/>
        <v>0</v>
      </c>
      <c r="U9339" s="99" t="str">
        <f>IFERROR(IF(#REF!="S",VLOOKUP('Raw Data'!A9339,References!#REF!,2,FALSE),(VLOOKUP($S9339,References!$B$3:$C$8,2,FALSE))),"")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58"/>
        <v>0</v>
      </c>
      <c r="T9340" s="98">
        <f t="shared" si="357"/>
        <v>0</v>
      </c>
      <c r="U9340" s="99" t="str">
        <f>IFERROR(IF(#REF!="S",VLOOKUP('Raw Data'!A9340,References!#REF!,2,FALSE),(VLOOKUP($S9340,References!$B$3:$C$8,2,FALSE))),"")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58"/>
        <v>0</v>
      </c>
      <c r="T9341" s="98">
        <f t="shared" si="357"/>
        <v>0</v>
      </c>
      <c r="U9341" s="99" t="str">
        <f>IFERROR(IF(#REF!="S",VLOOKUP('Raw Data'!A9341,References!#REF!,2,FALSE),(VLOOKUP($S9341,References!$B$3:$C$8,2,FALSE))),"")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58"/>
        <v>0</v>
      </c>
      <c r="T9342" s="98">
        <f t="shared" si="357"/>
        <v>0</v>
      </c>
      <c r="U9342" s="99" t="str">
        <f>IFERROR(IF(#REF!="S",VLOOKUP('Raw Data'!A9342,References!#REF!,2,FALSE),(VLOOKUP($S9342,References!$B$3:$C$8,2,FALSE))),"")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58"/>
        <v>0</v>
      </c>
      <c r="T9343" s="98">
        <f t="shared" si="357"/>
        <v>0</v>
      </c>
      <c r="U9343" s="99" t="str">
        <f>IFERROR(IF(#REF!="S",VLOOKUP('Raw Data'!A9343,References!#REF!,2,FALSE),(VLOOKUP($S9343,References!$B$3:$C$8,2,FALSE))),"")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58"/>
        <v>0</v>
      </c>
      <c r="T9344" s="98">
        <f t="shared" si="357"/>
        <v>0</v>
      </c>
      <c r="U9344" s="99" t="str">
        <f>IFERROR(IF(#REF!="S",VLOOKUP('Raw Data'!A9344,References!#REF!,2,FALSE),(VLOOKUP($S9344,References!$B$3:$C$8,2,FALSE))),"")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58"/>
        <v>0</v>
      </c>
      <c r="T9345" s="98">
        <f t="shared" si="357"/>
        <v>0</v>
      </c>
      <c r="U9345" s="99" t="str">
        <f>IFERROR(IF(#REF!="S",VLOOKUP('Raw Data'!A9345,References!#REF!,2,FALSE),(VLOOKUP($S9345,References!$B$3:$C$8,2,FALSE))),"")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58"/>
        <v>0</v>
      </c>
      <c r="T9346" s="98">
        <f t="shared" si="357"/>
        <v>0</v>
      </c>
      <c r="U9346" s="99" t="str">
        <f>IFERROR(IF(#REF!="S",VLOOKUP('Raw Data'!A9346,References!#REF!,2,FALSE),(VLOOKUP($S9346,References!$B$3:$C$8,2,FALSE))),"")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58"/>
        <v>0</v>
      </c>
      <c r="T9347" s="98">
        <f t="shared" si="357"/>
        <v>0</v>
      </c>
      <c r="U9347" s="99" t="str">
        <f>IFERROR(IF(#REF!="S",VLOOKUP('Raw Data'!A9347,References!#REF!,2,FALSE),(VLOOKUP($S9347,References!$B$3:$C$8,2,FALSE))),"")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58"/>
        <v>0</v>
      </c>
      <c r="T9348" s="98">
        <f t="shared" si="357"/>
        <v>0</v>
      </c>
      <c r="U9348" s="99" t="str">
        <f>IFERROR(IF(#REF!="S",VLOOKUP('Raw Data'!A9348,References!#REF!,2,FALSE),(VLOOKUP($S9348,References!$B$3:$C$8,2,FALSE))),"")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58"/>
        <v>0</v>
      </c>
      <c r="T9349" s="98">
        <f t="shared" si="357"/>
        <v>0</v>
      </c>
      <c r="U9349" s="99" t="str">
        <f>IFERROR(IF(#REF!="S",VLOOKUP('Raw Data'!A9349,References!#REF!,2,FALSE),(VLOOKUP($S9349,References!$B$3:$C$8,2,FALSE))),"")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58"/>
        <v>0</v>
      </c>
      <c r="T9350" s="98">
        <f t="shared" si="357"/>
        <v>0</v>
      </c>
      <c r="U9350" s="99" t="str">
        <f>IFERROR(IF(#REF!="S",VLOOKUP('Raw Data'!A9350,References!#REF!,2,FALSE),(VLOOKUP($S9350,References!$B$3:$C$8,2,FALSE))),"")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58"/>
        <v>0</v>
      </c>
      <c r="T9351" s="98">
        <f t="shared" si="357"/>
        <v>0</v>
      </c>
      <c r="U9351" s="99" t="str">
        <f>IFERROR(IF(#REF!="S",VLOOKUP('Raw Data'!A9351,References!#REF!,2,FALSE),(VLOOKUP($S9351,References!$B$3:$C$8,2,FALSE))),"")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58"/>
        <v>0</v>
      </c>
      <c r="T9352" s="98">
        <f t="shared" si="357"/>
        <v>0</v>
      </c>
      <c r="U9352" s="99" t="str">
        <f>IFERROR(IF(#REF!="S",VLOOKUP('Raw Data'!A9352,References!#REF!,2,FALSE),(VLOOKUP($S9352,References!$B$3:$C$8,2,FALSE))),"")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58"/>
        <v>0</v>
      </c>
      <c r="T9353" s="98">
        <f t="shared" si="357"/>
        <v>0</v>
      </c>
      <c r="U9353" s="99" t="str">
        <f>IFERROR(IF(#REF!="S",VLOOKUP('Raw Data'!A9353,References!#REF!,2,FALSE),(VLOOKUP($S9353,References!$B$3:$C$8,2,FALSE))),"")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58"/>
        <v>0</v>
      </c>
      <c r="T9354" s="98">
        <f t="shared" si="357"/>
        <v>0</v>
      </c>
      <c r="U9354" s="99" t="str">
        <f>IFERROR(IF(#REF!="S",VLOOKUP('Raw Data'!A9354,References!#REF!,2,FALSE),(VLOOKUP($S9354,References!$B$3:$C$8,2,FALSE))),"")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58"/>
        <v>0</v>
      </c>
      <c r="T9355" s="98">
        <f t="shared" si="357"/>
        <v>0</v>
      </c>
      <c r="U9355" s="99" t="str">
        <f>IFERROR(IF(#REF!="S",VLOOKUP('Raw Data'!A9355,References!#REF!,2,FALSE),(VLOOKUP($S9355,References!$B$3:$C$8,2,FALSE))),"")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58"/>
        <v>0</v>
      </c>
      <c r="T9356" s="98">
        <f t="shared" si="357"/>
        <v>0</v>
      </c>
      <c r="U9356" s="99" t="str">
        <f>IFERROR(IF(#REF!="S",VLOOKUP('Raw Data'!A9356,References!#REF!,2,FALSE),(VLOOKUP($S9356,References!$B$3:$C$8,2,FALSE))),"")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58"/>
        <v>0</v>
      </c>
      <c r="T9357" s="98">
        <f t="shared" si="357"/>
        <v>0</v>
      </c>
      <c r="U9357" s="99" t="str">
        <f>IFERROR(IF(#REF!="S",VLOOKUP('Raw Data'!A9357,References!#REF!,2,FALSE),(VLOOKUP($S9357,References!$B$3:$C$8,2,FALSE))),"")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58"/>
        <v>0</v>
      </c>
      <c r="T9358" s="98">
        <f t="shared" si="357"/>
        <v>0</v>
      </c>
      <c r="U9358" s="99" t="str">
        <f>IFERROR(IF(#REF!="S",VLOOKUP('Raw Data'!A9358,References!#REF!,2,FALSE),(VLOOKUP($S9358,References!$B$3:$C$8,2,FALSE))),"")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58"/>
        <v>0</v>
      </c>
      <c r="T9359" s="98">
        <f t="shared" si="357"/>
        <v>0</v>
      </c>
      <c r="U9359" s="99" t="str">
        <f>IFERROR(IF(#REF!="S",VLOOKUP('Raw Data'!A9359,References!#REF!,2,FALSE),(VLOOKUP($S9359,References!$B$3:$C$8,2,FALSE))),"")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58"/>
        <v>0</v>
      </c>
      <c r="T9360" s="98">
        <f t="shared" ref="T9360:T9423" si="359">IF(S9360="50 - Cleaning Fee",1,HOUR($R9360)+MINUTE(R9360)/60)</f>
        <v>0</v>
      </c>
      <c r="U9360" s="99" t="str">
        <f>IFERROR(IF(#REF!="S",VLOOKUP('Raw Data'!A9360,References!#REF!,2,FALSE),(VLOOKUP($S9360,References!$B$3:$C$8,2,FALSE))),"")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58"/>
        <v>0</v>
      </c>
      <c r="T9361" s="98">
        <f t="shared" si="359"/>
        <v>0</v>
      </c>
      <c r="U9361" s="99" t="str">
        <f>IFERROR(IF(#REF!="S",VLOOKUP('Raw Data'!A9361,References!#REF!,2,FALSE),(VLOOKUP($S9361,References!$B$3:$C$8,2,FALSE))),"")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58"/>
        <v>0</v>
      </c>
      <c r="T9362" s="98">
        <f t="shared" si="359"/>
        <v>0</v>
      </c>
      <c r="U9362" s="99" t="str">
        <f>IFERROR(IF(#REF!="S",VLOOKUP('Raw Data'!A9362,References!#REF!,2,FALSE),(VLOOKUP($S9362,References!$B$3:$C$8,2,FALSE))),"")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58"/>
        <v>0</v>
      </c>
      <c r="T9363" s="98">
        <f t="shared" si="359"/>
        <v>0</v>
      </c>
      <c r="U9363" s="99" t="str">
        <f>IFERROR(IF(#REF!="S",VLOOKUP('Raw Data'!A9363,References!#REF!,2,FALSE),(VLOOKUP($S9363,References!$B$3:$C$8,2,FALSE))),"")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58"/>
        <v>0</v>
      </c>
      <c r="T9364" s="98">
        <f t="shared" si="359"/>
        <v>0</v>
      </c>
      <c r="U9364" s="99" t="str">
        <f>IFERROR(IF(#REF!="S",VLOOKUP('Raw Data'!A9364,References!#REF!,2,FALSE),(VLOOKUP($S9364,References!$B$3:$C$8,2,FALSE))),"")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58"/>
        <v>0</v>
      </c>
      <c r="T9365" s="98">
        <f t="shared" si="359"/>
        <v>0</v>
      </c>
      <c r="U9365" s="99" t="str">
        <f>IFERROR(IF(#REF!="S",VLOOKUP('Raw Data'!A9365,References!#REF!,2,FALSE),(VLOOKUP($S9365,References!$B$3:$C$8,2,FALSE))),"")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58"/>
        <v>0</v>
      </c>
      <c r="T9366" s="98">
        <f t="shared" si="359"/>
        <v>0</v>
      </c>
      <c r="U9366" s="99" t="str">
        <f>IFERROR(IF(#REF!="S",VLOOKUP('Raw Data'!A9366,References!#REF!,2,FALSE),(VLOOKUP($S9366,References!$B$3:$C$8,2,FALSE))),"")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58"/>
        <v>0</v>
      </c>
      <c r="T9367" s="98">
        <f t="shared" si="359"/>
        <v>0</v>
      </c>
      <c r="U9367" s="99" t="str">
        <f>IFERROR(IF(#REF!="S",VLOOKUP('Raw Data'!A9367,References!#REF!,2,FALSE),(VLOOKUP($S9367,References!$B$3:$C$8,2,FALSE))),"")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58"/>
        <v>0</v>
      </c>
      <c r="T9368" s="98">
        <f t="shared" si="359"/>
        <v>0</v>
      </c>
      <c r="U9368" s="99" t="str">
        <f>IFERROR(IF(#REF!="S",VLOOKUP('Raw Data'!A9368,References!#REF!,2,FALSE),(VLOOKUP($S9368,References!$B$3:$C$8,2,FALSE))),"")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58"/>
        <v>0</v>
      </c>
      <c r="T9369" s="98">
        <f t="shared" si="359"/>
        <v>0</v>
      </c>
      <c r="U9369" s="99" t="str">
        <f>IFERROR(IF(#REF!="S",VLOOKUP('Raw Data'!A9369,References!#REF!,2,FALSE),(VLOOKUP($S9369,References!$B$3:$C$8,2,FALSE))),"")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58"/>
        <v>0</v>
      </c>
      <c r="T9370" s="98">
        <f t="shared" si="359"/>
        <v>0</v>
      </c>
      <c r="U9370" s="99" t="str">
        <f>IFERROR(IF(#REF!="S",VLOOKUP('Raw Data'!A9370,References!#REF!,2,FALSE),(VLOOKUP($S9370,References!$B$3:$C$8,2,FALSE))),"")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58"/>
        <v>0</v>
      </c>
      <c r="T9371" s="98">
        <f t="shared" si="359"/>
        <v>0</v>
      </c>
      <c r="U9371" s="99" t="str">
        <f>IFERROR(IF(#REF!="S",VLOOKUP('Raw Data'!A9371,References!#REF!,2,FALSE),(VLOOKUP($S9371,References!$B$3:$C$8,2,FALSE))),"")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58"/>
        <v>0</v>
      </c>
      <c r="T9372" s="98">
        <f t="shared" si="359"/>
        <v>0</v>
      </c>
      <c r="U9372" s="99" t="str">
        <f>IFERROR(IF(#REF!="S",VLOOKUP('Raw Data'!A9372,References!#REF!,2,FALSE),(VLOOKUP($S9372,References!$B$3:$C$8,2,FALSE))),"")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58"/>
        <v>0</v>
      </c>
      <c r="T9373" s="98">
        <f t="shared" si="359"/>
        <v>0</v>
      </c>
      <c r="U9373" s="99" t="str">
        <f>IFERROR(IF(#REF!="S",VLOOKUP('Raw Data'!A9373,References!#REF!,2,FALSE),(VLOOKUP($S9373,References!$B$3:$C$8,2,FALSE))),"")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58"/>
        <v>0</v>
      </c>
      <c r="T9374" s="98">
        <f t="shared" si="359"/>
        <v>0</v>
      </c>
      <c r="U9374" s="99" t="str">
        <f>IFERROR(IF(#REF!="S",VLOOKUP('Raw Data'!A9374,References!#REF!,2,FALSE),(VLOOKUP($S9374,References!$B$3:$C$8,2,FALSE))),"")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58"/>
        <v>0</v>
      </c>
      <c r="T9375" s="98">
        <f t="shared" si="359"/>
        <v>0</v>
      </c>
      <c r="U9375" s="99" t="str">
        <f>IFERROR(IF(#REF!="S",VLOOKUP('Raw Data'!A9375,References!#REF!,2,FALSE),(VLOOKUP($S9375,References!$B$3:$C$8,2,FALSE))),"")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58"/>
        <v>0</v>
      </c>
      <c r="T9376" s="98">
        <f t="shared" si="359"/>
        <v>0</v>
      </c>
      <c r="U9376" s="99" t="str">
        <f>IFERROR(IF(#REF!="S",VLOOKUP('Raw Data'!A9376,References!#REF!,2,FALSE),(VLOOKUP($S9376,References!$B$3:$C$8,2,FALSE))),"")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58"/>
        <v>0</v>
      </c>
      <c r="T9377" s="98">
        <f t="shared" si="359"/>
        <v>0</v>
      </c>
      <c r="U9377" s="99" t="str">
        <f>IFERROR(IF(#REF!="S",VLOOKUP('Raw Data'!A9377,References!#REF!,2,FALSE),(VLOOKUP($S9377,References!$B$3:$C$8,2,FALSE))),"")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58"/>
        <v>0</v>
      </c>
      <c r="T9378" s="98">
        <f t="shared" si="359"/>
        <v>0</v>
      </c>
      <c r="U9378" s="99" t="str">
        <f>IFERROR(IF(#REF!="S",VLOOKUP('Raw Data'!A9378,References!#REF!,2,FALSE),(VLOOKUP($S9378,References!$B$3:$C$8,2,FALSE))),"")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58"/>
        <v>0</v>
      </c>
      <c r="T9379" s="98">
        <f t="shared" si="359"/>
        <v>0</v>
      </c>
      <c r="U9379" s="99" t="str">
        <f>IFERROR(IF(#REF!="S",VLOOKUP('Raw Data'!A9379,References!#REF!,2,FALSE),(VLOOKUP($S9379,References!$B$3:$C$8,2,FALSE))),"")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58"/>
        <v>0</v>
      </c>
      <c r="T9380" s="98">
        <f t="shared" si="359"/>
        <v>0</v>
      </c>
      <c r="U9380" s="99" t="str">
        <f>IFERROR(IF(#REF!="S",VLOOKUP('Raw Data'!A9380,References!#REF!,2,FALSE),(VLOOKUP($S9380,References!$B$3:$C$8,2,FALSE))),"")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58"/>
        <v>0</v>
      </c>
      <c r="T9381" s="98">
        <f t="shared" si="359"/>
        <v>0</v>
      </c>
      <c r="U9381" s="99" t="str">
        <f>IFERROR(IF(#REF!="S",VLOOKUP('Raw Data'!A9381,References!#REF!,2,FALSE),(VLOOKUP($S9381,References!$B$3:$C$8,2,FALSE))),"")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58"/>
        <v>0</v>
      </c>
      <c r="T9382" s="98">
        <f t="shared" si="359"/>
        <v>0</v>
      </c>
      <c r="U9382" s="99" t="str">
        <f>IFERROR(IF(#REF!="S",VLOOKUP('Raw Data'!A9382,References!#REF!,2,FALSE),(VLOOKUP($S9382,References!$B$3:$C$8,2,FALSE))),"")</f>
        <v/>
      </c>
      <c r="W9382" s="66" t="str">
        <f>IFERROR(VLOOKUP($O9382,'Customer List'!$A$1:$J$488,10,FALSE),"")</f>
        <v/>
      </c>
    </row>
    <row r="9383" spans="18:23">
      <c r="R9383" s="97">
        <f t="shared" si="358"/>
        <v>0</v>
      </c>
      <c r="T9383" s="98">
        <f t="shared" si="359"/>
        <v>0</v>
      </c>
      <c r="U9383" s="99" t="str">
        <f>IFERROR(IF(#REF!="S",VLOOKUP('Raw Data'!A9383,References!#REF!,2,FALSE),(VLOOKUP($S9383,References!$B$3:$C$8,2,FALSE))),"")</f>
        <v/>
      </c>
      <c r="W9383" s="66" t="str">
        <f>IFERROR(VLOOKUP($O9383,'Customer List'!$A$1:$J$488,10,FALSE),"")</f>
        <v/>
      </c>
    </row>
    <row r="9384" spans="18:23">
      <c r="R9384" s="97">
        <f t="shared" ref="R9384:R9447" si="360">L9384-K9384</f>
        <v>0</v>
      </c>
      <c r="T9384" s="98">
        <f t="shared" si="359"/>
        <v>0</v>
      </c>
      <c r="U9384" s="99" t="str">
        <f>IFERROR(IF(#REF!="S",VLOOKUP('Raw Data'!A9384,References!#REF!,2,FALSE),(VLOOKUP($S9384,References!$B$3:$C$8,2,FALSE))),"")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0"/>
        <v>0</v>
      </c>
      <c r="T9385" s="98">
        <f t="shared" si="359"/>
        <v>0</v>
      </c>
      <c r="U9385" s="99" t="str">
        <f>IFERROR(IF(#REF!="S",VLOOKUP('Raw Data'!A9385,References!#REF!,2,FALSE),(VLOOKUP($S9385,References!$B$3:$C$8,2,FALSE))),"")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0"/>
        <v>0</v>
      </c>
      <c r="T9386" s="98">
        <f t="shared" si="359"/>
        <v>0</v>
      </c>
      <c r="U9386" s="99" t="str">
        <f>IFERROR(IF(#REF!="S",VLOOKUP('Raw Data'!A9386,References!#REF!,2,FALSE),(VLOOKUP($S9386,References!$B$3:$C$8,2,FALSE))),"")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0"/>
        <v>0</v>
      </c>
      <c r="T9387" s="98">
        <f t="shared" si="359"/>
        <v>0</v>
      </c>
      <c r="U9387" s="99" t="str">
        <f>IFERROR(IF(#REF!="S",VLOOKUP('Raw Data'!A9387,References!#REF!,2,FALSE),(VLOOKUP($S9387,References!$B$3:$C$8,2,FALSE))),"")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0"/>
        <v>0</v>
      </c>
      <c r="T9388" s="98">
        <f t="shared" si="359"/>
        <v>0</v>
      </c>
      <c r="U9388" s="99" t="str">
        <f>IFERROR(IF(#REF!="S",VLOOKUP('Raw Data'!A9388,References!#REF!,2,FALSE),(VLOOKUP($S9388,References!$B$3:$C$8,2,FALSE))),"")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0"/>
        <v>0</v>
      </c>
      <c r="T9389" s="98">
        <f t="shared" si="359"/>
        <v>0</v>
      </c>
      <c r="U9389" s="99" t="str">
        <f>IFERROR(IF(#REF!="S",VLOOKUP('Raw Data'!A9389,References!#REF!,2,FALSE),(VLOOKUP($S9389,References!$B$3:$C$8,2,FALSE))),"")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0"/>
        <v>0</v>
      </c>
      <c r="T9390" s="98">
        <f t="shared" si="359"/>
        <v>0</v>
      </c>
      <c r="U9390" s="99" t="str">
        <f>IFERROR(IF(#REF!="S",VLOOKUP('Raw Data'!A9390,References!#REF!,2,FALSE),(VLOOKUP($S9390,References!$B$3:$C$8,2,FALSE))),"")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0"/>
        <v>0</v>
      </c>
      <c r="T9391" s="98">
        <f t="shared" si="359"/>
        <v>0</v>
      </c>
      <c r="U9391" s="99" t="str">
        <f>IFERROR(IF(#REF!="S",VLOOKUP('Raw Data'!A9391,References!#REF!,2,FALSE),(VLOOKUP($S9391,References!$B$3:$C$8,2,FALSE))),"")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0"/>
        <v>0</v>
      </c>
      <c r="T9392" s="98">
        <f t="shared" si="359"/>
        <v>0</v>
      </c>
      <c r="U9392" s="99" t="str">
        <f>IFERROR(IF(#REF!="S",VLOOKUP('Raw Data'!A9392,References!#REF!,2,FALSE),(VLOOKUP($S9392,References!$B$3:$C$8,2,FALSE))),"")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0"/>
        <v>0</v>
      </c>
      <c r="T9393" s="98">
        <f t="shared" si="359"/>
        <v>0</v>
      </c>
      <c r="U9393" s="99" t="str">
        <f>IFERROR(IF(#REF!="S",VLOOKUP('Raw Data'!A9393,References!#REF!,2,FALSE),(VLOOKUP($S9393,References!$B$3:$C$8,2,FALSE))),"")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0"/>
        <v>0</v>
      </c>
      <c r="T9394" s="98">
        <f t="shared" si="359"/>
        <v>0</v>
      </c>
      <c r="U9394" s="99" t="str">
        <f>IFERROR(IF(#REF!="S",VLOOKUP('Raw Data'!A9394,References!#REF!,2,FALSE),(VLOOKUP($S9394,References!$B$3:$C$8,2,FALSE))),"")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0"/>
        <v>0</v>
      </c>
      <c r="T9395" s="98">
        <f t="shared" si="359"/>
        <v>0</v>
      </c>
      <c r="U9395" s="99" t="str">
        <f>IFERROR(IF(#REF!="S",VLOOKUP('Raw Data'!A9395,References!#REF!,2,FALSE),(VLOOKUP($S9395,References!$B$3:$C$8,2,FALSE))),"")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0"/>
        <v>0</v>
      </c>
      <c r="T9396" s="98">
        <f t="shared" si="359"/>
        <v>0</v>
      </c>
      <c r="U9396" s="99" t="str">
        <f>IFERROR(IF(#REF!="S",VLOOKUP('Raw Data'!A9396,References!#REF!,2,FALSE),(VLOOKUP($S9396,References!$B$3:$C$8,2,FALSE))),"")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0"/>
        <v>0</v>
      </c>
      <c r="T9397" s="98">
        <f t="shared" si="359"/>
        <v>0</v>
      </c>
      <c r="U9397" s="99" t="str">
        <f>IFERROR(IF(#REF!="S",VLOOKUP('Raw Data'!A9397,References!#REF!,2,FALSE),(VLOOKUP($S9397,References!$B$3:$C$8,2,FALSE))),"")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0"/>
        <v>0</v>
      </c>
      <c r="T9398" s="98">
        <f t="shared" si="359"/>
        <v>0</v>
      </c>
      <c r="U9398" s="99" t="str">
        <f>IFERROR(IF(#REF!="S",VLOOKUP('Raw Data'!A9398,References!#REF!,2,FALSE),(VLOOKUP($S9398,References!$B$3:$C$8,2,FALSE))),"")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0"/>
        <v>0</v>
      </c>
      <c r="T9399" s="98">
        <f t="shared" si="359"/>
        <v>0</v>
      </c>
      <c r="U9399" s="99" t="str">
        <f>IFERROR(IF(#REF!="S",VLOOKUP('Raw Data'!A9399,References!#REF!,2,FALSE),(VLOOKUP($S9399,References!$B$3:$C$8,2,FALSE))),"")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0"/>
        <v>0</v>
      </c>
      <c r="T9400" s="98">
        <f t="shared" si="359"/>
        <v>0</v>
      </c>
      <c r="U9400" s="99" t="str">
        <f>IFERROR(IF(#REF!="S",VLOOKUP('Raw Data'!A9400,References!#REF!,2,FALSE),(VLOOKUP($S9400,References!$B$3:$C$8,2,FALSE))),"")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0"/>
        <v>0</v>
      </c>
      <c r="T9401" s="98">
        <f t="shared" si="359"/>
        <v>0</v>
      </c>
      <c r="U9401" s="99" t="str">
        <f>IFERROR(IF(#REF!="S",VLOOKUP('Raw Data'!A9401,References!#REF!,2,FALSE),(VLOOKUP($S9401,References!$B$3:$C$8,2,FALSE))),"")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0"/>
        <v>0</v>
      </c>
      <c r="T9402" s="98">
        <f t="shared" si="359"/>
        <v>0</v>
      </c>
      <c r="U9402" s="99" t="str">
        <f>IFERROR(IF(#REF!="S",VLOOKUP('Raw Data'!A9402,References!#REF!,2,FALSE),(VLOOKUP($S9402,References!$B$3:$C$8,2,FALSE))),"")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0"/>
        <v>0</v>
      </c>
      <c r="T9403" s="98">
        <f t="shared" si="359"/>
        <v>0</v>
      </c>
      <c r="U9403" s="99" t="str">
        <f>IFERROR(IF(#REF!="S",VLOOKUP('Raw Data'!A9403,References!#REF!,2,FALSE),(VLOOKUP($S9403,References!$B$3:$C$8,2,FALSE))),"")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0"/>
        <v>0</v>
      </c>
      <c r="T9404" s="98">
        <f t="shared" si="359"/>
        <v>0</v>
      </c>
      <c r="U9404" s="99" t="str">
        <f>IFERROR(IF(#REF!="S",VLOOKUP('Raw Data'!A9404,References!#REF!,2,FALSE),(VLOOKUP($S9404,References!$B$3:$C$8,2,FALSE))),"")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0"/>
        <v>0</v>
      </c>
      <c r="T9405" s="98">
        <f t="shared" si="359"/>
        <v>0</v>
      </c>
      <c r="U9405" s="99" t="str">
        <f>IFERROR(IF(#REF!="S",VLOOKUP('Raw Data'!A9405,References!#REF!,2,FALSE),(VLOOKUP($S9405,References!$B$3:$C$8,2,FALSE))),"")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0"/>
        <v>0</v>
      </c>
      <c r="T9406" s="98">
        <f t="shared" si="359"/>
        <v>0</v>
      </c>
      <c r="U9406" s="99" t="str">
        <f>IFERROR(IF(#REF!="S",VLOOKUP('Raw Data'!A9406,References!#REF!,2,FALSE),(VLOOKUP($S9406,References!$B$3:$C$8,2,FALSE))),"")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0"/>
        <v>0</v>
      </c>
      <c r="T9407" s="98">
        <f t="shared" si="359"/>
        <v>0</v>
      </c>
      <c r="U9407" s="99" t="str">
        <f>IFERROR(IF(#REF!="S",VLOOKUP('Raw Data'!A9407,References!#REF!,2,FALSE),(VLOOKUP($S9407,References!$B$3:$C$8,2,FALSE))),"")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0"/>
        <v>0</v>
      </c>
      <c r="T9408" s="98">
        <f t="shared" si="359"/>
        <v>0</v>
      </c>
      <c r="U9408" s="99" t="str">
        <f>IFERROR(IF(#REF!="S",VLOOKUP('Raw Data'!A9408,References!#REF!,2,FALSE),(VLOOKUP($S9408,References!$B$3:$C$8,2,FALSE))),"")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0"/>
        <v>0</v>
      </c>
      <c r="T9409" s="98">
        <f t="shared" si="359"/>
        <v>0</v>
      </c>
      <c r="U9409" s="99" t="str">
        <f>IFERROR(IF(#REF!="S",VLOOKUP('Raw Data'!A9409,References!#REF!,2,FALSE),(VLOOKUP($S9409,References!$B$3:$C$8,2,FALSE))),"")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0"/>
        <v>0</v>
      </c>
      <c r="T9410" s="98">
        <f t="shared" si="359"/>
        <v>0</v>
      </c>
      <c r="U9410" s="99" t="str">
        <f>IFERROR(IF(#REF!="S",VLOOKUP('Raw Data'!A9410,References!#REF!,2,FALSE),(VLOOKUP($S9410,References!$B$3:$C$8,2,FALSE))),"")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0"/>
        <v>0</v>
      </c>
      <c r="T9411" s="98">
        <f t="shared" si="359"/>
        <v>0</v>
      </c>
      <c r="U9411" s="99" t="str">
        <f>IFERROR(IF(#REF!="S",VLOOKUP('Raw Data'!A9411,References!#REF!,2,FALSE),(VLOOKUP($S9411,References!$B$3:$C$8,2,FALSE))),"")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0"/>
        <v>0</v>
      </c>
      <c r="T9412" s="98">
        <f t="shared" si="359"/>
        <v>0</v>
      </c>
      <c r="U9412" s="99" t="str">
        <f>IFERROR(IF(#REF!="S",VLOOKUP('Raw Data'!A9412,References!#REF!,2,FALSE),(VLOOKUP($S9412,References!$B$3:$C$8,2,FALSE))),"")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0"/>
        <v>0</v>
      </c>
      <c r="T9413" s="98">
        <f t="shared" si="359"/>
        <v>0</v>
      </c>
      <c r="U9413" s="99" t="str">
        <f>IFERROR(IF(#REF!="S",VLOOKUP('Raw Data'!A9413,References!#REF!,2,FALSE),(VLOOKUP($S9413,References!$B$3:$C$8,2,FALSE))),"")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0"/>
        <v>0</v>
      </c>
      <c r="T9414" s="98">
        <f t="shared" si="359"/>
        <v>0</v>
      </c>
      <c r="U9414" s="99" t="str">
        <f>IFERROR(IF(#REF!="S",VLOOKUP('Raw Data'!A9414,References!#REF!,2,FALSE),(VLOOKUP($S9414,References!$B$3:$C$8,2,FALSE))),"")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0"/>
        <v>0</v>
      </c>
      <c r="T9415" s="98">
        <f t="shared" si="359"/>
        <v>0</v>
      </c>
      <c r="U9415" s="99" t="str">
        <f>IFERROR(IF(#REF!="S",VLOOKUP('Raw Data'!A9415,References!#REF!,2,FALSE),(VLOOKUP($S9415,References!$B$3:$C$8,2,FALSE))),"")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0"/>
        <v>0</v>
      </c>
      <c r="T9416" s="98">
        <f t="shared" si="359"/>
        <v>0</v>
      </c>
      <c r="U9416" s="99" t="str">
        <f>IFERROR(IF(#REF!="S",VLOOKUP('Raw Data'!A9416,References!#REF!,2,FALSE),(VLOOKUP($S9416,References!$B$3:$C$8,2,FALSE))),"")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0"/>
        <v>0</v>
      </c>
      <c r="T9417" s="98">
        <f t="shared" si="359"/>
        <v>0</v>
      </c>
      <c r="U9417" s="99" t="str">
        <f>IFERROR(IF(#REF!="S",VLOOKUP('Raw Data'!A9417,References!#REF!,2,FALSE),(VLOOKUP($S9417,References!$B$3:$C$8,2,FALSE))),"")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0"/>
        <v>0</v>
      </c>
      <c r="T9418" s="98">
        <f t="shared" si="359"/>
        <v>0</v>
      </c>
      <c r="U9418" s="99" t="str">
        <f>IFERROR(IF(#REF!="S",VLOOKUP('Raw Data'!A9418,References!#REF!,2,FALSE),(VLOOKUP($S9418,References!$B$3:$C$8,2,FALSE))),"")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0"/>
        <v>0</v>
      </c>
      <c r="T9419" s="98">
        <f t="shared" si="359"/>
        <v>0</v>
      </c>
      <c r="U9419" s="99" t="str">
        <f>IFERROR(IF(#REF!="S",VLOOKUP('Raw Data'!A9419,References!#REF!,2,FALSE),(VLOOKUP($S9419,References!$B$3:$C$8,2,FALSE))),"")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0"/>
        <v>0</v>
      </c>
      <c r="T9420" s="98">
        <f t="shared" si="359"/>
        <v>0</v>
      </c>
      <c r="U9420" s="99" t="str">
        <f>IFERROR(IF(#REF!="S",VLOOKUP('Raw Data'!A9420,References!#REF!,2,FALSE),(VLOOKUP($S9420,References!$B$3:$C$8,2,FALSE))),"")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0"/>
        <v>0</v>
      </c>
      <c r="T9421" s="98">
        <f t="shared" si="359"/>
        <v>0</v>
      </c>
      <c r="U9421" s="99" t="str">
        <f>IFERROR(IF(#REF!="S",VLOOKUP('Raw Data'!A9421,References!#REF!,2,FALSE),(VLOOKUP($S9421,References!$B$3:$C$8,2,FALSE))),"")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0"/>
        <v>0</v>
      </c>
      <c r="T9422" s="98">
        <f t="shared" si="359"/>
        <v>0</v>
      </c>
      <c r="U9422" s="99" t="str">
        <f>IFERROR(IF(#REF!="S",VLOOKUP('Raw Data'!A9422,References!#REF!,2,FALSE),(VLOOKUP($S9422,References!$B$3:$C$8,2,FALSE))),"")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0"/>
        <v>0</v>
      </c>
      <c r="T9423" s="98">
        <f t="shared" si="359"/>
        <v>0</v>
      </c>
      <c r="U9423" s="99" t="str">
        <f>IFERROR(IF(#REF!="S",VLOOKUP('Raw Data'!A9423,References!#REF!,2,FALSE),(VLOOKUP($S9423,References!$B$3:$C$8,2,FALSE))),"")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0"/>
        <v>0</v>
      </c>
      <c r="T9424" s="98">
        <f t="shared" ref="T9424:T9471" si="361">IF(S9424="50 - Cleaning Fee",1,HOUR($R9424)+MINUTE(R9424)/60)</f>
        <v>0</v>
      </c>
      <c r="U9424" s="99" t="str">
        <f>IFERROR(IF(#REF!="S",VLOOKUP('Raw Data'!A9424,References!#REF!,2,FALSE),(VLOOKUP($S9424,References!$B$3:$C$8,2,FALSE))),"")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0"/>
        <v>0</v>
      </c>
      <c r="T9425" s="98">
        <f t="shared" si="361"/>
        <v>0</v>
      </c>
      <c r="U9425" s="99" t="str">
        <f>IFERROR(IF(#REF!="S",VLOOKUP('Raw Data'!A9425,References!#REF!,2,FALSE),(VLOOKUP($S9425,References!$B$3:$C$8,2,FALSE))),"")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0"/>
        <v>0</v>
      </c>
      <c r="T9426" s="98">
        <f t="shared" si="361"/>
        <v>0</v>
      </c>
      <c r="U9426" s="99" t="str">
        <f>IFERROR(IF(#REF!="S",VLOOKUP('Raw Data'!A9426,References!#REF!,2,FALSE),(VLOOKUP($S9426,References!$B$3:$C$8,2,FALSE))),"")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0"/>
        <v>0</v>
      </c>
      <c r="T9427" s="98">
        <f t="shared" si="361"/>
        <v>0</v>
      </c>
      <c r="U9427" s="99" t="str">
        <f>IFERROR(IF(#REF!="S",VLOOKUP('Raw Data'!A9427,References!#REF!,2,FALSE),(VLOOKUP($S9427,References!$B$3:$C$8,2,FALSE))),"")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0"/>
        <v>0</v>
      </c>
      <c r="T9428" s="98">
        <f t="shared" si="361"/>
        <v>0</v>
      </c>
      <c r="U9428" s="99" t="str">
        <f>IFERROR(IF(#REF!="S",VLOOKUP('Raw Data'!A9428,References!#REF!,2,FALSE),(VLOOKUP($S9428,References!$B$3:$C$8,2,FALSE))),"")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0"/>
        <v>0</v>
      </c>
      <c r="T9429" s="98">
        <f t="shared" si="361"/>
        <v>0</v>
      </c>
      <c r="U9429" s="99" t="str">
        <f>IFERROR(IF(#REF!="S",VLOOKUP('Raw Data'!A9429,References!#REF!,2,FALSE),(VLOOKUP($S9429,References!$B$3:$C$8,2,FALSE))),"")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0"/>
        <v>0</v>
      </c>
      <c r="T9430" s="98">
        <f t="shared" si="361"/>
        <v>0</v>
      </c>
      <c r="U9430" s="99" t="str">
        <f>IFERROR(IF(#REF!="S",VLOOKUP('Raw Data'!A9430,References!#REF!,2,FALSE),(VLOOKUP($S9430,References!$B$3:$C$8,2,FALSE))),"")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0"/>
        <v>0</v>
      </c>
      <c r="T9431" s="98">
        <f t="shared" si="361"/>
        <v>0</v>
      </c>
      <c r="U9431" s="99" t="str">
        <f>IFERROR(IF(#REF!="S",VLOOKUP('Raw Data'!A9431,References!#REF!,2,FALSE),(VLOOKUP($S9431,References!$B$3:$C$8,2,FALSE))),"")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0"/>
        <v>0</v>
      </c>
      <c r="T9432" s="98">
        <f t="shared" si="361"/>
        <v>0</v>
      </c>
      <c r="U9432" s="99" t="str">
        <f>IFERROR(IF(#REF!="S",VLOOKUP('Raw Data'!A9432,References!#REF!,2,FALSE),(VLOOKUP($S9432,References!$B$3:$C$8,2,FALSE))),"")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0"/>
        <v>0</v>
      </c>
      <c r="T9433" s="98">
        <f t="shared" si="361"/>
        <v>0</v>
      </c>
      <c r="U9433" s="99" t="str">
        <f>IFERROR(IF(#REF!="S",VLOOKUP('Raw Data'!A9433,References!#REF!,2,FALSE),(VLOOKUP($S9433,References!$B$3:$C$8,2,FALSE))),"")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0"/>
        <v>0</v>
      </c>
      <c r="T9434" s="98">
        <f t="shared" si="361"/>
        <v>0</v>
      </c>
      <c r="U9434" s="99" t="str">
        <f>IFERROR(IF(#REF!="S",VLOOKUP('Raw Data'!A9434,References!#REF!,2,FALSE),(VLOOKUP($S9434,References!$B$3:$C$8,2,FALSE))),"")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0"/>
        <v>0</v>
      </c>
      <c r="T9435" s="98">
        <f t="shared" si="361"/>
        <v>0</v>
      </c>
      <c r="U9435" s="99" t="str">
        <f>IFERROR(IF(#REF!="S",VLOOKUP('Raw Data'!A9435,References!#REF!,2,FALSE),(VLOOKUP($S9435,References!$B$3:$C$8,2,FALSE))),"")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0"/>
        <v>0</v>
      </c>
      <c r="T9436" s="98">
        <f t="shared" si="361"/>
        <v>0</v>
      </c>
      <c r="U9436" s="99" t="str">
        <f>IFERROR(IF(#REF!="S",VLOOKUP('Raw Data'!A9436,References!#REF!,2,FALSE),(VLOOKUP($S9436,References!$B$3:$C$8,2,FALSE))),"")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0"/>
        <v>0</v>
      </c>
      <c r="T9437" s="98">
        <f t="shared" si="361"/>
        <v>0</v>
      </c>
      <c r="U9437" s="99" t="str">
        <f>IFERROR(IF(#REF!="S",VLOOKUP('Raw Data'!A9437,References!#REF!,2,FALSE),(VLOOKUP($S9437,References!$B$3:$C$8,2,FALSE))),"")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0"/>
        <v>0</v>
      </c>
      <c r="T9438" s="98">
        <f t="shared" si="361"/>
        <v>0</v>
      </c>
      <c r="U9438" s="99" t="str">
        <f>IFERROR(IF(#REF!="S",VLOOKUP('Raw Data'!A9438,References!#REF!,2,FALSE),(VLOOKUP($S9438,References!$B$3:$C$8,2,FALSE))),"")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0"/>
        <v>0</v>
      </c>
      <c r="T9439" s="98">
        <f t="shared" si="361"/>
        <v>0</v>
      </c>
      <c r="U9439" s="99" t="str">
        <f>IFERROR(IF(#REF!="S",VLOOKUP('Raw Data'!A9439,References!#REF!,2,FALSE),(VLOOKUP($S9439,References!$B$3:$C$8,2,FALSE))),"")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0"/>
        <v>0</v>
      </c>
      <c r="T9440" s="98">
        <f t="shared" si="361"/>
        <v>0</v>
      </c>
      <c r="U9440" s="99" t="str">
        <f>IFERROR(IF(#REF!="S",VLOOKUP('Raw Data'!A9440,References!#REF!,2,FALSE),(VLOOKUP($S9440,References!$B$3:$C$8,2,FALSE))),"")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0"/>
        <v>0</v>
      </c>
      <c r="T9441" s="98">
        <f t="shared" si="361"/>
        <v>0</v>
      </c>
      <c r="U9441" s="99" t="str">
        <f>IFERROR(IF(#REF!="S",VLOOKUP('Raw Data'!A9441,References!#REF!,2,FALSE),(VLOOKUP($S9441,References!$B$3:$C$8,2,FALSE))),"")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0"/>
        <v>0</v>
      </c>
      <c r="T9442" s="98">
        <f t="shared" si="361"/>
        <v>0</v>
      </c>
      <c r="U9442" s="99" t="str">
        <f>IFERROR(IF(#REF!="S",VLOOKUP('Raw Data'!A9442,References!#REF!,2,FALSE),(VLOOKUP($S9442,References!$B$3:$C$8,2,FALSE))),"")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0"/>
        <v>0</v>
      </c>
      <c r="T9443" s="98">
        <f t="shared" si="361"/>
        <v>0</v>
      </c>
      <c r="U9443" s="99" t="str">
        <f>IFERROR(IF(#REF!="S",VLOOKUP('Raw Data'!A9443,References!#REF!,2,FALSE),(VLOOKUP($S9443,References!$B$3:$C$8,2,FALSE))),"")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0"/>
        <v>0</v>
      </c>
      <c r="T9444" s="98">
        <f t="shared" si="361"/>
        <v>0</v>
      </c>
      <c r="U9444" s="99" t="str">
        <f>IFERROR(IF(#REF!="S",VLOOKUP('Raw Data'!A9444,References!#REF!,2,FALSE),(VLOOKUP($S9444,References!$B$3:$C$8,2,FALSE))),"")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0"/>
        <v>0</v>
      </c>
      <c r="T9445" s="98">
        <f t="shared" si="361"/>
        <v>0</v>
      </c>
      <c r="U9445" s="99" t="str">
        <f>IFERROR(IF(#REF!="S",VLOOKUP('Raw Data'!A9445,References!#REF!,2,FALSE),(VLOOKUP($S9445,References!$B$3:$C$8,2,FALSE))),"")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0"/>
        <v>0</v>
      </c>
      <c r="T9446" s="98">
        <f t="shared" si="361"/>
        <v>0</v>
      </c>
      <c r="U9446" s="99" t="str">
        <f>IFERROR(IF(#REF!="S",VLOOKUP('Raw Data'!A9446,References!#REF!,2,FALSE),(VLOOKUP($S9446,References!$B$3:$C$8,2,FALSE))),"")</f>
        <v/>
      </c>
      <c r="W9446" s="66" t="str">
        <f>IFERROR(VLOOKUP($O9446,'Customer List'!$A$1:$J$488,10,FALSE),"")</f>
        <v/>
      </c>
    </row>
    <row r="9447" spans="18:23">
      <c r="R9447" s="97">
        <f t="shared" si="360"/>
        <v>0</v>
      </c>
      <c r="T9447" s="98">
        <f t="shared" si="361"/>
        <v>0</v>
      </c>
      <c r="U9447" s="99" t="str">
        <f>IFERROR(IF(#REF!="S",VLOOKUP('Raw Data'!A9447,References!#REF!,2,FALSE),(VLOOKUP($S9447,References!$B$3:$C$8,2,FALSE))),"")</f>
        <v/>
      </c>
      <c r="W9447" s="66" t="str">
        <f>IFERROR(VLOOKUP($O9447,'Customer List'!$A$1:$J$488,10,FALSE),"")</f>
        <v/>
      </c>
    </row>
    <row r="9448" spans="18:23">
      <c r="R9448" s="97">
        <f t="shared" ref="R9448:R9511" si="362">L9448-K9448</f>
        <v>0</v>
      </c>
      <c r="T9448" s="98">
        <f t="shared" si="361"/>
        <v>0</v>
      </c>
      <c r="U9448" s="99" t="str">
        <f>IFERROR(IF(#REF!="S",VLOOKUP('Raw Data'!A9448,References!#REF!,2,FALSE),(VLOOKUP($S9448,References!$B$3:$C$8,2,FALSE))),"")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2"/>
        <v>0</v>
      </c>
      <c r="T9449" s="98">
        <f t="shared" si="361"/>
        <v>0</v>
      </c>
      <c r="U9449" s="99" t="str">
        <f>IFERROR(IF(#REF!="S",VLOOKUP('Raw Data'!A9449,References!#REF!,2,FALSE),(VLOOKUP($S9449,References!$B$3:$C$8,2,FALSE))),"")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2"/>
        <v>0</v>
      </c>
      <c r="T9450" s="98">
        <f t="shared" si="361"/>
        <v>0</v>
      </c>
      <c r="U9450" s="99" t="str">
        <f>IFERROR(IF(#REF!="S",VLOOKUP('Raw Data'!A9450,References!#REF!,2,FALSE),(VLOOKUP($S9450,References!$B$3:$C$8,2,FALSE))),"")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2"/>
        <v>0</v>
      </c>
      <c r="T9451" s="98">
        <f t="shared" si="361"/>
        <v>0</v>
      </c>
      <c r="U9451" s="99" t="str">
        <f>IFERROR(IF(#REF!="S",VLOOKUP('Raw Data'!A9451,References!#REF!,2,FALSE),(VLOOKUP($S9451,References!$B$3:$C$8,2,FALSE))),"")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2"/>
        <v>0</v>
      </c>
      <c r="T9452" s="98">
        <f t="shared" si="361"/>
        <v>0</v>
      </c>
      <c r="U9452" s="99" t="str">
        <f>IFERROR(IF(#REF!="S",VLOOKUP('Raw Data'!A9452,References!#REF!,2,FALSE),(VLOOKUP($S9452,References!$B$3:$C$8,2,FALSE))),"")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2"/>
        <v>0</v>
      </c>
      <c r="T9453" s="98">
        <f t="shared" si="361"/>
        <v>0</v>
      </c>
      <c r="U9453" s="99" t="str">
        <f>IFERROR(IF(#REF!="S",VLOOKUP('Raw Data'!A9453,References!#REF!,2,FALSE),(VLOOKUP($S9453,References!$B$3:$C$8,2,FALSE))),"")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2"/>
        <v>0</v>
      </c>
      <c r="T9454" s="98">
        <f t="shared" si="361"/>
        <v>0</v>
      </c>
      <c r="U9454" s="99" t="str">
        <f>IFERROR(IF(#REF!="S",VLOOKUP('Raw Data'!A9454,References!#REF!,2,FALSE),(VLOOKUP($S9454,References!$B$3:$C$8,2,FALSE))),"")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2"/>
        <v>0</v>
      </c>
      <c r="T9455" s="98">
        <f t="shared" si="361"/>
        <v>0</v>
      </c>
      <c r="U9455" s="99" t="str">
        <f>IFERROR(IF(#REF!="S",VLOOKUP('Raw Data'!A9455,References!#REF!,2,FALSE),(VLOOKUP($S9455,References!$B$3:$C$8,2,FALSE))),"")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2"/>
        <v>0</v>
      </c>
      <c r="T9456" s="98">
        <f t="shared" si="361"/>
        <v>0</v>
      </c>
      <c r="U9456" s="99" t="str">
        <f>IFERROR(IF(#REF!="S",VLOOKUP('Raw Data'!A9456,References!#REF!,2,FALSE),(VLOOKUP($S9456,References!$B$3:$C$8,2,FALSE))),"")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2"/>
        <v>0</v>
      </c>
      <c r="T9457" s="98">
        <f t="shared" si="361"/>
        <v>0</v>
      </c>
      <c r="U9457" s="99" t="str">
        <f>IFERROR(IF(#REF!="S",VLOOKUP('Raw Data'!A9457,References!#REF!,2,FALSE),(VLOOKUP($S9457,References!$B$3:$C$8,2,FALSE))),"")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2"/>
        <v>0</v>
      </c>
      <c r="T9458" s="98">
        <f t="shared" si="361"/>
        <v>0</v>
      </c>
      <c r="U9458" s="99" t="str">
        <f>IFERROR(IF(#REF!="S",VLOOKUP('Raw Data'!A9458,References!#REF!,2,FALSE),(VLOOKUP($S9458,References!$B$3:$C$8,2,FALSE))),"")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2"/>
        <v>0</v>
      </c>
      <c r="T9459" s="98">
        <f t="shared" si="361"/>
        <v>0</v>
      </c>
      <c r="U9459" s="99" t="str">
        <f>IFERROR(IF(#REF!="S",VLOOKUP('Raw Data'!A9459,References!#REF!,2,FALSE),(VLOOKUP($S9459,References!$B$3:$C$8,2,FALSE))),"")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2"/>
        <v>0</v>
      </c>
      <c r="T9460" s="98">
        <f t="shared" si="361"/>
        <v>0</v>
      </c>
      <c r="U9460" s="99" t="str">
        <f>IFERROR(IF(#REF!="S",VLOOKUP('Raw Data'!A9460,References!#REF!,2,FALSE),(VLOOKUP($S9460,References!$B$3:$C$8,2,FALSE))),"")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2"/>
        <v>0</v>
      </c>
      <c r="T9461" s="98">
        <f t="shared" si="361"/>
        <v>0</v>
      </c>
      <c r="U9461" s="99" t="str">
        <f>IFERROR(IF(#REF!="S",VLOOKUP('Raw Data'!A9461,References!#REF!,2,FALSE),(VLOOKUP($S9461,References!$B$3:$C$8,2,FALSE))),"")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2"/>
        <v>0</v>
      </c>
      <c r="T9462" s="98">
        <f t="shared" si="361"/>
        <v>0</v>
      </c>
      <c r="U9462" s="99" t="str">
        <f>IFERROR(IF(#REF!="S",VLOOKUP('Raw Data'!A9462,References!#REF!,2,FALSE),(VLOOKUP($S9462,References!$B$3:$C$8,2,FALSE))),"")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2"/>
        <v>0</v>
      </c>
      <c r="T9463" s="98">
        <f t="shared" si="361"/>
        <v>0</v>
      </c>
      <c r="U9463" s="99" t="str">
        <f>IFERROR(IF(#REF!="S",VLOOKUP('Raw Data'!A9463,References!#REF!,2,FALSE),(VLOOKUP($S9463,References!$B$3:$C$8,2,FALSE))),"")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2"/>
        <v>0</v>
      </c>
      <c r="T9464" s="98">
        <f t="shared" si="361"/>
        <v>0</v>
      </c>
      <c r="U9464" s="99" t="str">
        <f>IFERROR(IF(#REF!="S",VLOOKUP('Raw Data'!A9464,References!#REF!,2,FALSE),(VLOOKUP($S9464,References!$B$3:$C$8,2,FALSE))),"")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2"/>
        <v>0</v>
      </c>
      <c r="T9465" s="98">
        <f t="shared" si="361"/>
        <v>0</v>
      </c>
      <c r="U9465" s="99" t="str">
        <f>IFERROR(IF(#REF!="S",VLOOKUP('Raw Data'!A9465,References!#REF!,2,FALSE),(VLOOKUP($S9465,References!$B$3:$C$8,2,FALSE))),"")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2"/>
        <v>0</v>
      </c>
      <c r="T9466" s="98">
        <f t="shared" si="361"/>
        <v>0</v>
      </c>
      <c r="U9466" s="99" t="str">
        <f>IFERROR(IF(#REF!="S",VLOOKUP('Raw Data'!A9466,References!#REF!,2,FALSE),(VLOOKUP($S9466,References!$B$3:$C$8,2,FALSE))),"")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2"/>
        <v>0</v>
      </c>
      <c r="T9467" s="98">
        <f t="shared" si="361"/>
        <v>0</v>
      </c>
      <c r="U9467" s="99" t="str">
        <f>IFERROR(IF(#REF!="S",VLOOKUP('Raw Data'!A9467,References!#REF!,2,FALSE),(VLOOKUP($S9467,References!$B$3:$C$8,2,FALSE))),"")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2"/>
        <v>0</v>
      </c>
      <c r="T9468" s="98">
        <f t="shared" si="361"/>
        <v>0</v>
      </c>
      <c r="U9468" s="99" t="str">
        <f>IFERROR(IF(#REF!="S",VLOOKUP('Raw Data'!A9468,References!#REF!,2,FALSE),(VLOOKUP($S9468,References!$B$3:$C$8,2,FALSE))),"")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2"/>
        <v>0</v>
      </c>
      <c r="T9469" s="98">
        <f t="shared" si="361"/>
        <v>0</v>
      </c>
      <c r="U9469" s="99" t="str">
        <f>IFERROR(IF(#REF!="S",VLOOKUP('Raw Data'!A9469,References!#REF!,2,FALSE),(VLOOKUP($S9469,References!$B$3:$C$8,2,FALSE))),"")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2"/>
        <v>0</v>
      </c>
      <c r="T9470" s="98">
        <f t="shared" si="361"/>
        <v>0</v>
      </c>
      <c r="U9470" s="99" t="str">
        <f>IFERROR(IF(#REF!="S",VLOOKUP('Raw Data'!A9470,References!#REF!,2,FALSE),(VLOOKUP($S9470,References!$B$3:$C$8,2,FALSE))),"")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2"/>
        <v>0</v>
      </c>
      <c r="T9471" s="98">
        <f t="shared" si="361"/>
        <v>0</v>
      </c>
      <c r="U9471" s="99" t="str">
        <f>IFERROR(IF(#REF!="S",VLOOKUP('Raw Data'!A9471,References!#REF!,2,FALSE),(VLOOKUP($S9471,References!$B$3:$C$8,2,FALSE))),"")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2"/>
        <v>0</v>
      </c>
      <c r="U9472" s="99" t="str">
        <f>IFERROR(IF(#REF!="S",VLOOKUP('Raw Data'!A9472,References!#REF!,2,FALSE),(VLOOKUP($S9472,References!$B$3:$C$8,2,FALSE))),"")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2"/>
        <v>0</v>
      </c>
      <c r="U9473" s="99" t="str">
        <f>IFERROR(IF(#REF!="S",VLOOKUP('Raw Data'!A9473,References!#REF!,2,FALSE),(VLOOKUP($S9473,References!$B$3:$C$8,2,FALSE))),"")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2"/>
        <v>0</v>
      </c>
      <c r="U9474" s="99" t="str">
        <f>IFERROR(IF(#REF!="S",VLOOKUP('Raw Data'!A9474,References!#REF!,2,FALSE),(VLOOKUP($S9474,References!$B$3:$C$8,2,FALSE))),"")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2"/>
        <v>0</v>
      </c>
      <c r="U9475" s="99" t="str">
        <f>IFERROR(IF(#REF!="S",VLOOKUP('Raw Data'!A9475,References!#REF!,2,FALSE),(VLOOKUP($S9475,References!$B$3:$C$8,2,FALSE))),"")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2"/>
        <v>0</v>
      </c>
      <c r="U9476" s="99" t="str">
        <f>IFERROR(IF(#REF!="S",VLOOKUP('Raw Data'!A9476,References!#REF!,2,FALSE),(VLOOKUP($S9476,References!$B$3:$C$8,2,FALSE))),"")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2"/>
        <v>0</v>
      </c>
      <c r="U9477" s="99" t="str">
        <f>IFERROR(IF(#REF!="S",VLOOKUP('Raw Data'!A9477,References!#REF!,2,FALSE),(VLOOKUP($S9477,References!$B$3:$C$8,2,FALSE))),"")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2"/>
        <v>0</v>
      </c>
      <c r="U9478" s="99" t="str">
        <f>IFERROR(IF(#REF!="S",VLOOKUP('Raw Data'!A9478,References!#REF!,2,FALSE),(VLOOKUP($S9478,References!$B$3:$C$8,2,FALSE))),"")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2"/>
        <v>0</v>
      </c>
      <c r="U9479" s="99" t="str">
        <f>IFERROR(IF(#REF!="S",VLOOKUP('Raw Data'!A9479,References!#REF!,2,FALSE),(VLOOKUP($S9479,References!$B$3:$C$8,2,FALSE))),"")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2"/>
        <v>0</v>
      </c>
      <c r="U9480" s="99" t="str">
        <f>IFERROR(IF(#REF!="S",VLOOKUP('Raw Data'!A9480,References!#REF!,2,FALSE),(VLOOKUP($S9480,References!$B$3:$C$8,2,FALSE))),"")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2"/>
        <v>0</v>
      </c>
      <c r="U9481" s="99" t="str">
        <f>IFERROR(IF(#REF!="S",VLOOKUP('Raw Data'!A9481,References!#REF!,2,FALSE),(VLOOKUP($S9481,References!$B$3:$C$8,2,FALSE))),"")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2"/>
        <v>0</v>
      </c>
      <c r="U9482" s="99" t="str">
        <f>IFERROR(IF(#REF!="S",VLOOKUP('Raw Data'!A9482,References!#REF!,2,FALSE),(VLOOKUP($S9482,References!$B$3:$C$8,2,FALSE))),"")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2"/>
        <v>0</v>
      </c>
      <c r="U9483" s="99" t="str">
        <f>IFERROR(IF(#REF!="S",VLOOKUP('Raw Data'!A9483,References!#REF!,2,FALSE),(VLOOKUP($S9483,References!$B$3:$C$8,2,FALSE))),"")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2"/>
        <v>0</v>
      </c>
      <c r="U9484" s="99" t="str">
        <f>IFERROR(IF(#REF!="S",VLOOKUP('Raw Data'!A9484,References!#REF!,2,FALSE),(VLOOKUP($S9484,References!$B$3:$C$8,2,FALSE))),"")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2"/>
        <v>0</v>
      </c>
      <c r="U9485" s="99" t="str">
        <f>IFERROR(IF(#REF!="S",VLOOKUP('Raw Data'!A9485,References!#REF!,2,FALSE),(VLOOKUP($S9485,References!$B$3:$C$8,2,FALSE))),"")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2"/>
        <v>0</v>
      </c>
      <c r="U9486" s="99" t="str">
        <f>IFERROR(IF(#REF!="S",VLOOKUP('Raw Data'!A9486,References!#REF!,2,FALSE),(VLOOKUP($S9486,References!$B$3:$C$8,2,FALSE))),"")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2"/>
        <v>0</v>
      </c>
      <c r="U9487" s="99" t="str">
        <f>IFERROR(IF(#REF!="S",VLOOKUP('Raw Data'!A9487,References!#REF!,2,FALSE),(VLOOKUP($S9487,References!$B$3:$C$8,2,FALSE))),"")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2"/>
        <v>0</v>
      </c>
      <c r="U9488" s="99" t="str">
        <f>IFERROR(IF(#REF!="S",VLOOKUP('Raw Data'!A9488,References!#REF!,2,FALSE),(VLOOKUP($S9488,References!$B$3:$C$8,2,FALSE))),"")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2"/>
        <v>0</v>
      </c>
      <c r="U9489" s="99" t="str">
        <f>IFERROR(IF(#REF!="S",VLOOKUP('Raw Data'!A9489,References!#REF!,2,FALSE),(VLOOKUP($S9489,References!$B$3:$C$8,2,FALSE))),"")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2"/>
        <v>0</v>
      </c>
      <c r="U9490" s="99" t="str">
        <f>IFERROR(IF(#REF!="S",VLOOKUP('Raw Data'!A9490,References!#REF!,2,FALSE),(VLOOKUP($S9490,References!$B$3:$C$8,2,FALSE))),"")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2"/>
        <v>0</v>
      </c>
      <c r="U9491" s="99" t="str">
        <f>IFERROR(IF(#REF!="S",VLOOKUP('Raw Data'!A9491,References!#REF!,2,FALSE),(VLOOKUP($S9491,References!$B$3:$C$8,2,FALSE))),"")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2"/>
        <v>0</v>
      </c>
      <c r="U9492" s="99" t="str">
        <f>IFERROR(IF(#REF!="S",VLOOKUP('Raw Data'!A9492,References!#REF!,2,FALSE),(VLOOKUP($S9492,References!$B$3:$C$8,2,FALSE))),"")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2"/>
        <v>0</v>
      </c>
      <c r="U9493" s="99" t="str">
        <f>IFERROR(IF(#REF!="S",VLOOKUP('Raw Data'!A9493,References!#REF!,2,FALSE),(VLOOKUP($S9493,References!$B$3:$C$8,2,FALSE))),"")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2"/>
        <v>0</v>
      </c>
      <c r="U9494" s="99" t="str">
        <f>IFERROR(IF(#REF!="S",VLOOKUP('Raw Data'!A9494,References!#REF!,2,FALSE),(VLOOKUP($S9494,References!$B$3:$C$8,2,FALSE))),"")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2"/>
        <v>0</v>
      </c>
      <c r="U9495" s="99" t="str">
        <f>IFERROR(IF(#REF!="S",VLOOKUP('Raw Data'!A9495,References!#REF!,2,FALSE),(VLOOKUP($S9495,References!$B$3:$C$8,2,FALSE))),"")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2"/>
        <v>0</v>
      </c>
      <c r="U9496" s="99" t="str">
        <f>IFERROR(IF(#REF!="S",VLOOKUP('Raw Data'!A9496,References!#REF!,2,FALSE),(VLOOKUP($S9496,References!$B$3:$C$8,2,FALSE))),"")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2"/>
        <v>0</v>
      </c>
      <c r="U9497" s="99" t="str">
        <f>IFERROR(IF(#REF!="S",VLOOKUP('Raw Data'!A9497,References!#REF!,2,FALSE),(VLOOKUP($S9497,References!$B$3:$C$8,2,FALSE))),"")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2"/>
        <v>0</v>
      </c>
      <c r="U9498" s="99" t="str">
        <f>IFERROR(IF(#REF!="S",VLOOKUP('Raw Data'!A9498,References!#REF!,2,FALSE),(VLOOKUP($S9498,References!$B$3:$C$8,2,FALSE))),"")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2"/>
        <v>0</v>
      </c>
      <c r="U9499" s="99" t="str">
        <f>IFERROR(IF(#REF!="S",VLOOKUP('Raw Data'!A9499,References!#REF!,2,FALSE),(VLOOKUP($S9499,References!$B$3:$C$8,2,FALSE))),"")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2"/>
        <v>0</v>
      </c>
      <c r="U9500" s="99" t="str">
        <f>IFERROR(IF(#REF!="S",VLOOKUP('Raw Data'!A9500,References!#REF!,2,FALSE),(VLOOKUP($S9500,References!$B$3:$C$8,2,FALSE))),"")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2"/>
        <v>0</v>
      </c>
      <c r="U9501" s="99" t="str">
        <f>IFERROR(IF(#REF!="S",VLOOKUP('Raw Data'!A9501,References!#REF!,2,FALSE),(VLOOKUP($S9501,References!$B$3:$C$8,2,FALSE))),"")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2"/>
        <v>0</v>
      </c>
      <c r="U9502" s="99" t="str">
        <f>IFERROR(IF(#REF!="S",VLOOKUP('Raw Data'!A9502,References!#REF!,2,FALSE),(VLOOKUP($S9502,References!$B$3:$C$8,2,FALSE))),"")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2"/>
        <v>0</v>
      </c>
      <c r="U9503" s="99" t="str">
        <f>IFERROR(IF(#REF!="S",VLOOKUP('Raw Data'!A9503,References!#REF!,2,FALSE),(VLOOKUP($S9503,References!$B$3:$C$8,2,FALSE))),"")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2"/>
        <v>0</v>
      </c>
      <c r="U9504" s="99" t="str">
        <f>IFERROR(IF(#REF!="S",VLOOKUP('Raw Data'!A9504,References!#REF!,2,FALSE),(VLOOKUP($S9504,References!$B$3:$C$8,2,FALSE))),"")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2"/>
        <v>0</v>
      </c>
      <c r="U9505" s="99" t="str">
        <f>IFERROR(IF(#REF!="S",VLOOKUP('Raw Data'!A9505,References!#REF!,2,FALSE),(VLOOKUP($S9505,References!$B$3:$C$8,2,FALSE))),"")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2"/>
        <v>0</v>
      </c>
      <c r="U9506" s="99" t="str">
        <f>IFERROR(IF(#REF!="S",VLOOKUP('Raw Data'!A9506,References!#REF!,2,FALSE),(VLOOKUP($S9506,References!$B$3:$C$8,2,FALSE))),"")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2"/>
        <v>0</v>
      </c>
      <c r="U9507" s="99" t="str">
        <f>IFERROR(IF(#REF!="S",VLOOKUP('Raw Data'!A9507,References!#REF!,2,FALSE),(VLOOKUP($S9507,References!$B$3:$C$8,2,FALSE))),"")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2"/>
        <v>0</v>
      </c>
      <c r="U9508" s="99" t="str">
        <f>IFERROR(IF(#REF!="S",VLOOKUP('Raw Data'!A9508,References!#REF!,2,FALSE),(VLOOKUP($S9508,References!$B$3:$C$8,2,FALSE))),"")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2"/>
        <v>0</v>
      </c>
      <c r="U9509" s="99" t="str">
        <f>IFERROR(IF(#REF!="S",VLOOKUP('Raw Data'!A9509,References!#REF!,2,FALSE),(VLOOKUP($S9509,References!$B$3:$C$8,2,FALSE))),"")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2"/>
        <v>0</v>
      </c>
      <c r="U9510" s="99" t="str">
        <f>IFERROR(IF(#REF!="S",VLOOKUP('Raw Data'!A9510,References!#REF!,2,FALSE),(VLOOKUP($S9510,References!$B$3:$C$8,2,FALSE))),"")</f>
        <v/>
      </c>
      <c r="W9510" s="66" t="str">
        <f>IFERROR(VLOOKUP($O9510,'Customer List'!$A$1:$J$488,10,FALSE),"")</f>
        <v/>
      </c>
    </row>
    <row r="9511" spans="18:23">
      <c r="R9511" s="97">
        <f t="shared" si="362"/>
        <v>0</v>
      </c>
      <c r="U9511" s="99" t="str">
        <f>IFERROR(IF(#REF!="S",VLOOKUP('Raw Data'!A9511,References!#REF!,2,FALSE),(VLOOKUP($S9511,References!$B$3:$C$8,2,FALSE))),"")</f>
        <v/>
      </c>
      <c r="W9511" s="66" t="str">
        <f>IFERROR(VLOOKUP($O9511,'Customer List'!$A$1:$J$488,10,FALSE),"")</f>
        <v/>
      </c>
    </row>
    <row r="9512" spans="18:23">
      <c r="R9512" s="97">
        <f t="shared" ref="R9512:R9575" si="363">L9512-K9512</f>
        <v>0</v>
      </c>
      <c r="U9512" s="99" t="str">
        <f>IFERROR(IF(#REF!="S",VLOOKUP('Raw Data'!A9512,References!#REF!,2,FALSE),(VLOOKUP($S9512,References!$B$3:$C$8,2,FALSE))),"")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3"/>
        <v>0</v>
      </c>
      <c r="U9513" s="99" t="str">
        <f>IFERROR(IF(#REF!="S",VLOOKUP('Raw Data'!A9513,References!#REF!,2,FALSE),(VLOOKUP($S9513,References!$B$3:$C$8,2,FALSE))),"")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3"/>
        <v>0</v>
      </c>
      <c r="U9514" s="99" t="str">
        <f>IFERROR(IF(#REF!="S",VLOOKUP('Raw Data'!A9514,References!#REF!,2,FALSE),(VLOOKUP($S9514,References!$B$3:$C$8,2,FALSE))),"")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3"/>
        <v>0</v>
      </c>
      <c r="U9515" s="99" t="str">
        <f>IFERROR(IF(#REF!="S",VLOOKUP('Raw Data'!A9515,References!#REF!,2,FALSE),(VLOOKUP($S9515,References!$B$3:$C$8,2,FALSE))),"")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3"/>
        <v>0</v>
      </c>
      <c r="U9516" s="99" t="str">
        <f>IFERROR(IF(#REF!="S",VLOOKUP('Raw Data'!A9516,References!#REF!,2,FALSE),(VLOOKUP($S9516,References!$B$3:$C$8,2,FALSE))),"")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3"/>
        <v>0</v>
      </c>
      <c r="U9517" s="99" t="str">
        <f>IFERROR(IF(#REF!="S",VLOOKUP('Raw Data'!A9517,References!#REF!,2,FALSE),(VLOOKUP($S9517,References!$B$3:$C$8,2,FALSE))),"")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3"/>
        <v>0</v>
      </c>
      <c r="U9518" s="99" t="str">
        <f>IFERROR(IF(#REF!="S",VLOOKUP('Raw Data'!A9518,References!#REF!,2,FALSE),(VLOOKUP($S9518,References!$B$3:$C$8,2,FALSE))),"")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3"/>
        <v>0</v>
      </c>
      <c r="U9519" s="99" t="str">
        <f>IFERROR(IF(#REF!="S",VLOOKUP('Raw Data'!A9519,References!#REF!,2,FALSE),(VLOOKUP($S9519,References!$B$3:$C$8,2,FALSE))),"")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3"/>
        <v>0</v>
      </c>
      <c r="U9520" s="99" t="str">
        <f>IFERROR(IF(#REF!="S",VLOOKUP('Raw Data'!A9520,References!#REF!,2,FALSE),(VLOOKUP($S9520,References!$B$3:$C$8,2,FALSE))),"")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3"/>
        <v>0</v>
      </c>
      <c r="U9521" s="99" t="str">
        <f>IFERROR(IF(#REF!="S",VLOOKUP('Raw Data'!A9521,References!#REF!,2,FALSE),(VLOOKUP($S9521,References!$B$3:$C$8,2,FALSE))),"")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3"/>
        <v>0</v>
      </c>
      <c r="U9522" s="99" t="str">
        <f>IFERROR(IF(#REF!="S",VLOOKUP('Raw Data'!A9522,References!#REF!,2,FALSE),(VLOOKUP($S9522,References!$B$3:$C$8,2,FALSE))),"")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3"/>
        <v>0</v>
      </c>
      <c r="U9523" s="99" t="str">
        <f>IFERROR(IF(#REF!="S",VLOOKUP('Raw Data'!A9523,References!#REF!,2,FALSE),(VLOOKUP($S9523,References!$B$3:$C$8,2,FALSE))),"")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3"/>
        <v>0</v>
      </c>
      <c r="U9524" s="99" t="str">
        <f>IFERROR(IF(#REF!="S",VLOOKUP('Raw Data'!A9524,References!#REF!,2,FALSE),(VLOOKUP($S9524,References!$B$3:$C$8,2,FALSE))),"")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3"/>
        <v>0</v>
      </c>
      <c r="U9525" s="99" t="str">
        <f>IFERROR(IF(#REF!="S",VLOOKUP('Raw Data'!A9525,References!#REF!,2,FALSE),(VLOOKUP($S9525,References!$B$3:$C$8,2,FALSE))),"")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3"/>
        <v>0</v>
      </c>
      <c r="U9526" s="99" t="str">
        <f>IFERROR(IF(#REF!="S",VLOOKUP('Raw Data'!A9526,References!#REF!,2,FALSE),(VLOOKUP($S9526,References!$B$3:$C$8,2,FALSE))),"")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3"/>
        <v>0</v>
      </c>
      <c r="U9527" s="99" t="str">
        <f>IFERROR(IF(#REF!="S",VLOOKUP('Raw Data'!A9527,References!#REF!,2,FALSE),(VLOOKUP($S9527,References!$B$3:$C$8,2,FALSE))),"")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3"/>
        <v>0</v>
      </c>
      <c r="U9528" s="99" t="str">
        <f>IFERROR(IF(#REF!="S",VLOOKUP('Raw Data'!A9528,References!#REF!,2,FALSE),(VLOOKUP($S9528,References!$B$3:$C$8,2,FALSE))),"")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3"/>
        <v>0</v>
      </c>
      <c r="U9529" s="99" t="str">
        <f>IFERROR(IF(#REF!="S",VLOOKUP('Raw Data'!A9529,References!#REF!,2,FALSE),(VLOOKUP($S9529,References!$B$3:$C$8,2,FALSE))),"")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3"/>
        <v>0</v>
      </c>
      <c r="U9530" s="99" t="str">
        <f>IFERROR(IF(#REF!="S",VLOOKUP('Raw Data'!A9530,References!#REF!,2,FALSE),(VLOOKUP($S9530,References!$B$3:$C$8,2,FALSE))),"")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3"/>
        <v>0</v>
      </c>
      <c r="U9531" s="99" t="str">
        <f>IFERROR(IF(#REF!="S",VLOOKUP('Raw Data'!A9531,References!#REF!,2,FALSE),(VLOOKUP($S9531,References!$B$3:$C$8,2,FALSE))),"")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3"/>
        <v>0</v>
      </c>
      <c r="U9532" s="99" t="str">
        <f>IFERROR(IF(#REF!="S",VLOOKUP('Raw Data'!A9532,References!#REF!,2,FALSE),(VLOOKUP($S9532,References!$B$3:$C$8,2,FALSE))),"")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3"/>
        <v>0</v>
      </c>
      <c r="U9533" s="99" t="str">
        <f>IFERROR(IF(#REF!="S",VLOOKUP('Raw Data'!A9533,References!#REF!,2,FALSE),(VLOOKUP($S9533,References!$B$3:$C$8,2,FALSE))),"")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3"/>
        <v>0</v>
      </c>
      <c r="U9534" s="99" t="str">
        <f>IFERROR(IF(#REF!="S",VLOOKUP('Raw Data'!A9534,References!#REF!,2,FALSE),(VLOOKUP($S9534,References!$B$3:$C$8,2,FALSE))),"")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3"/>
        <v>0</v>
      </c>
      <c r="U9535" s="99" t="str">
        <f>IFERROR(IF(#REF!="S",VLOOKUP('Raw Data'!A9535,References!#REF!,2,FALSE),(VLOOKUP($S9535,References!$B$3:$C$8,2,FALSE))),"")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3"/>
        <v>0</v>
      </c>
      <c r="U9536" s="99" t="str">
        <f>IFERROR(IF(#REF!="S",VLOOKUP('Raw Data'!A9536,References!#REF!,2,FALSE),(VLOOKUP($S9536,References!$B$3:$C$8,2,FALSE))),"")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3"/>
        <v>0</v>
      </c>
      <c r="U9537" s="99" t="str">
        <f>IFERROR(IF(#REF!="S",VLOOKUP('Raw Data'!A9537,References!#REF!,2,FALSE),(VLOOKUP($S9537,References!$B$3:$C$8,2,FALSE))),"")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3"/>
        <v>0</v>
      </c>
      <c r="U9538" s="99" t="str">
        <f>IFERROR(IF(#REF!="S",VLOOKUP('Raw Data'!A9538,References!#REF!,2,FALSE),(VLOOKUP($S9538,References!$B$3:$C$8,2,FALSE))),"")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3"/>
        <v>0</v>
      </c>
      <c r="U9539" s="99" t="str">
        <f>IFERROR(IF(#REF!="S",VLOOKUP('Raw Data'!A9539,References!#REF!,2,FALSE),(VLOOKUP($S9539,References!$B$3:$C$8,2,FALSE))),"")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3"/>
        <v>0</v>
      </c>
      <c r="U9540" s="99" t="str">
        <f>IFERROR(IF(#REF!="S",VLOOKUP('Raw Data'!A9540,References!#REF!,2,FALSE),(VLOOKUP($S9540,References!$B$3:$C$8,2,FALSE))),"")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3"/>
        <v>0</v>
      </c>
      <c r="U9541" s="99" t="str">
        <f>IFERROR(IF(#REF!="S",VLOOKUP('Raw Data'!A9541,References!#REF!,2,FALSE),(VLOOKUP($S9541,References!$B$3:$C$8,2,FALSE))),"")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3"/>
        <v>0</v>
      </c>
      <c r="U9542" s="99" t="str">
        <f>IFERROR(IF(#REF!="S",VLOOKUP('Raw Data'!A9542,References!#REF!,2,FALSE),(VLOOKUP($S9542,References!$B$3:$C$8,2,FALSE))),"")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3"/>
        <v>0</v>
      </c>
      <c r="U9543" s="99" t="str">
        <f>IFERROR(IF(#REF!="S",VLOOKUP('Raw Data'!A9543,References!#REF!,2,FALSE),(VLOOKUP($S9543,References!$B$3:$C$8,2,FALSE))),"")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3"/>
        <v>0</v>
      </c>
      <c r="U9544" s="99" t="str">
        <f>IFERROR(IF(#REF!="S",VLOOKUP('Raw Data'!A9544,References!#REF!,2,FALSE),(VLOOKUP($S9544,References!$B$3:$C$8,2,FALSE))),"")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3"/>
        <v>0</v>
      </c>
      <c r="U9545" s="99" t="str">
        <f>IFERROR(IF(#REF!="S",VLOOKUP('Raw Data'!A9545,References!#REF!,2,FALSE),(VLOOKUP($S9545,References!$B$3:$C$8,2,FALSE))),"")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3"/>
        <v>0</v>
      </c>
      <c r="U9546" s="99" t="str">
        <f>IFERROR(IF(#REF!="S",VLOOKUP('Raw Data'!A9546,References!#REF!,2,FALSE),(VLOOKUP($S9546,References!$B$3:$C$8,2,FALSE))),"")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3"/>
        <v>0</v>
      </c>
      <c r="U9547" s="99" t="str">
        <f>IFERROR(IF(#REF!="S",VLOOKUP('Raw Data'!A9547,References!#REF!,2,FALSE),(VLOOKUP($S9547,References!$B$3:$C$8,2,FALSE))),"")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3"/>
        <v>0</v>
      </c>
      <c r="U9548" s="99" t="str">
        <f>IFERROR(IF(#REF!="S",VLOOKUP('Raw Data'!A9548,References!#REF!,2,FALSE),(VLOOKUP($S9548,References!$B$3:$C$8,2,FALSE))),"")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3"/>
        <v>0</v>
      </c>
      <c r="U9549" s="99" t="str">
        <f>IFERROR(IF(#REF!="S",VLOOKUP('Raw Data'!A9549,References!#REF!,2,FALSE),(VLOOKUP($S9549,References!$B$3:$C$8,2,FALSE))),"")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3"/>
        <v>0</v>
      </c>
      <c r="U9550" s="99" t="str">
        <f>IFERROR(IF(#REF!="S",VLOOKUP('Raw Data'!A9550,References!#REF!,2,FALSE),(VLOOKUP($S9550,References!$B$3:$C$8,2,FALSE))),"")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3"/>
        <v>0</v>
      </c>
      <c r="U9551" s="99" t="str">
        <f>IFERROR(IF(#REF!="S",VLOOKUP('Raw Data'!A9551,References!#REF!,2,FALSE),(VLOOKUP($S9551,References!$B$3:$C$8,2,FALSE))),"")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3"/>
        <v>0</v>
      </c>
      <c r="U9552" s="99" t="str">
        <f>IFERROR(IF(#REF!="S",VLOOKUP('Raw Data'!A9552,References!#REF!,2,FALSE),(VLOOKUP($S9552,References!$B$3:$C$8,2,FALSE))),"")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3"/>
        <v>0</v>
      </c>
      <c r="U9553" s="99" t="str">
        <f>IFERROR(IF(#REF!="S",VLOOKUP('Raw Data'!A9553,References!#REF!,2,FALSE),(VLOOKUP($S9553,References!$B$3:$C$8,2,FALSE))),"")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3"/>
        <v>0</v>
      </c>
      <c r="U9554" s="99" t="str">
        <f>IFERROR(IF(#REF!="S",VLOOKUP('Raw Data'!A9554,References!#REF!,2,FALSE),(VLOOKUP($S9554,References!$B$3:$C$8,2,FALSE))),"")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3"/>
        <v>0</v>
      </c>
      <c r="U9555" s="99" t="str">
        <f>IFERROR(IF(#REF!="S",VLOOKUP('Raw Data'!A9555,References!#REF!,2,FALSE),(VLOOKUP($S9555,References!$B$3:$C$8,2,FALSE))),"")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3"/>
        <v>0</v>
      </c>
      <c r="U9556" s="99" t="str">
        <f>IFERROR(IF(#REF!="S",VLOOKUP('Raw Data'!A9556,References!#REF!,2,FALSE),(VLOOKUP($S9556,References!$B$3:$C$8,2,FALSE))),"")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3"/>
        <v>0</v>
      </c>
      <c r="U9557" s="99" t="str">
        <f>IFERROR(IF(#REF!="S",VLOOKUP('Raw Data'!A9557,References!#REF!,2,FALSE),(VLOOKUP($S9557,References!$B$3:$C$8,2,FALSE))),"")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3"/>
        <v>0</v>
      </c>
      <c r="U9558" s="99" t="str">
        <f>IFERROR(IF(#REF!="S",VLOOKUP('Raw Data'!A9558,References!#REF!,2,FALSE),(VLOOKUP($S9558,References!$B$3:$C$8,2,FALSE))),"")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3"/>
        <v>0</v>
      </c>
      <c r="U9559" s="99" t="str">
        <f>IFERROR(IF(#REF!="S",VLOOKUP('Raw Data'!A9559,References!#REF!,2,FALSE),(VLOOKUP($S9559,References!$B$3:$C$8,2,FALSE))),"")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3"/>
        <v>0</v>
      </c>
      <c r="U9560" s="99" t="str">
        <f>IFERROR(IF(#REF!="S",VLOOKUP('Raw Data'!A9560,References!#REF!,2,FALSE),(VLOOKUP($S9560,References!$B$3:$C$8,2,FALSE))),"")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3"/>
        <v>0</v>
      </c>
      <c r="U9561" s="99" t="str">
        <f>IFERROR(IF(#REF!="S",VLOOKUP('Raw Data'!A9561,References!#REF!,2,FALSE),(VLOOKUP($S9561,References!$B$3:$C$8,2,FALSE))),"")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3"/>
        <v>0</v>
      </c>
      <c r="U9562" s="99" t="str">
        <f>IFERROR(IF(#REF!="S",VLOOKUP('Raw Data'!A9562,References!#REF!,2,FALSE),(VLOOKUP($S9562,References!$B$3:$C$8,2,FALSE))),"")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3"/>
        <v>0</v>
      </c>
      <c r="U9563" s="99" t="str">
        <f>IFERROR(IF(#REF!="S",VLOOKUP('Raw Data'!A9563,References!#REF!,2,FALSE),(VLOOKUP($S9563,References!$B$3:$C$8,2,FALSE))),"")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3"/>
        <v>0</v>
      </c>
      <c r="U9564" s="99" t="str">
        <f>IFERROR(IF(#REF!="S",VLOOKUP('Raw Data'!A9564,References!#REF!,2,FALSE),(VLOOKUP($S9564,References!$B$3:$C$8,2,FALSE))),"")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3"/>
        <v>0</v>
      </c>
      <c r="U9565" s="99" t="str">
        <f>IFERROR(IF(#REF!="S",VLOOKUP('Raw Data'!A9565,References!#REF!,2,FALSE),(VLOOKUP($S9565,References!$B$3:$C$8,2,FALSE))),"")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3"/>
        <v>0</v>
      </c>
      <c r="U9566" s="99" t="str">
        <f>IFERROR(IF(#REF!="S",VLOOKUP('Raw Data'!A9566,References!#REF!,2,FALSE),(VLOOKUP($S9566,References!$B$3:$C$8,2,FALSE))),"")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3"/>
        <v>0</v>
      </c>
      <c r="U9567" s="99" t="str">
        <f>IFERROR(IF(#REF!="S",VLOOKUP('Raw Data'!A9567,References!#REF!,2,FALSE),(VLOOKUP($S9567,References!$B$3:$C$8,2,FALSE))),"")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3"/>
        <v>0</v>
      </c>
      <c r="U9568" s="99" t="str">
        <f>IFERROR(IF(#REF!="S",VLOOKUP('Raw Data'!A9568,References!#REF!,2,FALSE),(VLOOKUP($S9568,References!$B$3:$C$8,2,FALSE))),"")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3"/>
        <v>0</v>
      </c>
      <c r="U9569" s="99" t="str">
        <f>IFERROR(IF(#REF!="S",VLOOKUP('Raw Data'!A9569,References!#REF!,2,FALSE),(VLOOKUP($S9569,References!$B$3:$C$8,2,FALSE))),"")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3"/>
        <v>0</v>
      </c>
      <c r="U9570" s="99" t="str">
        <f>IFERROR(IF(#REF!="S",VLOOKUP('Raw Data'!A9570,References!#REF!,2,FALSE),(VLOOKUP($S9570,References!$B$3:$C$8,2,FALSE))),"")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3"/>
        <v>0</v>
      </c>
      <c r="U9571" s="99" t="str">
        <f>IFERROR(IF(#REF!="S",VLOOKUP('Raw Data'!A9571,References!#REF!,2,FALSE),(VLOOKUP($S9571,References!$B$3:$C$8,2,FALSE))),"")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3"/>
        <v>0</v>
      </c>
      <c r="U9572" s="99" t="str">
        <f>IFERROR(IF(#REF!="S",VLOOKUP('Raw Data'!A9572,References!#REF!,2,FALSE),(VLOOKUP($S9572,References!$B$3:$C$8,2,FALSE))),"")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3"/>
        <v>0</v>
      </c>
      <c r="U9573" s="99" t="str">
        <f>IFERROR(IF(#REF!="S",VLOOKUP('Raw Data'!A9573,References!#REF!,2,FALSE),(VLOOKUP($S9573,References!$B$3:$C$8,2,FALSE))),"")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3"/>
        <v>0</v>
      </c>
      <c r="U9574" s="99" t="str">
        <f>IFERROR(IF(#REF!="S",VLOOKUP('Raw Data'!A9574,References!#REF!,2,FALSE),(VLOOKUP($S9574,References!$B$3:$C$8,2,FALSE))),"")</f>
        <v/>
      </c>
      <c r="W9574" s="66" t="str">
        <f>IFERROR(VLOOKUP($O9574,'Customer List'!$A$1:$J$488,10,FALSE),"")</f>
        <v/>
      </c>
    </row>
    <row r="9575" spans="18:23">
      <c r="R9575" s="97">
        <f t="shared" si="363"/>
        <v>0</v>
      </c>
      <c r="U9575" s="99" t="str">
        <f>IFERROR(IF(#REF!="S",VLOOKUP('Raw Data'!A9575,References!#REF!,2,FALSE),(VLOOKUP($S9575,References!$B$3:$C$8,2,FALSE))),"")</f>
        <v/>
      </c>
      <c r="W9575" s="66" t="str">
        <f>IFERROR(VLOOKUP($O9575,'Customer List'!$A$1:$J$488,10,FALSE),"")</f>
        <v/>
      </c>
    </row>
    <row r="9576" spans="18:23">
      <c r="R9576" s="97">
        <f t="shared" ref="R9576:R9639" si="364">L9576-K9576</f>
        <v>0</v>
      </c>
      <c r="U9576" s="99" t="str">
        <f>IFERROR(IF(#REF!="S",VLOOKUP('Raw Data'!A9576,References!#REF!,2,FALSE),(VLOOKUP($S9576,References!$B$3:$C$8,2,FALSE))),"")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4"/>
        <v>0</v>
      </c>
      <c r="U9577" s="99" t="str">
        <f>IFERROR(IF(#REF!="S",VLOOKUP('Raw Data'!A9577,References!#REF!,2,FALSE),(VLOOKUP($S9577,References!$B$3:$C$8,2,FALSE))),"")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4"/>
        <v>0</v>
      </c>
      <c r="U9578" s="99" t="str">
        <f>IFERROR(IF(#REF!="S",VLOOKUP('Raw Data'!A9578,References!#REF!,2,FALSE),(VLOOKUP($S9578,References!$B$3:$C$8,2,FALSE))),"")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4"/>
        <v>0</v>
      </c>
      <c r="U9579" s="99" t="str">
        <f>IFERROR(IF(#REF!="S",VLOOKUP('Raw Data'!A9579,References!#REF!,2,FALSE),(VLOOKUP($S9579,References!$B$3:$C$8,2,FALSE))),"")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4"/>
        <v>0</v>
      </c>
      <c r="U9580" s="99" t="str">
        <f>IFERROR(IF(#REF!="S",VLOOKUP('Raw Data'!A9580,References!#REF!,2,FALSE),(VLOOKUP($S9580,References!$B$3:$C$8,2,FALSE))),"")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4"/>
        <v>0</v>
      </c>
      <c r="U9581" s="99" t="str">
        <f>IFERROR(IF(#REF!="S",VLOOKUP('Raw Data'!A9581,References!#REF!,2,FALSE),(VLOOKUP($S9581,References!$B$3:$C$8,2,FALSE))),"")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4"/>
        <v>0</v>
      </c>
      <c r="U9582" s="99" t="str">
        <f>IFERROR(IF(#REF!="S",VLOOKUP('Raw Data'!A9582,References!#REF!,2,FALSE),(VLOOKUP($S9582,References!$B$3:$C$8,2,FALSE))),"")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4"/>
        <v>0</v>
      </c>
      <c r="U9583" s="99" t="str">
        <f>IFERROR(IF(#REF!="S",VLOOKUP('Raw Data'!A9583,References!#REF!,2,FALSE),(VLOOKUP($S9583,References!$B$3:$C$8,2,FALSE))),"")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4"/>
        <v>0</v>
      </c>
      <c r="U9584" s="99" t="str">
        <f>IFERROR(IF(#REF!="S",VLOOKUP('Raw Data'!A9584,References!#REF!,2,FALSE),(VLOOKUP($S9584,References!$B$3:$C$8,2,FALSE))),"")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4"/>
        <v>0</v>
      </c>
      <c r="U9585" s="99" t="str">
        <f>IFERROR(IF(#REF!="S",VLOOKUP('Raw Data'!A9585,References!#REF!,2,FALSE),(VLOOKUP($S9585,References!$B$3:$C$8,2,FALSE))),"")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4"/>
        <v>0</v>
      </c>
      <c r="U9586" s="99" t="str">
        <f>IFERROR(IF(#REF!="S",VLOOKUP('Raw Data'!A9586,References!#REF!,2,FALSE),(VLOOKUP($S9586,References!$B$3:$C$8,2,FALSE))),"")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4"/>
        <v>0</v>
      </c>
      <c r="U9587" s="99" t="str">
        <f>IFERROR(IF(#REF!="S",VLOOKUP('Raw Data'!A9587,References!#REF!,2,FALSE),(VLOOKUP($S9587,References!$B$3:$C$8,2,FALSE))),"")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4"/>
        <v>0</v>
      </c>
      <c r="U9588" s="99" t="str">
        <f>IFERROR(IF(#REF!="S",VLOOKUP('Raw Data'!A9588,References!#REF!,2,FALSE),(VLOOKUP($S9588,References!$B$3:$C$8,2,FALSE))),"")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4"/>
        <v>0</v>
      </c>
      <c r="U9589" s="99" t="str">
        <f>IFERROR(IF(#REF!="S",VLOOKUP('Raw Data'!A9589,References!#REF!,2,FALSE),(VLOOKUP($S9589,References!$B$3:$C$8,2,FALSE))),"")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4"/>
        <v>0</v>
      </c>
      <c r="U9590" s="99" t="str">
        <f>IFERROR(IF(#REF!="S",VLOOKUP('Raw Data'!A9590,References!#REF!,2,FALSE),(VLOOKUP($S9590,References!$B$3:$C$8,2,FALSE))),"")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4"/>
        <v>0</v>
      </c>
      <c r="U9591" s="99" t="str">
        <f>IFERROR(IF(#REF!="S",VLOOKUP('Raw Data'!A9591,References!#REF!,2,FALSE),(VLOOKUP($S9591,References!$B$3:$C$8,2,FALSE))),"")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4"/>
        <v>0</v>
      </c>
      <c r="U9592" s="99" t="str">
        <f>IFERROR(IF(#REF!="S",VLOOKUP('Raw Data'!A9592,References!#REF!,2,FALSE),(VLOOKUP($S9592,References!$B$3:$C$8,2,FALSE))),"")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4"/>
        <v>0</v>
      </c>
      <c r="U9593" s="99" t="str">
        <f>IFERROR(IF(#REF!="S",VLOOKUP('Raw Data'!A9593,References!#REF!,2,FALSE),(VLOOKUP($S9593,References!$B$3:$C$8,2,FALSE))),"")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4"/>
        <v>0</v>
      </c>
      <c r="U9594" s="99" t="str">
        <f>IFERROR(IF(#REF!="S",VLOOKUP('Raw Data'!A9594,References!#REF!,2,FALSE),(VLOOKUP($S9594,References!$B$3:$C$8,2,FALSE))),"")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4"/>
        <v>0</v>
      </c>
      <c r="U9595" s="99" t="str">
        <f>IFERROR(IF(#REF!="S",VLOOKUP('Raw Data'!A9595,References!#REF!,2,FALSE),(VLOOKUP($S9595,References!$B$3:$C$8,2,FALSE))),"")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4"/>
        <v>0</v>
      </c>
      <c r="U9596" s="99" t="str">
        <f>IFERROR(IF(#REF!="S",VLOOKUP('Raw Data'!A9596,References!#REF!,2,FALSE),(VLOOKUP($S9596,References!$B$3:$C$8,2,FALSE))),"")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4"/>
        <v>0</v>
      </c>
      <c r="U9597" s="99" t="str">
        <f>IFERROR(IF(#REF!="S",VLOOKUP('Raw Data'!A9597,References!#REF!,2,FALSE),(VLOOKUP($S9597,References!$B$3:$C$8,2,FALSE))),"")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4"/>
        <v>0</v>
      </c>
      <c r="U9598" s="99" t="str">
        <f>IFERROR(IF(#REF!="S",VLOOKUP('Raw Data'!A9598,References!#REF!,2,FALSE),(VLOOKUP($S9598,References!$B$3:$C$8,2,FALSE))),"")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4"/>
        <v>0</v>
      </c>
      <c r="U9599" s="99" t="str">
        <f>IFERROR(IF(#REF!="S",VLOOKUP('Raw Data'!A9599,References!#REF!,2,FALSE),(VLOOKUP($S9599,References!$B$3:$C$8,2,FALSE))),"")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4"/>
        <v>0</v>
      </c>
      <c r="U9600" s="99" t="str">
        <f>IFERROR(IF(#REF!="S",VLOOKUP('Raw Data'!A9600,References!#REF!,2,FALSE),(VLOOKUP($S9600,References!$B$3:$C$8,2,FALSE))),"")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4"/>
        <v>0</v>
      </c>
      <c r="U9601" s="99" t="str">
        <f>IFERROR(IF(#REF!="S",VLOOKUP('Raw Data'!A9601,References!#REF!,2,FALSE),(VLOOKUP($S9601,References!$B$3:$C$8,2,FALSE))),"")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4"/>
        <v>0</v>
      </c>
      <c r="U9602" s="99" t="str">
        <f>IFERROR(IF(#REF!="S",VLOOKUP('Raw Data'!A9602,References!#REF!,2,FALSE),(VLOOKUP($S9602,References!$B$3:$C$8,2,FALSE))),"")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4"/>
        <v>0</v>
      </c>
      <c r="U9603" s="99" t="str">
        <f>IFERROR(IF(#REF!="S",VLOOKUP('Raw Data'!A9603,References!#REF!,2,FALSE),(VLOOKUP($S9603,References!$B$3:$C$8,2,FALSE))),"")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4"/>
        <v>0</v>
      </c>
      <c r="U9604" s="99" t="str">
        <f>IFERROR(IF(#REF!="S",VLOOKUP('Raw Data'!A9604,References!#REF!,2,FALSE),(VLOOKUP($S9604,References!$B$3:$C$8,2,FALSE))),"")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4"/>
        <v>0</v>
      </c>
      <c r="U9605" s="99" t="str">
        <f>IFERROR(IF(#REF!="S",VLOOKUP('Raw Data'!A9605,References!#REF!,2,FALSE),(VLOOKUP($S9605,References!$B$3:$C$8,2,FALSE))),"")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4"/>
        <v>0</v>
      </c>
      <c r="U9606" s="99" t="str">
        <f>IFERROR(IF(#REF!="S",VLOOKUP('Raw Data'!A9606,References!#REF!,2,FALSE),(VLOOKUP($S9606,References!$B$3:$C$8,2,FALSE))),"")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4"/>
        <v>0</v>
      </c>
      <c r="U9607" s="99" t="str">
        <f>IFERROR(IF(#REF!="S",VLOOKUP('Raw Data'!A9607,References!#REF!,2,FALSE),(VLOOKUP($S9607,References!$B$3:$C$8,2,FALSE))),"")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4"/>
        <v>0</v>
      </c>
      <c r="U9608" s="99" t="str">
        <f>IFERROR(IF(#REF!="S",VLOOKUP('Raw Data'!A9608,References!#REF!,2,FALSE),(VLOOKUP($S9608,References!$B$3:$C$8,2,FALSE))),"")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4"/>
        <v>0</v>
      </c>
      <c r="U9609" s="99" t="str">
        <f>IFERROR(IF(#REF!="S",VLOOKUP('Raw Data'!A9609,References!#REF!,2,FALSE),(VLOOKUP($S9609,References!$B$3:$C$8,2,FALSE))),"")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4"/>
        <v>0</v>
      </c>
      <c r="U9610" s="99" t="str">
        <f>IFERROR(IF(#REF!="S",VLOOKUP('Raw Data'!A9610,References!#REF!,2,FALSE),(VLOOKUP($S9610,References!$B$3:$C$8,2,FALSE))),"")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4"/>
        <v>0</v>
      </c>
      <c r="U9611" s="99" t="str">
        <f>IFERROR(IF(#REF!="S",VLOOKUP('Raw Data'!A9611,References!#REF!,2,FALSE),(VLOOKUP($S9611,References!$B$3:$C$8,2,FALSE))),"")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4"/>
        <v>0</v>
      </c>
      <c r="U9612" s="99" t="str">
        <f>IFERROR(IF(#REF!="S",VLOOKUP('Raw Data'!A9612,References!#REF!,2,FALSE),(VLOOKUP($S9612,References!$B$3:$C$8,2,FALSE))),"")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4"/>
        <v>0</v>
      </c>
      <c r="U9613" s="99" t="str">
        <f>IFERROR(IF(#REF!="S",VLOOKUP('Raw Data'!A9613,References!#REF!,2,FALSE),(VLOOKUP($S9613,References!$B$3:$C$8,2,FALSE))),"")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4"/>
        <v>0</v>
      </c>
      <c r="U9614" s="99" t="str">
        <f>IFERROR(IF(#REF!="S",VLOOKUP('Raw Data'!A9614,References!#REF!,2,FALSE),(VLOOKUP($S9614,References!$B$3:$C$8,2,FALSE))),"")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4"/>
        <v>0</v>
      </c>
      <c r="U9615" s="99" t="str">
        <f>IFERROR(IF(#REF!="S",VLOOKUP('Raw Data'!A9615,References!#REF!,2,FALSE),(VLOOKUP($S9615,References!$B$3:$C$8,2,FALSE))),"")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4"/>
        <v>0</v>
      </c>
      <c r="U9616" s="99" t="str">
        <f>IFERROR(IF(#REF!="S",VLOOKUP('Raw Data'!A9616,References!#REF!,2,FALSE),(VLOOKUP($S9616,References!$B$3:$C$8,2,FALSE))),"")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4"/>
        <v>0</v>
      </c>
      <c r="U9617" s="99" t="str">
        <f>IFERROR(IF(#REF!="S",VLOOKUP('Raw Data'!A9617,References!#REF!,2,FALSE),(VLOOKUP($S9617,References!$B$3:$C$8,2,FALSE))),"")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4"/>
        <v>0</v>
      </c>
      <c r="U9618" s="99" t="str">
        <f>IFERROR(IF(#REF!="S",VLOOKUP('Raw Data'!A9618,References!#REF!,2,FALSE),(VLOOKUP($S9618,References!$B$3:$C$8,2,FALSE))),"")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4"/>
        <v>0</v>
      </c>
      <c r="U9619" s="99" t="str">
        <f>IFERROR(IF(#REF!="S",VLOOKUP('Raw Data'!A9619,References!#REF!,2,FALSE),(VLOOKUP($S9619,References!$B$3:$C$8,2,FALSE))),"")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4"/>
        <v>0</v>
      </c>
      <c r="U9620" s="99" t="str">
        <f>IFERROR(IF(#REF!="S",VLOOKUP('Raw Data'!A9620,References!#REF!,2,FALSE),(VLOOKUP($S9620,References!$B$3:$C$8,2,FALSE))),"")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4"/>
        <v>0</v>
      </c>
      <c r="U9621" s="99" t="str">
        <f>IFERROR(IF(#REF!="S",VLOOKUP('Raw Data'!A9621,References!#REF!,2,FALSE),(VLOOKUP($S9621,References!$B$3:$C$8,2,FALSE))),"")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4"/>
        <v>0</v>
      </c>
      <c r="U9622" s="99" t="str">
        <f>IFERROR(IF(#REF!="S",VLOOKUP('Raw Data'!A9622,References!#REF!,2,FALSE),(VLOOKUP($S9622,References!$B$3:$C$8,2,FALSE))),"")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4"/>
        <v>0</v>
      </c>
      <c r="U9623" s="99" t="str">
        <f>IFERROR(IF(#REF!="S",VLOOKUP('Raw Data'!A9623,References!#REF!,2,FALSE),(VLOOKUP($S9623,References!$B$3:$C$8,2,FALSE))),"")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4"/>
        <v>0</v>
      </c>
      <c r="U9624" s="99" t="str">
        <f>IFERROR(IF(#REF!="S",VLOOKUP('Raw Data'!A9624,References!#REF!,2,FALSE),(VLOOKUP($S9624,References!$B$3:$C$8,2,FALSE))),"")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4"/>
        <v>0</v>
      </c>
      <c r="U9625" s="99" t="str">
        <f>IFERROR(IF(#REF!="S",VLOOKUP('Raw Data'!A9625,References!#REF!,2,FALSE),(VLOOKUP($S9625,References!$B$3:$C$8,2,FALSE))),"")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4"/>
        <v>0</v>
      </c>
      <c r="U9626" s="99" t="str">
        <f>IFERROR(IF(#REF!="S",VLOOKUP('Raw Data'!A9626,References!#REF!,2,FALSE),(VLOOKUP($S9626,References!$B$3:$C$8,2,FALSE))),"")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4"/>
        <v>0</v>
      </c>
      <c r="U9627" s="99" t="str">
        <f>IFERROR(IF(#REF!="S",VLOOKUP('Raw Data'!A9627,References!#REF!,2,FALSE),(VLOOKUP($S9627,References!$B$3:$C$8,2,FALSE))),"")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4"/>
        <v>0</v>
      </c>
      <c r="U9628" s="99" t="str">
        <f>IFERROR(IF(#REF!="S",VLOOKUP('Raw Data'!A9628,References!#REF!,2,FALSE),(VLOOKUP($S9628,References!$B$3:$C$8,2,FALSE))),"")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4"/>
        <v>0</v>
      </c>
      <c r="U9629" s="99" t="str">
        <f>IFERROR(IF(#REF!="S",VLOOKUP('Raw Data'!A9629,References!#REF!,2,FALSE),(VLOOKUP($S9629,References!$B$3:$C$8,2,FALSE))),"")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4"/>
        <v>0</v>
      </c>
      <c r="U9630" s="99" t="str">
        <f>IFERROR(IF(#REF!="S",VLOOKUP('Raw Data'!A9630,References!#REF!,2,FALSE),(VLOOKUP($S9630,References!$B$3:$C$8,2,FALSE))),"")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4"/>
        <v>0</v>
      </c>
      <c r="U9631" s="99" t="str">
        <f>IFERROR(IF(#REF!="S",VLOOKUP('Raw Data'!A9631,References!#REF!,2,FALSE),(VLOOKUP($S9631,References!$B$3:$C$8,2,FALSE))),"")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4"/>
        <v>0</v>
      </c>
      <c r="U9632" s="99" t="str">
        <f>IFERROR(IF(#REF!="S",VLOOKUP('Raw Data'!A9632,References!#REF!,2,FALSE),(VLOOKUP($S9632,References!$B$3:$C$8,2,FALSE))),"")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4"/>
        <v>0</v>
      </c>
      <c r="U9633" s="99" t="str">
        <f>IFERROR(IF(#REF!="S",VLOOKUP('Raw Data'!A9633,References!#REF!,2,FALSE),(VLOOKUP($S9633,References!$B$3:$C$8,2,FALSE))),"")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4"/>
        <v>0</v>
      </c>
      <c r="U9634" s="99" t="str">
        <f>IFERROR(IF(#REF!="S",VLOOKUP('Raw Data'!A9634,References!#REF!,2,FALSE),(VLOOKUP($S9634,References!$B$3:$C$8,2,FALSE))),"")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4"/>
        <v>0</v>
      </c>
      <c r="U9635" s="99" t="str">
        <f>IFERROR(IF(#REF!="S",VLOOKUP('Raw Data'!A9635,References!#REF!,2,FALSE),(VLOOKUP($S9635,References!$B$3:$C$8,2,FALSE))),"")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4"/>
        <v>0</v>
      </c>
      <c r="U9636" s="99" t="str">
        <f>IFERROR(IF(#REF!="S",VLOOKUP('Raw Data'!A9636,References!#REF!,2,FALSE),(VLOOKUP($S9636,References!$B$3:$C$8,2,FALSE))),"")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4"/>
        <v>0</v>
      </c>
      <c r="U9637" s="99" t="str">
        <f>IFERROR(IF(#REF!="S",VLOOKUP('Raw Data'!A9637,References!#REF!,2,FALSE),(VLOOKUP($S9637,References!$B$3:$C$8,2,FALSE))),"")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4"/>
        <v>0</v>
      </c>
      <c r="U9638" s="99" t="str">
        <f>IFERROR(IF(#REF!="S",VLOOKUP('Raw Data'!A9638,References!#REF!,2,FALSE),(VLOOKUP($S9638,References!$B$3:$C$8,2,FALSE))),"")</f>
        <v/>
      </c>
      <c r="W9638" s="66" t="str">
        <f>IFERROR(VLOOKUP($O9638,'Customer List'!$A$1:$J$488,10,FALSE),"")</f>
        <v/>
      </c>
    </row>
    <row r="9639" spans="18:23">
      <c r="R9639" s="97">
        <f t="shared" si="364"/>
        <v>0</v>
      </c>
      <c r="U9639" s="99" t="str">
        <f>IFERROR(IF(#REF!="S",VLOOKUP('Raw Data'!A9639,References!#REF!,2,FALSE),(VLOOKUP($S9639,References!$B$3:$C$8,2,FALSE))),"")</f>
        <v/>
      </c>
      <c r="W9639" s="66" t="str">
        <f>IFERROR(VLOOKUP($O9639,'Customer List'!$A$1:$J$488,10,FALSE),"")</f>
        <v/>
      </c>
    </row>
    <row r="9640" spans="18:23">
      <c r="R9640" s="97">
        <f t="shared" ref="R9640:R9703" si="365">L9640-K9640</f>
        <v>0</v>
      </c>
      <c r="U9640" s="99" t="str">
        <f>IFERROR(IF(#REF!="S",VLOOKUP('Raw Data'!A9640,References!#REF!,2,FALSE),(VLOOKUP($S9640,References!$B$3:$C$8,2,FALSE))),"")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5"/>
        <v>0</v>
      </c>
      <c r="U9641" s="99" t="str">
        <f>IFERROR(IF(#REF!="S",VLOOKUP('Raw Data'!A9641,References!#REF!,2,FALSE),(VLOOKUP($S9641,References!$B$3:$C$8,2,FALSE))),"")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5"/>
        <v>0</v>
      </c>
      <c r="U9642" s="99" t="str">
        <f>IFERROR(IF(#REF!="S",VLOOKUP('Raw Data'!A9642,References!#REF!,2,FALSE),(VLOOKUP($S9642,References!$B$3:$C$8,2,FALSE))),"")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5"/>
        <v>0</v>
      </c>
      <c r="U9643" s="99" t="str">
        <f>IFERROR(IF(#REF!="S",VLOOKUP('Raw Data'!A9643,References!#REF!,2,FALSE),(VLOOKUP($S9643,References!$B$3:$C$8,2,FALSE))),"")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5"/>
        <v>0</v>
      </c>
      <c r="U9644" s="99" t="str">
        <f>IFERROR(IF(#REF!="S",VLOOKUP('Raw Data'!A9644,References!#REF!,2,FALSE),(VLOOKUP($S9644,References!$B$3:$C$8,2,FALSE))),"")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5"/>
        <v>0</v>
      </c>
      <c r="U9645" s="99" t="str">
        <f>IFERROR(IF(#REF!="S",VLOOKUP('Raw Data'!A9645,References!#REF!,2,FALSE),(VLOOKUP($S9645,References!$B$3:$C$8,2,FALSE))),"")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5"/>
        <v>0</v>
      </c>
      <c r="U9646" s="99" t="str">
        <f>IFERROR(IF(#REF!="S",VLOOKUP('Raw Data'!A9646,References!#REF!,2,FALSE),(VLOOKUP($S9646,References!$B$3:$C$8,2,FALSE))),"")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5"/>
        <v>0</v>
      </c>
      <c r="U9647" s="99" t="str">
        <f>IFERROR(IF(#REF!="S",VLOOKUP('Raw Data'!A9647,References!#REF!,2,FALSE),(VLOOKUP($S9647,References!$B$3:$C$8,2,FALSE))),"")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5"/>
        <v>0</v>
      </c>
      <c r="U9648" s="99" t="str">
        <f>IFERROR(IF(#REF!="S",VLOOKUP('Raw Data'!A9648,References!#REF!,2,FALSE),(VLOOKUP($S9648,References!$B$3:$C$8,2,FALSE))),"")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5"/>
        <v>0</v>
      </c>
      <c r="U9649" s="99" t="str">
        <f>IFERROR(IF(#REF!="S",VLOOKUP('Raw Data'!A9649,References!#REF!,2,FALSE),(VLOOKUP($S9649,References!$B$3:$C$8,2,FALSE))),"")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5"/>
        <v>0</v>
      </c>
      <c r="U9650" s="99" t="str">
        <f>IFERROR(IF(#REF!="S",VLOOKUP('Raw Data'!A9650,References!#REF!,2,FALSE),(VLOOKUP($S9650,References!$B$3:$C$8,2,FALSE))),"")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5"/>
        <v>0</v>
      </c>
      <c r="U9651" s="99" t="str">
        <f>IFERROR(IF(#REF!="S",VLOOKUP('Raw Data'!A9651,References!#REF!,2,FALSE),(VLOOKUP($S9651,References!$B$3:$C$8,2,FALSE))),"")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5"/>
        <v>0</v>
      </c>
      <c r="U9652" s="99" t="str">
        <f>IFERROR(IF(#REF!="S",VLOOKUP('Raw Data'!A9652,References!#REF!,2,FALSE),(VLOOKUP($S9652,References!$B$3:$C$8,2,FALSE))),"")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5"/>
        <v>0</v>
      </c>
      <c r="U9653" s="99" t="str">
        <f>IFERROR(IF(#REF!="S",VLOOKUP('Raw Data'!A9653,References!#REF!,2,FALSE),(VLOOKUP($S9653,References!$B$3:$C$8,2,FALSE))),"")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5"/>
        <v>0</v>
      </c>
      <c r="U9654" s="99" t="str">
        <f>IFERROR(IF(#REF!="S",VLOOKUP('Raw Data'!A9654,References!#REF!,2,FALSE),(VLOOKUP($S9654,References!$B$3:$C$8,2,FALSE))),"")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5"/>
        <v>0</v>
      </c>
      <c r="U9655" s="99" t="str">
        <f>IFERROR(IF(#REF!="S",VLOOKUP('Raw Data'!A9655,References!#REF!,2,FALSE),(VLOOKUP($S9655,References!$B$3:$C$8,2,FALSE))),"")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5"/>
        <v>0</v>
      </c>
      <c r="U9656" s="99" t="str">
        <f>IFERROR(IF(#REF!="S",VLOOKUP('Raw Data'!A9656,References!#REF!,2,FALSE),(VLOOKUP($S9656,References!$B$3:$C$8,2,FALSE))),"")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5"/>
        <v>0</v>
      </c>
      <c r="U9657" s="99" t="str">
        <f>IFERROR(IF(#REF!="S",VLOOKUP('Raw Data'!A9657,References!#REF!,2,FALSE),(VLOOKUP($S9657,References!$B$3:$C$8,2,FALSE))),"")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5"/>
        <v>0</v>
      </c>
      <c r="U9658" s="99" t="str">
        <f>IFERROR(IF(#REF!="S",VLOOKUP('Raw Data'!A9658,References!#REF!,2,FALSE),(VLOOKUP($S9658,References!$B$3:$C$8,2,FALSE))),"")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5"/>
        <v>0</v>
      </c>
      <c r="U9659" s="99" t="str">
        <f>IFERROR(IF(#REF!="S",VLOOKUP('Raw Data'!A9659,References!#REF!,2,FALSE),(VLOOKUP($S9659,References!$B$3:$C$8,2,FALSE))),"")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5"/>
        <v>0</v>
      </c>
      <c r="U9660" s="99" t="str">
        <f>IFERROR(IF(#REF!="S",VLOOKUP('Raw Data'!A9660,References!#REF!,2,FALSE),(VLOOKUP($S9660,References!$B$3:$C$8,2,FALSE))),"")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5"/>
        <v>0</v>
      </c>
      <c r="U9661" s="99" t="str">
        <f>IFERROR(IF(#REF!="S",VLOOKUP('Raw Data'!A9661,References!#REF!,2,FALSE),(VLOOKUP($S9661,References!$B$3:$C$8,2,FALSE))),"")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5"/>
        <v>0</v>
      </c>
      <c r="U9662" s="99" t="str">
        <f>IFERROR(IF(#REF!="S",VLOOKUP('Raw Data'!A9662,References!#REF!,2,FALSE),(VLOOKUP($S9662,References!$B$3:$C$8,2,FALSE))),"")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5"/>
        <v>0</v>
      </c>
      <c r="U9663" s="99" t="str">
        <f>IFERROR(IF(#REF!="S",VLOOKUP('Raw Data'!A9663,References!#REF!,2,FALSE),(VLOOKUP($S9663,References!$B$3:$C$8,2,FALSE))),"")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5"/>
        <v>0</v>
      </c>
      <c r="U9664" s="99" t="str">
        <f>IFERROR(IF(#REF!="S",VLOOKUP('Raw Data'!A9664,References!#REF!,2,FALSE),(VLOOKUP($S9664,References!$B$3:$C$8,2,FALSE))),"")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5"/>
        <v>0</v>
      </c>
      <c r="U9665" s="99" t="str">
        <f>IFERROR(IF(#REF!="S",VLOOKUP('Raw Data'!A9665,References!#REF!,2,FALSE),(VLOOKUP($S9665,References!$B$3:$C$8,2,FALSE))),"")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5"/>
        <v>0</v>
      </c>
      <c r="U9666" s="99" t="str">
        <f>IFERROR(IF(#REF!="S",VLOOKUP('Raw Data'!A9666,References!#REF!,2,FALSE),(VLOOKUP($S9666,References!$B$3:$C$8,2,FALSE))),"")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5"/>
        <v>0</v>
      </c>
      <c r="U9667" s="99" t="str">
        <f>IFERROR(IF(#REF!="S",VLOOKUP('Raw Data'!A9667,References!#REF!,2,FALSE),(VLOOKUP($S9667,References!$B$3:$C$8,2,FALSE))),"")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5"/>
        <v>0</v>
      </c>
      <c r="U9668" s="99" t="str">
        <f>IFERROR(IF(#REF!="S",VLOOKUP('Raw Data'!A9668,References!#REF!,2,FALSE),(VLOOKUP($S9668,References!$B$3:$C$8,2,FALSE))),"")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5"/>
        <v>0</v>
      </c>
      <c r="U9669" s="99" t="str">
        <f>IFERROR(IF(#REF!="S",VLOOKUP('Raw Data'!A9669,References!#REF!,2,FALSE),(VLOOKUP($S9669,References!$B$3:$C$8,2,FALSE))),"")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5"/>
        <v>0</v>
      </c>
      <c r="U9670" s="99" t="str">
        <f>IFERROR(IF(#REF!="S",VLOOKUP('Raw Data'!A9670,References!#REF!,2,FALSE),(VLOOKUP($S9670,References!$B$3:$C$8,2,FALSE))),"")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5"/>
        <v>0</v>
      </c>
      <c r="U9671" s="99" t="str">
        <f>IFERROR(IF(#REF!="S",VLOOKUP('Raw Data'!A9671,References!#REF!,2,FALSE),(VLOOKUP($S9671,References!$B$3:$C$8,2,FALSE))),"")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5"/>
        <v>0</v>
      </c>
      <c r="U9672" s="99" t="str">
        <f>IFERROR(IF(#REF!="S",VLOOKUP('Raw Data'!A9672,References!#REF!,2,FALSE),(VLOOKUP($S9672,References!$B$3:$C$8,2,FALSE))),"")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5"/>
        <v>0</v>
      </c>
      <c r="U9673" s="99" t="str">
        <f>IFERROR(IF(#REF!="S",VLOOKUP('Raw Data'!A9673,References!#REF!,2,FALSE),(VLOOKUP($S9673,References!$B$3:$C$8,2,FALSE))),"")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5"/>
        <v>0</v>
      </c>
      <c r="U9674" s="99" t="str">
        <f>IFERROR(IF(#REF!="S",VLOOKUP('Raw Data'!A9674,References!#REF!,2,FALSE),(VLOOKUP($S9674,References!$B$3:$C$8,2,FALSE))),"")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5"/>
        <v>0</v>
      </c>
      <c r="U9675" s="99" t="str">
        <f>IFERROR(IF(#REF!="S",VLOOKUP('Raw Data'!A9675,References!#REF!,2,FALSE),(VLOOKUP($S9675,References!$B$3:$C$8,2,FALSE))),"")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5"/>
        <v>0</v>
      </c>
      <c r="U9676" s="99" t="str">
        <f>IFERROR(IF(#REF!="S",VLOOKUP('Raw Data'!A9676,References!#REF!,2,FALSE),(VLOOKUP($S9676,References!$B$3:$C$8,2,FALSE))),"")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5"/>
        <v>0</v>
      </c>
      <c r="U9677" s="99" t="str">
        <f>IFERROR(IF(#REF!="S",VLOOKUP('Raw Data'!A9677,References!#REF!,2,FALSE),(VLOOKUP($S9677,References!$B$3:$C$8,2,FALSE))),"")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5"/>
        <v>0</v>
      </c>
      <c r="U9678" s="99" t="str">
        <f>IFERROR(IF(#REF!="S",VLOOKUP('Raw Data'!A9678,References!#REF!,2,FALSE),(VLOOKUP($S9678,References!$B$3:$C$8,2,FALSE))),"")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5"/>
        <v>0</v>
      </c>
      <c r="U9679" s="99" t="str">
        <f>IFERROR(IF(#REF!="S",VLOOKUP('Raw Data'!A9679,References!#REF!,2,FALSE),(VLOOKUP($S9679,References!$B$3:$C$8,2,FALSE))),"")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5"/>
        <v>0</v>
      </c>
      <c r="U9680" s="99" t="str">
        <f>IFERROR(IF(#REF!="S",VLOOKUP('Raw Data'!A9680,References!#REF!,2,FALSE),(VLOOKUP($S9680,References!$B$3:$C$8,2,FALSE))),"")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5"/>
        <v>0</v>
      </c>
      <c r="U9681" s="99" t="str">
        <f>IFERROR(IF(#REF!="S",VLOOKUP('Raw Data'!A9681,References!#REF!,2,FALSE),(VLOOKUP($S9681,References!$B$3:$C$8,2,FALSE))),"")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5"/>
        <v>0</v>
      </c>
      <c r="U9682" s="99" t="str">
        <f>IFERROR(IF(#REF!="S",VLOOKUP('Raw Data'!A9682,References!#REF!,2,FALSE),(VLOOKUP($S9682,References!$B$3:$C$8,2,FALSE))),"")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5"/>
        <v>0</v>
      </c>
      <c r="U9683" s="99" t="str">
        <f>IFERROR(IF(#REF!="S",VLOOKUP('Raw Data'!A9683,References!#REF!,2,FALSE),(VLOOKUP($S9683,References!$B$3:$C$8,2,FALSE))),"")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5"/>
        <v>0</v>
      </c>
      <c r="U9684" s="99" t="str">
        <f>IFERROR(IF(#REF!="S",VLOOKUP('Raw Data'!A9684,References!#REF!,2,FALSE),(VLOOKUP($S9684,References!$B$3:$C$8,2,FALSE))),"")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5"/>
        <v>0</v>
      </c>
      <c r="U9685" s="99" t="str">
        <f>IFERROR(IF(#REF!="S",VLOOKUP('Raw Data'!A9685,References!#REF!,2,FALSE),(VLOOKUP($S9685,References!$B$3:$C$8,2,FALSE))),"")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5"/>
        <v>0</v>
      </c>
      <c r="U9686" s="99" t="str">
        <f>IFERROR(IF(#REF!="S",VLOOKUP('Raw Data'!A9686,References!#REF!,2,FALSE),(VLOOKUP($S9686,References!$B$3:$C$8,2,FALSE))),"")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5"/>
        <v>0</v>
      </c>
      <c r="U9687" s="99" t="str">
        <f>IFERROR(IF(#REF!="S",VLOOKUP('Raw Data'!A9687,References!#REF!,2,FALSE),(VLOOKUP($S9687,References!$B$3:$C$8,2,FALSE))),"")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5"/>
        <v>0</v>
      </c>
      <c r="U9688" s="99" t="str">
        <f>IFERROR(IF(#REF!="S",VLOOKUP('Raw Data'!A9688,References!#REF!,2,FALSE),(VLOOKUP($S9688,References!$B$3:$C$8,2,FALSE))),"")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5"/>
        <v>0</v>
      </c>
      <c r="U9689" s="99" t="str">
        <f>IFERROR(IF(#REF!="S",VLOOKUP('Raw Data'!A9689,References!#REF!,2,FALSE),(VLOOKUP($S9689,References!$B$3:$C$8,2,FALSE))),"")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5"/>
        <v>0</v>
      </c>
      <c r="U9690" s="99" t="str">
        <f>IFERROR(IF(#REF!="S",VLOOKUP('Raw Data'!A9690,References!#REF!,2,FALSE),(VLOOKUP($S9690,References!$B$3:$C$8,2,FALSE))),"")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5"/>
        <v>0</v>
      </c>
      <c r="U9691" s="99" t="str">
        <f>IFERROR(IF(#REF!="S",VLOOKUP('Raw Data'!A9691,References!#REF!,2,FALSE),(VLOOKUP($S9691,References!$B$3:$C$8,2,FALSE))),"")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5"/>
        <v>0</v>
      </c>
      <c r="U9692" s="99" t="str">
        <f>IFERROR(IF(#REF!="S",VLOOKUP('Raw Data'!A9692,References!#REF!,2,FALSE),(VLOOKUP($S9692,References!$B$3:$C$8,2,FALSE))),"")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5"/>
        <v>0</v>
      </c>
      <c r="U9693" s="99" t="str">
        <f>IFERROR(IF(#REF!="S",VLOOKUP('Raw Data'!A9693,References!#REF!,2,FALSE),(VLOOKUP($S9693,References!$B$3:$C$8,2,FALSE))),"")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5"/>
        <v>0</v>
      </c>
      <c r="U9694" s="99" t="str">
        <f>IFERROR(IF(#REF!="S",VLOOKUP('Raw Data'!A9694,References!#REF!,2,FALSE),(VLOOKUP($S9694,References!$B$3:$C$8,2,FALSE))),"")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5"/>
        <v>0</v>
      </c>
      <c r="U9695" s="99" t="str">
        <f>IFERROR(IF(#REF!="S",VLOOKUP('Raw Data'!A9695,References!#REF!,2,FALSE),(VLOOKUP($S9695,References!$B$3:$C$8,2,FALSE))),"")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5"/>
        <v>0</v>
      </c>
      <c r="U9696" s="99" t="str">
        <f>IFERROR(IF(#REF!="S",VLOOKUP('Raw Data'!A9696,References!#REF!,2,FALSE),(VLOOKUP($S9696,References!$B$3:$C$8,2,FALSE))),"")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5"/>
        <v>0</v>
      </c>
      <c r="U9697" s="99" t="str">
        <f>IFERROR(IF(#REF!="S",VLOOKUP('Raw Data'!A9697,References!#REF!,2,FALSE),(VLOOKUP($S9697,References!$B$3:$C$8,2,FALSE))),"")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5"/>
        <v>0</v>
      </c>
      <c r="U9698" s="99" t="str">
        <f>IFERROR(IF(#REF!="S",VLOOKUP('Raw Data'!A9698,References!#REF!,2,FALSE),(VLOOKUP($S9698,References!$B$3:$C$8,2,FALSE))),"")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5"/>
        <v>0</v>
      </c>
      <c r="U9699" s="99" t="str">
        <f>IFERROR(IF(#REF!="S",VLOOKUP('Raw Data'!A9699,References!#REF!,2,FALSE),(VLOOKUP($S9699,References!$B$3:$C$8,2,FALSE))),"")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5"/>
        <v>0</v>
      </c>
      <c r="U9700" s="99" t="str">
        <f>IFERROR(IF(#REF!="S",VLOOKUP('Raw Data'!A9700,References!#REF!,2,FALSE),(VLOOKUP($S9700,References!$B$3:$C$8,2,FALSE))),"")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5"/>
        <v>0</v>
      </c>
      <c r="U9701" s="99" t="str">
        <f>IFERROR(IF(#REF!="S",VLOOKUP('Raw Data'!A9701,References!#REF!,2,FALSE),(VLOOKUP($S9701,References!$B$3:$C$8,2,FALSE))),"")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5"/>
        <v>0</v>
      </c>
      <c r="U9702" s="99" t="str">
        <f>IFERROR(IF(#REF!="S",VLOOKUP('Raw Data'!A9702,References!#REF!,2,FALSE),(VLOOKUP($S9702,References!$B$3:$C$8,2,FALSE))),"")</f>
        <v/>
      </c>
      <c r="W9702" s="66" t="str">
        <f>IFERROR(VLOOKUP($O9702,'Customer List'!$A$1:$J$488,10,FALSE),"")</f>
        <v/>
      </c>
    </row>
    <row r="9703" spans="18:23">
      <c r="R9703" s="97">
        <f t="shared" si="365"/>
        <v>0</v>
      </c>
      <c r="U9703" s="99" t="str">
        <f>IFERROR(IF(#REF!="S",VLOOKUP('Raw Data'!A9703,References!#REF!,2,FALSE),(VLOOKUP($S9703,References!$B$3:$C$8,2,FALSE))),"")</f>
        <v/>
      </c>
      <c r="W9703" s="66" t="str">
        <f>IFERROR(VLOOKUP($O9703,'Customer List'!$A$1:$J$488,10,FALSE),"")</f>
        <v/>
      </c>
    </row>
    <row r="9704" spans="18:23">
      <c r="R9704" s="97">
        <f t="shared" ref="R9704:R9767" si="366">L9704-K9704</f>
        <v>0</v>
      </c>
      <c r="U9704" s="99" t="str">
        <f>IFERROR(IF(#REF!="S",VLOOKUP('Raw Data'!A9704,References!#REF!,2,FALSE),(VLOOKUP($S9704,References!$B$3:$C$8,2,FALSE))),"")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6"/>
        <v>0</v>
      </c>
      <c r="U9705" s="99" t="str">
        <f>IFERROR(IF(#REF!="S",VLOOKUP('Raw Data'!A9705,References!#REF!,2,FALSE),(VLOOKUP($S9705,References!$B$3:$C$8,2,FALSE))),"")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6"/>
        <v>0</v>
      </c>
      <c r="U9706" s="99" t="str">
        <f>IFERROR(IF(#REF!="S",VLOOKUP('Raw Data'!A9706,References!#REF!,2,FALSE),(VLOOKUP($S9706,References!$B$3:$C$8,2,FALSE))),"")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6"/>
        <v>0</v>
      </c>
      <c r="U9707" s="99" t="str">
        <f>IFERROR(IF(#REF!="S",VLOOKUP('Raw Data'!A9707,References!#REF!,2,FALSE),(VLOOKUP($S9707,References!$B$3:$C$8,2,FALSE))),"")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6"/>
        <v>0</v>
      </c>
      <c r="U9708" s="99" t="str">
        <f>IFERROR(IF(#REF!="S",VLOOKUP('Raw Data'!A9708,References!#REF!,2,FALSE),(VLOOKUP($S9708,References!$B$3:$C$8,2,FALSE))),"")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6"/>
        <v>0</v>
      </c>
      <c r="U9709" s="99" t="str">
        <f>IFERROR(IF(#REF!="S",VLOOKUP('Raw Data'!A9709,References!#REF!,2,FALSE),(VLOOKUP($S9709,References!$B$3:$C$8,2,FALSE))),"")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6"/>
        <v>0</v>
      </c>
      <c r="U9710" s="99" t="str">
        <f>IFERROR(IF(#REF!="S",VLOOKUP('Raw Data'!A9710,References!#REF!,2,FALSE),(VLOOKUP($S9710,References!$B$3:$C$8,2,FALSE))),"")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6"/>
        <v>0</v>
      </c>
      <c r="U9711" s="99" t="str">
        <f>IFERROR(IF(#REF!="S",VLOOKUP('Raw Data'!A9711,References!#REF!,2,FALSE),(VLOOKUP($S9711,References!$B$3:$C$8,2,FALSE))),"")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6"/>
        <v>0</v>
      </c>
      <c r="U9712" s="99" t="str">
        <f>IFERROR(IF(#REF!="S",VLOOKUP('Raw Data'!A9712,References!#REF!,2,FALSE),(VLOOKUP($S9712,References!$B$3:$C$8,2,FALSE))),"")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6"/>
        <v>0</v>
      </c>
      <c r="U9713" s="99" t="str">
        <f>IFERROR(IF(#REF!="S",VLOOKUP('Raw Data'!A9713,References!#REF!,2,FALSE),(VLOOKUP($S9713,References!$B$3:$C$8,2,FALSE))),"")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6"/>
        <v>0</v>
      </c>
      <c r="U9714" s="99" t="str">
        <f>IFERROR(IF(#REF!="S",VLOOKUP('Raw Data'!A9714,References!#REF!,2,FALSE),(VLOOKUP($S9714,References!$B$3:$C$8,2,FALSE))),"")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6"/>
        <v>0</v>
      </c>
      <c r="U9715" s="99" t="str">
        <f>IFERROR(IF(#REF!="S",VLOOKUP('Raw Data'!A9715,References!#REF!,2,FALSE),(VLOOKUP($S9715,References!$B$3:$C$8,2,FALSE))),"")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6"/>
        <v>0</v>
      </c>
      <c r="U9716" s="99" t="str">
        <f>IFERROR(IF(#REF!="S",VLOOKUP('Raw Data'!A9716,References!#REF!,2,FALSE),(VLOOKUP($S9716,References!$B$3:$C$8,2,FALSE))),"")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6"/>
        <v>0</v>
      </c>
      <c r="U9717" s="99" t="str">
        <f>IFERROR(IF(#REF!="S",VLOOKUP('Raw Data'!A9717,References!#REF!,2,FALSE),(VLOOKUP($S9717,References!$B$3:$C$8,2,FALSE))),"")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6"/>
        <v>0</v>
      </c>
      <c r="U9718" s="99" t="str">
        <f>IFERROR(IF(#REF!="S",VLOOKUP('Raw Data'!A9718,References!#REF!,2,FALSE),(VLOOKUP($S9718,References!$B$3:$C$8,2,FALSE))),"")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6"/>
        <v>0</v>
      </c>
      <c r="U9719" s="99" t="str">
        <f>IFERROR(IF(#REF!="S",VLOOKUP('Raw Data'!A9719,References!#REF!,2,FALSE),(VLOOKUP($S9719,References!$B$3:$C$8,2,FALSE))),"")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6"/>
        <v>0</v>
      </c>
      <c r="U9720" s="99" t="str">
        <f>IFERROR(IF(#REF!="S",VLOOKUP('Raw Data'!A9720,References!#REF!,2,FALSE),(VLOOKUP($S9720,References!$B$3:$C$8,2,FALSE))),"")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6"/>
        <v>0</v>
      </c>
      <c r="U9721" s="99" t="str">
        <f>IFERROR(IF(#REF!="S",VLOOKUP('Raw Data'!A9721,References!#REF!,2,FALSE),(VLOOKUP($S9721,References!$B$3:$C$8,2,FALSE))),"")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6"/>
        <v>0</v>
      </c>
      <c r="U9722" s="99" t="str">
        <f>IFERROR(IF(#REF!="S",VLOOKUP('Raw Data'!A9722,References!#REF!,2,FALSE),(VLOOKUP($S9722,References!$B$3:$C$8,2,FALSE))),"")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6"/>
        <v>0</v>
      </c>
      <c r="U9723" s="99" t="str">
        <f>IFERROR(IF(#REF!="S",VLOOKUP('Raw Data'!A9723,References!#REF!,2,FALSE),(VLOOKUP($S9723,References!$B$3:$C$8,2,FALSE))),"")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6"/>
        <v>0</v>
      </c>
      <c r="U9724" s="99" t="str">
        <f>IFERROR(IF(#REF!="S",VLOOKUP('Raw Data'!A9724,References!#REF!,2,FALSE),(VLOOKUP($S9724,References!$B$3:$C$8,2,FALSE))),"")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6"/>
        <v>0</v>
      </c>
      <c r="U9725" s="99" t="str">
        <f>IFERROR(IF(#REF!="S",VLOOKUP('Raw Data'!A9725,References!#REF!,2,FALSE),(VLOOKUP($S9725,References!$B$3:$C$8,2,FALSE))),"")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6"/>
        <v>0</v>
      </c>
      <c r="U9726" s="99" t="str">
        <f>IFERROR(IF(#REF!="S",VLOOKUP('Raw Data'!A9726,References!#REF!,2,FALSE),(VLOOKUP($S9726,References!$B$3:$C$8,2,FALSE))),"")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6"/>
        <v>0</v>
      </c>
      <c r="U9727" s="99" t="str">
        <f>IFERROR(IF(#REF!="S",VLOOKUP('Raw Data'!A9727,References!#REF!,2,FALSE),(VLOOKUP($S9727,References!$B$3:$C$8,2,FALSE))),"")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6"/>
        <v>0</v>
      </c>
      <c r="U9728" s="99" t="str">
        <f>IFERROR(IF(#REF!="S",VLOOKUP('Raw Data'!A9728,References!#REF!,2,FALSE),(VLOOKUP($S9728,References!$B$3:$C$8,2,FALSE))),"")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6"/>
        <v>0</v>
      </c>
      <c r="U9729" s="99" t="str">
        <f>IFERROR(IF(#REF!="S",VLOOKUP('Raw Data'!A9729,References!#REF!,2,FALSE),(VLOOKUP($S9729,References!$B$3:$C$8,2,FALSE))),"")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6"/>
        <v>0</v>
      </c>
      <c r="U9730" s="99" t="str">
        <f>IFERROR(IF(#REF!="S",VLOOKUP('Raw Data'!A9730,References!#REF!,2,FALSE),(VLOOKUP($S9730,References!$B$3:$C$8,2,FALSE))),"")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6"/>
        <v>0</v>
      </c>
      <c r="U9731" s="99" t="str">
        <f>IFERROR(IF(#REF!="S",VLOOKUP('Raw Data'!A9731,References!#REF!,2,FALSE),(VLOOKUP($S9731,References!$B$3:$C$8,2,FALSE))),"")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6"/>
        <v>0</v>
      </c>
      <c r="U9732" s="99" t="str">
        <f>IFERROR(IF(#REF!="S",VLOOKUP('Raw Data'!A9732,References!#REF!,2,FALSE),(VLOOKUP($S9732,References!$B$3:$C$8,2,FALSE))),"")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6"/>
        <v>0</v>
      </c>
      <c r="U9733" s="99" t="str">
        <f>IFERROR(IF(#REF!="S",VLOOKUP('Raw Data'!A9733,References!#REF!,2,FALSE),(VLOOKUP($S9733,References!$B$3:$C$8,2,FALSE))),"")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6"/>
        <v>0</v>
      </c>
      <c r="U9734" s="99" t="str">
        <f>IFERROR(IF(#REF!="S",VLOOKUP('Raw Data'!A9734,References!#REF!,2,FALSE),(VLOOKUP($S9734,References!$B$3:$C$8,2,FALSE))),"")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6"/>
        <v>0</v>
      </c>
      <c r="U9735" s="99" t="str">
        <f>IFERROR(IF(#REF!="S",VLOOKUP('Raw Data'!A9735,References!#REF!,2,FALSE),(VLOOKUP($S9735,References!$B$3:$C$8,2,FALSE))),"")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6"/>
        <v>0</v>
      </c>
      <c r="U9736" s="99" t="str">
        <f>IFERROR(IF(#REF!="S",VLOOKUP('Raw Data'!A9736,References!#REF!,2,FALSE),(VLOOKUP($S9736,References!$B$3:$C$8,2,FALSE))),"")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6"/>
        <v>0</v>
      </c>
      <c r="U9737" s="99" t="str">
        <f>IFERROR(IF(#REF!="S",VLOOKUP('Raw Data'!A9737,References!#REF!,2,FALSE),(VLOOKUP($S9737,References!$B$3:$C$8,2,FALSE))),"")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6"/>
        <v>0</v>
      </c>
      <c r="U9738" s="99" t="str">
        <f>IFERROR(IF(#REF!="S",VLOOKUP('Raw Data'!A9738,References!#REF!,2,FALSE),(VLOOKUP($S9738,References!$B$3:$C$8,2,FALSE))),"")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6"/>
        <v>0</v>
      </c>
      <c r="U9739" s="99" t="str">
        <f>IFERROR(IF(#REF!="S",VLOOKUP('Raw Data'!A9739,References!#REF!,2,FALSE),(VLOOKUP($S9739,References!$B$3:$C$8,2,FALSE))),"")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6"/>
        <v>0</v>
      </c>
      <c r="U9740" s="99" t="str">
        <f>IFERROR(IF(#REF!="S",VLOOKUP('Raw Data'!A9740,References!#REF!,2,FALSE),(VLOOKUP($S9740,References!$B$3:$C$8,2,FALSE))),"")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6"/>
        <v>0</v>
      </c>
      <c r="U9741" s="99" t="str">
        <f>IFERROR(IF(#REF!="S",VLOOKUP('Raw Data'!A9741,References!#REF!,2,FALSE),(VLOOKUP($S9741,References!$B$3:$C$8,2,FALSE))),"")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6"/>
        <v>0</v>
      </c>
      <c r="U9742" s="99" t="str">
        <f>IFERROR(IF(#REF!="S",VLOOKUP('Raw Data'!A9742,References!#REF!,2,FALSE),(VLOOKUP($S9742,References!$B$3:$C$8,2,FALSE))),"")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6"/>
        <v>0</v>
      </c>
      <c r="U9743" s="99" t="str">
        <f>IFERROR(IF(#REF!="S",VLOOKUP('Raw Data'!A9743,References!#REF!,2,FALSE),(VLOOKUP($S9743,References!$B$3:$C$8,2,FALSE))),"")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6"/>
        <v>0</v>
      </c>
      <c r="U9744" s="99" t="str">
        <f>IFERROR(IF(#REF!="S",VLOOKUP('Raw Data'!A9744,References!#REF!,2,FALSE),(VLOOKUP($S9744,References!$B$3:$C$8,2,FALSE))),"")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6"/>
        <v>0</v>
      </c>
      <c r="U9745" s="99" t="str">
        <f>IFERROR(IF(#REF!="S",VLOOKUP('Raw Data'!A9745,References!#REF!,2,FALSE),(VLOOKUP($S9745,References!$B$3:$C$8,2,FALSE))),"")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6"/>
        <v>0</v>
      </c>
      <c r="U9746" s="99" t="str">
        <f>IFERROR(IF(#REF!="S",VLOOKUP('Raw Data'!A9746,References!#REF!,2,FALSE),(VLOOKUP($S9746,References!$B$3:$C$8,2,FALSE))),"")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6"/>
        <v>0</v>
      </c>
      <c r="U9747" s="99" t="str">
        <f>IFERROR(IF(#REF!="S",VLOOKUP('Raw Data'!A9747,References!#REF!,2,FALSE),(VLOOKUP($S9747,References!$B$3:$C$8,2,FALSE))),"")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6"/>
        <v>0</v>
      </c>
      <c r="U9748" s="99" t="str">
        <f>IFERROR(IF(#REF!="S",VLOOKUP('Raw Data'!A9748,References!#REF!,2,FALSE),(VLOOKUP($S9748,References!$B$3:$C$8,2,FALSE))),"")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6"/>
        <v>0</v>
      </c>
      <c r="U9749" s="99" t="str">
        <f>IFERROR(IF(#REF!="S",VLOOKUP('Raw Data'!A9749,References!#REF!,2,FALSE),(VLOOKUP($S9749,References!$B$3:$C$8,2,FALSE))),"")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6"/>
        <v>0</v>
      </c>
      <c r="U9750" s="99" t="str">
        <f>IFERROR(IF(#REF!="S",VLOOKUP('Raw Data'!A9750,References!#REF!,2,FALSE),(VLOOKUP($S9750,References!$B$3:$C$8,2,FALSE))),"")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6"/>
        <v>0</v>
      </c>
      <c r="U9751" s="99" t="str">
        <f>IFERROR(IF(#REF!="S",VLOOKUP('Raw Data'!A9751,References!#REF!,2,FALSE),(VLOOKUP($S9751,References!$B$3:$C$8,2,FALSE))),"")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6"/>
        <v>0</v>
      </c>
      <c r="U9752" s="99" t="str">
        <f>IFERROR(IF(#REF!="S",VLOOKUP('Raw Data'!A9752,References!#REF!,2,FALSE),(VLOOKUP($S9752,References!$B$3:$C$8,2,FALSE))),"")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6"/>
        <v>0</v>
      </c>
      <c r="U9753" s="99" t="str">
        <f>IFERROR(IF(#REF!="S",VLOOKUP('Raw Data'!A9753,References!#REF!,2,FALSE),(VLOOKUP($S9753,References!$B$3:$C$8,2,FALSE))),"")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6"/>
        <v>0</v>
      </c>
      <c r="U9754" s="99" t="str">
        <f>IFERROR(IF(#REF!="S",VLOOKUP('Raw Data'!A9754,References!#REF!,2,FALSE),(VLOOKUP($S9754,References!$B$3:$C$8,2,FALSE))),"")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6"/>
        <v>0</v>
      </c>
      <c r="U9755" s="99" t="str">
        <f>IFERROR(IF(#REF!="S",VLOOKUP('Raw Data'!A9755,References!#REF!,2,FALSE),(VLOOKUP($S9755,References!$B$3:$C$8,2,FALSE))),"")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6"/>
        <v>0</v>
      </c>
      <c r="U9756" s="99" t="str">
        <f>IFERROR(IF(#REF!="S",VLOOKUP('Raw Data'!A9756,References!#REF!,2,FALSE),(VLOOKUP($S9756,References!$B$3:$C$8,2,FALSE))),"")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6"/>
        <v>0</v>
      </c>
      <c r="U9757" s="99" t="str">
        <f>IFERROR(IF(#REF!="S",VLOOKUP('Raw Data'!A9757,References!#REF!,2,FALSE),(VLOOKUP($S9757,References!$B$3:$C$8,2,FALSE))),"")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6"/>
        <v>0</v>
      </c>
      <c r="U9758" s="99" t="str">
        <f>IFERROR(IF(#REF!="S",VLOOKUP('Raw Data'!A9758,References!#REF!,2,FALSE),(VLOOKUP($S9758,References!$B$3:$C$8,2,FALSE))),"")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6"/>
        <v>0</v>
      </c>
      <c r="U9759" s="99" t="str">
        <f>IFERROR(IF(#REF!="S",VLOOKUP('Raw Data'!A9759,References!#REF!,2,FALSE),(VLOOKUP($S9759,References!$B$3:$C$8,2,FALSE))),"")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6"/>
        <v>0</v>
      </c>
      <c r="U9760" s="99" t="str">
        <f>IFERROR(IF(#REF!="S",VLOOKUP('Raw Data'!A9760,References!#REF!,2,FALSE),(VLOOKUP($S9760,References!$B$3:$C$8,2,FALSE))),"")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6"/>
        <v>0</v>
      </c>
      <c r="U9761" s="99" t="str">
        <f>IFERROR(IF(#REF!="S",VLOOKUP('Raw Data'!A9761,References!#REF!,2,FALSE),(VLOOKUP($S9761,References!$B$3:$C$8,2,FALSE))),"")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6"/>
        <v>0</v>
      </c>
      <c r="U9762" s="99" t="str">
        <f>IFERROR(IF(#REF!="S",VLOOKUP('Raw Data'!A9762,References!#REF!,2,FALSE),(VLOOKUP($S9762,References!$B$3:$C$8,2,FALSE))),"")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6"/>
        <v>0</v>
      </c>
      <c r="U9763" s="99" t="str">
        <f>IFERROR(IF(#REF!="S",VLOOKUP('Raw Data'!A9763,References!#REF!,2,FALSE),(VLOOKUP($S9763,References!$B$3:$C$8,2,FALSE))),"")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6"/>
        <v>0</v>
      </c>
      <c r="U9764" s="99" t="str">
        <f>IFERROR(IF(#REF!="S",VLOOKUP('Raw Data'!A9764,References!#REF!,2,FALSE),(VLOOKUP($S9764,References!$B$3:$C$8,2,FALSE))),"")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6"/>
        <v>0</v>
      </c>
      <c r="U9765" s="99" t="str">
        <f>IFERROR(IF(#REF!="S",VLOOKUP('Raw Data'!A9765,References!#REF!,2,FALSE),(VLOOKUP($S9765,References!$B$3:$C$8,2,FALSE))),"")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6"/>
        <v>0</v>
      </c>
      <c r="U9766" s="99" t="str">
        <f>IFERROR(IF(#REF!="S",VLOOKUP('Raw Data'!A9766,References!#REF!,2,FALSE),(VLOOKUP($S9766,References!$B$3:$C$8,2,FALSE))),"")</f>
        <v/>
      </c>
      <c r="W9766" s="66" t="str">
        <f>IFERROR(VLOOKUP($O9766,'Customer List'!$A$1:$J$488,10,FALSE),"")</f>
        <v/>
      </c>
    </row>
    <row r="9767" spans="18:23">
      <c r="R9767" s="97">
        <f t="shared" si="366"/>
        <v>0</v>
      </c>
      <c r="U9767" s="99" t="str">
        <f>IFERROR(IF(#REF!="S",VLOOKUP('Raw Data'!A9767,References!#REF!,2,FALSE),(VLOOKUP($S9767,References!$B$3:$C$8,2,FALSE))),"")</f>
        <v/>
      </c>
      <c r="W9767" s="66" t="str">
        <f>IFERROR(VLOOKUP($O9767,'Customer List'!$A$1:$J$488,10,FALSE),"")</f>
        <v/>
      </c>
    </row>
    <row r="9768" spans="18:23">
      <c r="R9768" s="97">
        <f t="shared" ref="R9768:R9831" si="367">L9768-K9768</f>
        <v>0</v>
      </c>
      <c r="U9768" s="99" t="str">
        <f>IFERROR(IF(#REF!="S",VLOOKUP('Raw Data'!A9768,References!#REF!,2,FALSE),(VLOOKUP($S9768,References!$B$3:$C$8,2,FALSE))),"")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67"/>
        <v>0</v>
      </c>
      <c r="U9769" s="99" t="str">
        <f>IFERROR(IF(#REF!="S",VLOOKUP('Raw Data'!A9769,References!#REF!,2,FALSE),(VLOOKUP($S9769,References!$B$3:$C$8,2,FALSE))),"")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67"/>
        <v>0</v>
      </c>
      <c r="U9770" s="99" t="str">
        <f>IFERROR(IF(#REF!="S",VLOOKUP('Raw Data'!A9770,References!#REF!,2,FALSE),(VLOOKUP($S9770,References!$B$3:$C$8,2,FALSE))),"")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67"/>
        <v>0</v>
      </c>
      <c r="U9771" s="99" t="str">
        <f>IFERROR(IF(#REF!="S",VLOOKUP('Raw Data'!A9771,References!#REF!,2,FALSE),(VLOOKUP($S9771,References!$B$3:$C$8,2,FALSE))),"")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67"/>
        <v>0</v>
      </c>
      <c r="U9772" s="99" t="str">
        <f>IFERROR(IF(#REF!="S",VLOOKUP('Raw Data'!A9772,References!#REF!,2,FALSE),(VLOOKUP($S9772,References!$B$3:$C$8,2,FALSE))),"")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67"/>
        <v>0</v>
      </c>
      <c r="U9773" s="99" t="str">
        <f>IFERROR(IF(#REF!="S",VLOOKUP('Raw Data'!A9773,References!#REF!,2,FALSE),(VLOOKUP($S9773,References!$B$3:$C$8,2,FALSE))),"")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67"/>
        <v>0</v>
      </c>
      <c r="U9774" s="99" t="str">
        <f>IFERROR(IF(#REF!="S",VLOOKUP('Raw Data'!A9774,References!#REF!,2,FALSE),(VLOOKUP($S9774,References!$B$3:$C$8,2,FALSE))),"")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67"/>
        <v>0</v>
      </c>
      <c r="U9775" s="99" t="str">
        <f>IFERROR(IF(#REF!="S",VLOOKUP('Raw Data'!A9775,References!#REF!,2,FALSE),(VLOOKUP($S9775,References!$B$3:$C$8,2,FALSE))),"")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67"/>
        <v>0</v>
      </c>
      <c r="U9776" s="99" t="str">
        <f>IFERROR(IF(#REF!="S",VLOOKUP('Raw Data'!A9776,References!#REF!,2,FALSE),(VLOOKUP($S9776,References!$B$3:$C$8,2,FALSE))),"")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67"/>
        <v>0</v>
      </c>
      <c r="U9777" s="99" t="str">
        <f>IFERROR(IF(#REF!="S",VLOOKUP('Raw Data'!A9777,References!#REF!,2,FALSE),(VLOOKUP($S9777,References!$B$3:$C$8,2,FALSE))),"")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67"/>
        <v>0</v>
      </c>
      <c r="U9778" s="99" t="str">
        <f>IFERROR(IF(#REF!="S",VLOOKUP('Raw Data'!A9778,References!#REF!,2,FALSE),(VLOOKUP($S9778,References!$B$3:$C$8,2,FALSE))),"")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67"/>
        <v>0</v>
      </c>
      <c r="U9779" s="99" t="str">
        <f>IFERROR(IF(#REF!="S",VLOOKUP('Raw Data'!A9779,References!#REF!,2,FALSE),(VLOOKUP($S9779,References!$B$3:$C$8,2,FALSE))),"")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67"/>
        <v>0</v>
      </c>
      <c r="U9780" s="99" t="str">
        <f>IFERROR(IF(#REF!="S",VLOOKUP('Raw Data'!A9780,References!#REF!,2,FALSE),(VLOOKUP($S9780,References!$B$3:$C$8,2,FALSE))),"")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67"/>
        <v>0</v>
      </c>
      <c r="U9781" s="99" t="str">
        <f>IFERROR(IF(#REF!="S",VLOOKUP('Raw Data'!A9781,References!#REF!,2,FALSE),(VLOOKUP($S9781,References!$B$3:$C$8,2,FALSE))),"")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67"/>
        <v>0</v>
      </c>
      <c r="U9782" s="99" t="str">
        <f>IFERROR(IF(#REF!="S",VLOOKUP('Raw Data'!A9782,References!#REF!,2,FALSE),(VLOOKUP($S9782,References!$B$3:$C$8,2,FALSE))),"")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67"/>
        <v>0</v>
      </c>
      <c r="U9783" s="99" t="str">
        <f>IFERROR(IF(#REF!="S",VLOOKUP('Raw Data'!A9783,References!#REF!,2,FALSE),(VLOOKUP($S9783,References!$B$3:$C$8,2,FALSE))),"")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67"/>
        <v>0</v>
      </c>
      <c r="U9784" s="99" t="str">
        <f>IFERROR(IF(#REF!="S",VLOOKUP('Raw Data'!A9784,References!#REF!,2,FALSE),(VLOOKUP($S9784,References!$B$3:$C$8,2,FALSE))),"")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67"/>
        <v>0</v>
      </c>
      <c r="U9785" s="99" t="str">
        <f>IFERROR(IF(#REF!="S",VLOOKUP('Raw Data'!A9785,References!#REF!,2,FALSE),(VLOOKUP($S9785,References!$B$3:$C$8,2,FALSE))),"")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67"/>
        <v>0</v>
      </c>
      <c r="U9786" s="99" t="str">
        <f>IFERROR(IF(#REF!="S",VLOOKUP('Raw Data'!A9786,References!#REF!,2,FALSE),(VLOOKUP($S9786,References!$B$3:$C$8,2,FALSE))),"")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67"/>
        <v>0</v>
      </c>
      <c r="U9787" s="99" t="str">
        <f>IFERROR(IF(#REF!="S",VLOOKUP('Raw Data'!A9787,References!#REF!,2,FALSE),(VLOOKUP($S9787,References!$B$3:$C$8,2,FALSE))),"")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67"/>
        <v>0</v>
      </c>
      <c r="U9788" s="99" t="str">
        <f>IFERROR(IF(#REF!="S",VLOOKUP('Raw Data'!A9788,References!#REF!,2,FALSE),(VLOOKUP($S9788,References!$B$3:$C$8,2,FALSE))),"")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67"/>
        <v>0</v>
      </c>
      <c r="U9789" s="99" t="str">
        <f>IFERROR(IF(#REF!="S",VLOOKUP('Raw Data'!A9789,References!#REF!,2,FALSE),(VLOOKUP($S9789,References!$B$3:$C$8,2,FALSE))),"")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67"/>
        <v>0</v>
      </c>
      <c r="U9790" s="99" t="str">
        <f>IFERROR(IF(#REF!="S",VLOOKUP('Raw Data'!A9790,References!#REF!,2,FALSE),(VLOOKUP($S9790,References!$B$3:$C$8,2,FALSE))),"")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67"/>
        <v>0</v>
      </c>
      <c r="U9791" s="99" t="str">
        <f>IFERROR(IF(#REF!="S",VLOOKUP('Raw Data'!A9791,References!#REF!,2,FALSE),(VLOOKUP($S9791,References!$B$3:$C$8,2,FALSE))),"")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67"/>
        <v>0</v>
      </c>
      <c r="U9792" s="99" t="str">
        <f>IFERROR(IF(#REF!="S",VLOOKUP('Raw Data'!A9792,References!#REF!,2,FALSE),(VLOOKUP($S9792,References!$B$3:$C$8,2,FALSE))),"")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67"/>
        <v>0</v>
      </c>
      <c r="U9793" s="99" t="str">
        <f>IFERROR(IF(#REF!="S",VLOOKUP('Raw Data'!A9793,References!#REF!,2,FALSE),(VLOOKUP($S9793,References!$B$3:$C$8,2,FALSE))),"")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67"/>
        <v>0</v>
      </c>
      <c r="U9794" s="99" t="str">
        <f>IFERROR(IF(#REF!="S",VLOOKUP('Raw Data'!A9794,References!#REF!,2,FALSE),(VLOOKUP($S9794,References!$B$3:$C$8,2,FALSE))),"")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67"/>
        <v>0</v>
      </c>
      <c r="U9795" s="99" t="str">
        <f>IFERROR(IF(#REF!="S",VLOOKUP('Raw Data'!A9795,References!#REF!,2,FALSE),(VLOOKUP($S9795,References!$B$3:$C$8,2,FALSE))),"")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67"/>
        <v>0</v>
      </c>
      <c r="U9796" s="99" t="str">
        <f>IFERROR(IF(#REF!="S",VLOOKUP('Raw Data'!A9796,References!#REF!,2,FALSE),(VLOOKUP($S9796,References!$B$3:$C$8,2,FALSE))),"")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67"/>
        <v>0</v>
      </c>
      <c r="U9797" s="99" t="str">
        <f>IFERROR(IF(#REF!="S",VLOOKUP('Raw Data'!A9797,References!#REF!,2,FALSE),(VLOOKUP($S9797,References!$B$3:$C$8,2,FALSE))),"")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67"/>
        <v>0</v>
      </c>
      <c r="U9798" s="99" t="str">
        <f>IFERROR(IF(#REF!="S",VLOOKUP('Raw Data'!A9798,References!#REF!,2,FALSE),(VLOOKUP($S9798,References!$B$3:$C$8,2,FALSE))),"")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67"/>
        <v>0</v>
      </c>
      <c r="U9799" s="99" t="str">
        <f>IFERROR(IF(#REF!="S",VLOOKUP('Raw Data'!A9799,References!#REF!,2,FALSE),(VLOOKUP($S9799,References!$B$3:$C$8,2,FALSE))),"")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67"/>
        <v>0</v>
      </c>
      <c r="U9800" s="99" t="str">
        <f>IFERROR(IF(#REF!="S",VLOOKUP('Raw Data'!A9800,References!#REF!,2,FALSE),(VLOOKUP($S9800,References!$B$3:$C$8,2,FALSE))),"")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67"/>
        <v>0</v>
      </c>
      <c r="U9801" s="99" t="str">
        <f>IFERROR(IF(#REF!="S",VLOOKUP('Raw Data'!A9801,References!#REF!,2,FALSE),(VLOOKUP($S9801,References!$B$3:$C$8,2,FALSE))),"")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67"/>
        <v>0</v>
      </c>
      <c r="U9802" s="99" t="str">
        <f>IFERROR(IF(#REF!="S",VLOOKUP('Raw Data'!A9802,References!#REF!,2,FALSE),(VLOOKUP($S9802,References!$B$3:$C$8,2,FALSE))),"")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67"/>
        <v>0</v>
      </c>
      <c r="U9803" s="99" t="str">
        <f>IFERROR(IF(#REF!="S",VLOOKUP('Raw Data'!A9803,References!#REF!,2,FALSE),(VLOOKUP($S9803,References!$B$3:$C$8,2,FALSE))),"")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67"/>
        <v>0</v>
      </c>
      <c r="U9804" s="99" t="str">
        <f>IFERROR(IF(#REF!="S",VLOOKUP('Raw Data'!A9804,References!#REF!,2,FALSE),(VLOOKUP($S9804,References!$B$3:$C$8,2,FALSE))),"")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67"/>
        <v>0</v>
      </c>
      <c r="U9805" s="99" t="str">
        <f>IFERROR(IF(#REF!="S",VLOOKUP('Raw Data'!A9805,References!#REF!,2,FALSE),(VLOOKUP($S9805,References!$B$3:$C$8,2,FALSE))),"")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67"/>
        <v>0</v>
      </c>
      <c r="U9806" s="99" t="str">
        <f>IFERROR(IF(#REF!="S",VLOOKUP('Raw Data'!A9806,References!#REF!,2,FALSE),(VLOOKUP($S9806,References!$B$3:$C$8,2,FALSE))),"")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67"/>
        <v>0</v>
      </c>
      <c r="U9807" s="99" t="str">
        <f>IFERROR(IF(#REF!="S",VLOOKUP('Raw Data'!A9807,References!#REF!,2,FALSE),(VLOOKUP($S9807,References!$B$3:$C$8,2,FALSE))),"")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67"/>
        <v>0</v>
      </c>
      <c r="U9808" s="99" t="str">
        <f>IFERROR(IF(#REF!="S",VLOOKUP('Raw Data'!A9808,References!#REF!,2,FALSE),(VLOOKUP($S9808,References!$B$3:$C$8,2,FALSE))),"")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67"/>
        <v>0</v>
      </c>
      <c r="U9809" s="99" t="str">
        <f>IFERROR(IF(#REF!="S",VLOOKUP('Raw Data'!A9809,References!#REF!,2,FALSE),(VLOOKUP($S9809,References!$B$3:$C$8,2,FALSE))),"")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67"/>
        <v>0</v>
      </c>
      <c r="U9810" s="99" t="str">
        <f>IFERROR(IF(#REF!="S",VLOOKUP('Raw Data'!A9810,References!#REF!,2,FALSE),(VLOOKUP($S9810,References!$B$3:$C$8,2,FALSE))),"")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67"/>
        <v>0</v>
      </c>
      <c r="U9811" s="99" t="str">
        <f>IFERROR(IF(#REF!="S",VLOOKUP('Raw Data'!A9811,References!#REF!,2,FALSE),(VLOOKUP($S9811,References!$B$3:$C$8,2,FALSE))),"")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67"/>
        <v>0</v>
      </c>
      <c r="U9812" s="99" t="str">
        <f>IFERROR(IF(#REF!="S",VLOOKUP('Raw Data'!A9812,References!#REF!,2,FALSE),(VLOOKUP($S9812,References!$B$3:$C$8,2,FALSE))),"")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67"/>
        <v>0</v>
      </c>
      <c r="U9813" s="99" t="str">
        <f>IFERROR(IF(#REF!="S",VLOOKUP('Raw Data'!A9813,References!#REF!,2,FALSE),(VLOOKUP($S9813,References!$B$3:$C$8,2,FALSE))),"")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67"/>
        <v>0</v>
      </c>
      <c r="U9814" s="99" t="str">
        <f>IFERROR(IF(#REF!="S",VLOOKUP('Raw Data'!A9814,References!#REF!,2,FALSE),(VLOOKUP($S9814,References!$B$3:$C$8,2,FALSE))),"")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67"/>
        <v>0</v>
      </c>
      <c r="U9815" s="99" t="str">
        <f>IFERROR(IF(#REF!="S",VLOOKUP('Raw Data'!A9815,References!#REF!,2,FALSE),(VLOOKUP($S9815,References!$B$3:$C$8,2,FALSE))),"")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67"/>
        <v>0</v>
      </c>
      <c r="U9816" s="99" t="str">
        <f>IFERROR(IF(#REF!="S",VLOOKUP('Raw Data'!A9816,References!#REF!,2,FALSE),(VLOOKUP($S9816,References!$B$3:$C$8,2,FALSE))),"")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67"/>
        <v>0</v>
      </c>
      <c r="U9817" s="99" t="str">
        <f>IFERROR(IF(#REF!="S",VLOOKUP('Raw Data'!A9817,References!#REF!,2,FALSE),(VLOOKUP($S9817,References!$B$3:$C$8,2,FALSE))),"")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67"/>
        <v>0</v>
      </c>
      <c r="U9818" s="99" t="str">
        <f>IFERROR(IF(#REF!="S",VLOOKUP('Raw Data'!A9818,References!#REF!,2,FALSE),(VLOOKUP($S9818,References!$B$3:$C$8,2,FALSE))),"")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67"/>
        <v>0</v>
      </c>
      <c r="U9819" s="99" t="str">
        <f>IFERROR(IF(#REF!="S",VLOOKUP('Raw Data'!A9819,References!#REF!,2,FALSE),(VLOOKUP($S9819,References!$B$3:$C$8,2,FALSE))),"")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67"/>
        <v>0</v>
      </c>
      <c r="U9820" s="99" t="str">
        <f>IFERROR(IF(#REF!="S",VLOOKUP('Raw Data'!A9820,References!#REF!,2,FALSE),(VLOOKUP($S9820,References!$B$3:$C$8,2,FALSE))),"")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67"/>
        <v>0</v>
      </c>
      <c r="U9821" s="99" t="str">
        <f>IFERROR(IF(#REF!="S",VLOOKUP('Raw Data'!A9821,References!#REF!,2,FALSE),(VLOOKUP($S9821,References!$B$3:$C$8,2,FALSE))),"")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67"/>
        <v>0</v>
      </c>
      <c r="U9822" s="99" t="str">
        <f>IFERROR(IF(#REF!="S",VLOOKUP('Raw Data'!A9822,References!#REF!,2,FALSE),(VLOOKUP($S9822,References!$B$3:$C$8,2,FALSE))),"")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67"/>
        <v>0</v>
      </c>
      <c r="U9823" s="99" t="str">
        <f>IFERROR(IF(#REF!="S",VLOOKUP('Raw Data'!A9823,References!#REF!,2,FALSE),(VLOOKUP($S9823,References!$B$3:$C$8,2,FALSE))),"")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67"/>
        <v>0</v>
      </c>
      <c r="U9824" s="99" t="str">
        <f>IFERROR(IF(#REF!="S",VLOOKUP('Raw Data'!A9824,References!#REF!,2,FALSE),(VLOOKUP($S9824,References!$B$3:$C$8,2,FALSE))),"")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67"/>
        <v>0</v>
      </c>
      <c r="U9825" s="99" t="str">
        <f>IFERROR(IF(#REF!="S",VLOOKUP('Raw Data'!A9825,References!#REF!,2,FALSE),(VLOOKUP($S9825,References!$B$3:$C$8,2,FALSE))),"")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67"/>
        <v>0</v>
      </c>
      <c r="U9826" s="99" t="str">
        <f>IFERROR(IF(#REF!="S",VLOOKUP('Raw Data'!A9826,References!#REF!,2,FALSE),(VLOOKUP($S9826,References!$B$3:$C$8,2,FALSE))),"")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67"/>
        <v>0</v>
      </c>
      <c r="U9827" s="99" t="str">
        <f>IFERROR(IF(#REF!="S",VLOOKUP('Raw Data'!A9827,References!#REF!,2,FALSE),(VLOOKUP($S9827,References!$B$3:$C$8,2,FALSE))),"")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67"/>
        <v>0</v>
      </c>
      <c r="U9828" s="99" t="str">
        <f>IFERROR(IF(#REF!="S",VLOOKUP('Raw Data'!A9828,References!#REF!,2,FALSE),(VLOOKUP($S9828,References!$B$3:$C$8,2,FALSE))),"")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67"/>
        <v>0</v>
      </c>
      <c r="U9829" s="99" t="str">
        <f>IFERROR(IF(#REF!="S",VLOOKUP('Raw Data'!A9829,References!#REF!,2,FALSE),(VLOOKUP($S9829,References!$B$3:$C$8,2,FALSE))),"")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67"/>
        <v>0</v>
      </c>
      <c r="U9830" s="99" t="str">
        <f>IFERROR(IF(#REF!="S",VLOOKUP('Raw Data'!A9830,References!#REF!,2,FALSE),(VLOOKUP($S9830,References!$B$3:$C$8,2,FALSE))),"")</f>
        <v/>
      </c>
      <c r="W9830" s="66" t="str">
        <f>IFERROR(VLOOKUP($O9830,'Customer List'!$A$1:$J$488,10,FALSE),"")</f>
        <v/>
      </c>
    </row>
    <row r="9831" spans="18:23">
      <c r="R9831" s="97">
        <f t="shared" si="367"/>
        <v>0</v>
      </c>
      <c r="U9831" s="99" t="str">
        <f>IFERROR(IF(#REF!="S",VLOOKUP('Raw Data'!A9831,References!#REF!,2,FALSE),(VLOOKUP($S9831,References!$B$3:$C$8,2,FALSE))),"")</f>
        <v/>
      </c>
      <c r="W9831" s="66" t="str">
        <f>IFERROR(VLOOKUP($O9831,'Customer List'!$A$1:$J$488,10,FALSE),"")</f>
        <v/>
      </c>
    </row>
    <row r="9832" spans="18:23">
      <c r="R9832" s="97">
        <f t="shared" ref="R9832:R9895" si="368">L9832-K9832</f>
        <v>0</v>
      </c>
      <c r="U9832" s="99" t="str">
        <f>IFERROR(IF(#REF!="S",VLOOKUP('Raw Data'!A9832,References!#REF!,2,FALSE),(VLOOKUP($S9832,References!$B$3:$C$8,2,FALSE))),"")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68"/>
        <v>0</v>
      </c>
      <c r="U9833" s="99" t="str">
        <f>IFERROR(IF(#REF!="S",VLOOKUP('Raw Data'!A9833,References!#REF!,2,FALSE),(VLOOKUP($S9833,References!$B$3:$C$8,2,FALSE))),"")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68"/>
        <v>0</v>
      </c>
      <c r="U9834" s="99" t="str">
        <f>IFERROR(IF(#REF!="S",VLOOKUP('Raw Data'!A9834,References!#REF!,2,FALSE),(VLOOKUP($S9834,References!$B$3:$C$8,2,FALSE))),"")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68"/>
        <v>0</v>
      </c>
      <c r="U9835" s="99" t="str">
        <f>IFERROR(IF(#REF!="S",VLOOKUP('Raw Data'!A9835,References!#REF!,2,FALSE),(VLOOKUP($S9835,References!$B$3:$C$8,2,FALSE))),"")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68"/>
        <v>0</v>
      </c>
      <c r="U9836" s="99" t="str">
        <f>IFERROR(IF(#REF!="S",VLOOKUP('Raw Data'!A9836,References!#REF!,2,FALSE),(VLOOKUP($S9836,References!$B$3:$C$8,2,FALSE))),"")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68"/>
        <v>0</v>
      </c>
      <c r="U9837" s="99" t="str">
        <f>IFERROR(IF(#REF!="S",VLOOKUP('Raw Data'!A9837,References!#REF!,2,FALSE),(VLOOKUP($S9837,References!$B$3:$C$8,2,FALSE))),"")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68"/>
        <v>0</v>
      </c>
      <c r="U9838" s="99" t="str">
        <f>IFERROR(IF(#REF!="S",VLOOKUP('Raw Data'!A9838,References!#REF!,2,FALSE),(VLOOKUP($S9838,References!$B$3:$C$8,2,FALSE))),"")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68"/>
        <v>0</v>
      </c>
      <c r="U9839" s="99" t="str">
        <f>IFERROR(IF(#REF!="S",VLOOKUP('Raw Data'!A9839,References!#REF!,2,FALSE),(VLOOKUP($S9839,References!$B$3:$C$8,2,FALSE))),"")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68"/>
        <v>0</v>
      </c>
      <c r="U9840" s="99" t="str">
        <f>IFERROR(IF(#REF!="S",VLOOKUP('Raw Data'!A9840,References!#REF!,2,FALSE),(VLOOKUP($S9840,References!$B$3:$C$8,2,FALSE))),"")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68"/>
        <v>0</v>
      </c>
      <c r="U9841" s="99" t="str">
        <f>IFERROR(IF(#REF!="S",VLOOKUP('Raw Data'!A9841,References!#REF!,2,FALSE),(VLOOKUP($S9841,References!$B$3:$C$8,2,FALSE))),"")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68"/>
        <v>0</v>
      </c>
      <c r="U9842" s="99" t="str">
        <f>IFERROR(IF(#REF!="S",VLOOKUP('Raw Data'!A9842,References!#REF!,2,FALSE),(VLOOKUP($S9842,References!$B$3:$C$8,2,FALSE))),"")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68"/>
        <v>0</v>
      </c>
      <c r="U9843" s="99" t="str">
        <f>IFERROR(IF(#REF!="S",VLOOKUP('Raw Data'!A9843,References!#REF!,2,FALSE),(VLOOKUP($S9843,References!$B$3:$C$8,2,FALSE))),"")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68"/>
        <v>0</v>
      </c>
      <c r="U9844" s="99" t="str">
        <f>IFERROR(IF(#REF!="S",VLOOKUP('Raw Data'!A9844,References!#REF!,2,FALSE),(VLOOKUP($S9844,References!$B$3:$C$8,2,FALSE))),"")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68"/>
        <v>0</v>
      </c>
      <c r="U9845" s="99" t="str">
        <f>IFERROR(IF(#REF!="S",VLOOKUP('Raw Data'!A9845,References!#REF!,2,FALSE),(VLOOKUP($S9845,References!$B$3:$C$8,2,FALSE))),"")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68"/>
        <v>0</v>
      </c>
      <c r="U9846" s="99" t="str">
        <f>IFERROR(IF(#REF!="S",VLOOKUP('Raw Data'!A9846,References!#REF!,2,FALSE),(VLOOKUP($S9846,References!$B$3:$C$8,2,FALSE))),"")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68"/>
        <v>0</v>
      </c>
      <c r="U9847" s="99" t="str">
        <f>IFERROR(IF(#REF!="S",VLOOKUP('Raw Data'!A9847,References!#REF!,2,FALSE),(VLOOKUP($S9847,References!$B$3:$C$8,2,FALSE))),"")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68"/>
        <v>0</v>
      </c>
      <c r="U9848" s="99" t="str">
        <f>IFERROR(IF(#REF!="S",VLOOKUP('Raw Data'!A9848,References!#REF!,2,FALSE),(VLOOKUP($S9848,References!$B$3:$C$8,2,FALSE))),"")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68"/>
        <v>0</v>
      </c>
      <c r="U9849" s="99" t="str">
        <f>IFERROR(IF(#REF!="S",VLOOKUP('Raw Data'!A9849,References!#REF!,2,FALSE),(VLOOKUP($S9849,References!$B$3:$C$8,2,FALSE))),"")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68"/>
        <v>0</v>
      </c>
      <c r="U9850" s="99" t="str">
        <f>IFERROR(IF(#REF!="S",VLOOKUP('Raw Data'!A9850,References!#REF!,2,FALSE),(VLOOKUP($S9850,References!$B$3:$C$8,2,FALSE))),"")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68"/>
        <v>0</v>
      </c>
      <c r="U9851" s="99" t="str">
        <f>IFERROR(IF(#REF!="S",VLOOKUP('Raw Data'!A9851,References!#REF!,2,FALSE),(VLOOKUP($S9851,References!$B$3:$C$8,2,FALSE))),"")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68"/>
        <v>0</v>
      </c>
      <c r="U9852" s="99" t="str">
        <f>IFERROR(IF(#REF!="S",VLOOKUP('Raw Data'!A9852,References!#REF!,2,FALSE),(VLOOKUP($S9852,References!$B$3:$C$8,2,FALSE))),"")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68"/>
        <v>0</v>
      </c>
      <c r="U9853" s="99" t="str">
        <f>IFERROR(IF(#REF!="S",VLOOKUP('Raw Data'!A9853,References!#REF!,2,FALSE),(VLOOKUP($S9853,References!$B$3:$C$8,2,FALSE))),"")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68"/>
        <v>0</v>
      </c>
      <c r="U9854" s="99" t="str">
        <f>IFERROR(IF(#REF!="S",VLOOKUP('Raw Data'!A9854,References!#REF!,2,FALSE),(VLOOKUP($S9854,References!$B$3:$C$8,2,FALSE))),"")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68"/>
        <v>0</v>
      </c>
      <c r="U9855" s="99" t="str">
        <f>IFERROR(IF(#REF!="S",VLOOKUP('Raw Data'!A9855,References!#REF!,2,FALSE),(VLOOKUP($S9855,References!$B$3:$C$8,2,FALSE))),"")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68"/>
        <v>0</v>
      </c>
      <c r="U9856" s="99" t="str">
        <f>IFERROR(IF(#REF!="S",VLOOKUP('Raw Data'!A9856,References!#REF!,2,FALSE),(VLOOKUP($S9856,References!$B$3:$C$8,2,FALSE))),"")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68"/>
        <v>0</v>
      </c>
      <c r="U9857" s="99" t="str">
        <f>IFERROR(IF(#REF!="S",VLOOKUP('Raw Data'!A9857,References!#REF!,2,FALSE),(VLOOKUP($S9857,References!$B$3:$C$8,2,FALSE))),"")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68"/>
        <v>0</v>
      </c>
      <c r="U9858" s="99" t="str">
        <f>IFERROR(IF(#REF!="S",VLOOKUP('Raw Data'!A9858,References!#REF!,2,FALSE),(VLOOKUP($S9858,References!$B$3:$C$8,2,FALSE))),"")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68"/>
        <v>0</v>
      </c>
      <c r="U9859" s="99" t="str">
        <f>IFERROR(IF(#REF!="S",VLOOKUP('Raw Data'!A9859,References!#REF!,2,FALSE),(VLOOKUP($S9859,References!$B$3:$C$8,2,FALSE))),"")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68"/>
        <v>0</v>
      </c>
      <c r="U9860" s="99" t="str">
        <f>IFERROR(IF(#REF!="S",VLOOKUP('Raw Data'!A9860,References!#REF!,2,FALSE),(VLOOKUP($S9860,References!$B$3:$C$8,2,FALSE))),"")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68"/>
        <v>0</v>
      </c>
      <c r="U9861" s="99" t="str">
        <f>IFERROR(IF(#REF!="S",VLOOKUP('Raw Data'!A9861,References!#REF!,2,FALSE),(VLOOKUP($S9861,References!$B$3:$C$8,2,FALSE))),"")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68"/>
        <v>0</v>
      </c>
      <c r="U9862" s="99" t="str">
        <f>IFERROR(IF(#REF!="S",VLOOKUP('Raw Data'!A9862,References!#REF!,2,FALSE),(VLOOKUP($S9862,References!$B$3:$C$8,2,FALSE))),"")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68"/>
        <v>0</v>
      </c>
      <c r="U9863" s="99" t="str">
        <f>IFERROR(IF(#REF!="S",VLOOKUP('Raw Data'!A9863,References!#REF!,2,FALSE),(VLOOKUP($S9863,References!$B$3:$C$8,2,FALSE))),"")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68"/>
        <v>0</v>
      </c>
      <c r="U9864" s="99" t="str">
        <f>IFERROR(IF(#REF!="S",VLOOKUP('Raw Data'!A9864,References!#REF!,2,FALSE),(VLOOKUP($S9864,References!$B$3:$C$8,2,FALSE))),"")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68"/>
        <v>0</v>
      </c>
      <c r="U9865" s="99" t="str">
        <f>IFERROR(IF(#REF!="S",VLOOKUP('Raw Data'!A9865,References!#REF!,2,FALSE),(VLOOKUP($S9865,References!$B$3:$C$8,2,FALSE))),"")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68"/>
        <v>0</v>
      </c>
      <c r="U9866" s="99" t="str">
        <f>IFERROR(IF(#REF!="S",VLOOKUP('Raw Data'!A9866,References!#REF!,2,FALSE),(VLOOKUP($S9866,References!$B$3:$C$8,2,FALSE))),"")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68"/>
        <v>0</v>
      </c>
      <c r="U9867" s="99" t="str">
        <f>IFERROR(IF(#REF!="S",VLOOKUP('Raw Data'!A9867,References!#REF!,2,FALSE),(VLOOKUP($S9867,References!$B$3:$C$8,2,FALSE))),"")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68"/>
        <v>0</v>
      </c>
      <c r="U9868" s="99" t="str">
        <f>IFERROR(IF(#REF!="S",VLOOKUP('Raw Data'!A9868,References!#REF!,2,FALSE),(VLOOKUP($S9868,References!$B$3:$C$8,2,FALSE))),"")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68"/>
        <v>0</v>
      </c>
      <c r="U9869" s="99" t="str">
        <f>IFERROR(IF(#REF!="S",VLOOKUP('Raw Data'!A9869,References!#REF!,2,FALSE),(VLOOKUP($S9869,References!$B$3:$C$8,2,FALSE))),"")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68"/>
        <v>0</v>
      </c>
      <c r="U9870" s="99" t="str">
        <f>IFERROR(IF(#REF!="S",VLOOKUP('Raw Data'!A9870,References!#REF!,2,FALSE),(VLOOKUP($S9870,References!$B$3:$C$8,2,FALSE))),"")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68"/>
        <v>0</v>
      </c>
      <c r="U9871" s="99" t="str">
        <f>IFERROR(IF(#REF!="S",VLOOKUP('Raw Data'!A9871,References!#REF!,2,FALSE),(VLOOKUP($S9871,References!$B$3:$C$8,2,FALSE))),"")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68"/>
        <v>0</v>
      </c>
      <c r="U9872" s="99" t="str">
        <f>IFERROR(IF(#REF!="S",VLOOKUP('Raw Data'!A9872,References!#REF!,2,FALSE),(VLOOKUP($S9872,References!$B$3:$C$8,2,FALSE))),"")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68"/>
        <v>0</v>
      </c>
      <c r="U9873" s="99" t="str">
        <f>IFERROR(IF(#REF!="S",VLOOKUP('Raw Data'!A9873,References!#REF!,2,FALSE),(VLOOKUP($S9873,References!$B$3:$C$8,2,FALSE))),"")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68"/>
        <v>0</v>
      </c>
      <c r="U9874" s="99" t="str">
        <f>IFERROR(IF(#REF!="S",VLOOKUP('Raw Data'!A9874,References!#REF!,2,FALSE),(VLOOKUP($S9874,References!$B$3:$C$8,2,FALSE))),"")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68"/>
        <v>0</v>
      </c>
      <c r="U9875" s="99" t="str">
        <f>IFERROR(IF(#REF!="S",VLOOKUP('Raw Data'!A9875,References!#REF!,2,FALSE),(VLOOKUP($S9875,References!$B$3:$C$8,2,FALSE))),"")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68"/>
        <v>0</v>
      </c>
      <c r="U9876" s="99" t="str">
        <f>IFERROR(IF(#REF!="S",VLOOKUP('Raw Data'!A9876,References!#REF!,2,FALSE),(VLOOKUP($S9876,References!$B$3:$C$8,2,FALSE))),"")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68"/>
        <v>0</v>
      </c>
      <c r="U9877" s="99" t="str">
        <f>IFERROR(IF(#REF!="S",VLOOKUP('Raw Data'!A9877,References!#REF!,2,FALSE),(VLOOKUP($S9877,References!$B$3:$C$8,2,FALSE))),"")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68"/>
        <v>0</v>
      </c>
      <c r="U9878" s="99" t="str">
        <f>IFERROR(IF(#REF!="S",VLOOKUP('Raw Data'!A9878,References!#REF!,2,FALSE),(VLOOKUP($S9878,References!$B$3:$C$8,2,FALSE))),"")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68"/>
        <v>0</v>
      </c>
      <c r="U9879" s="99" t="str">
        <f>IFERROR(IF(#REF!="S",VLOOKUP('Raw Data'!A9879,References!#REF!,2,FALSE),(VLOOKUP($S9879,References!$B$3:$C$8,2,FALSE))),"")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68"/>
        <v>0</v>
      </c>
      <c r="U9880" s="99" t="str">
        <f>IFERROR(IF(#REF!="S",VLOOKUP('Raw Data'!A9880,References!#REF!,2,FALSE),(VLOOKUP($S9880,References!$B$3:$C$8,2,FALSE))),"")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68"/>
        <v>0</v>
      </c>
      <c r="U9881" s="99" t="str">
        <f>IFERROR(IF(#REF!="S",VLOOKUP('Raw Data'!A9881,References!#REF!,2,FALSE),(VLOOKUP($S9881,References!$B$3:$C$8,2,FALSE))),"")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68"/>
        <v>0</v>
      </c>
      <c r="U9882" s="99" t="str">
        <f>IFERROR(IF(#REF!="S",VLOOKUP('Raw Data'!A9882,References!#REF!,2,FALSE),(VLOOKUP($S9882,References!$B$3:$C$8,2,FALSE))),"")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68"/>
        <v>0</v>
      </c>
      <c r="U9883" s="99" t="str">
        <f>IFERROR(IF(#REF!="S",VLOOKUP('Raw Data'!A9883,References!#REF!,2,FALSE),(VLOOKUP($S9883,References!$B$3:$C$8,2,FALSE))),"")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68"/>
        <v>0</v>
      </c>
      <c r="U9884" s="99" t="str">
        <f>IFERROR(IF(#REF!="S",VLOOKUP('Raw Data'!A9884,References!#REF!,2,FALSE),(VLOOKUP($S9884,References!$B$3:$C$8,2,FALSE))),"")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68"/>
        <v>0</v>
      </c>
      <c r="U9885" s="99" t="str">
        <f>IFERROR(IF(#REF!="S",VLOOKUP('Raw Data'!A9885,References!#REF!,2,FALSE),(VLOOKUP($S9885,References!$B$3:$C$8,2,FALSE))),"")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68"/>
        <v>0</v>
      </c>
      <c r="U9886" s="99" t="str">
        <f>IFERROR(IF(#REF!="S",VLOOKUP('Raw Data'!A9886,References!#REF!,2,FALSE),(VLOOKUP($S9886,References!$B$3:$C$8,2,FALSE))),"")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68"/>
        <v>0</v>
      </c>
      <c r="U9887" s="99" t="str">
        <f>IFERROR(IF(#REF!="S",VLOOKUP('Raw Data'!A9887,References!#REF!,2,FALSE),(VLOOKUP($S9887,References!$B$3:$C$8,2,FALSE))),"")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68"/>
        <v>0</v>
      </c>
      <c r="U9888" s="99" t="str">
        <f>IFERROR(IF(#REF!="S",VLOOKUP('Raw Data'!A9888,References!#REF!,2,FALSE),(VLOOKUP($S9888,References!$B$3:$C$8,2,FALSE))),"")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68"/>
        <v>0</v>
      </c>
      <c r="U9889" s="99" t="str">
        <f>IFERROR(IF(#REF!="S",VLOOKUP('Raw Data'!A9889,References!#REF!,2,FALSE),(VLOOKUP($S9889,References!$B$3:$C$8,2,FALSE))),"")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68"/>
        <v>0</v>
      </c>
      <c r="U9890" s="99" t="str">
        <f>IFERROR(IF(#REF!="S",VLOOKUP('Raw Data'!A9890,References!#REF!,2,FALSE),(VLOOKUP($S9890,References!$B$3:$C$8,2,FALSE))),"")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68"/>
        <v>0</v>
      </c>
      <c r="U9891" s="99" t="str">
        <f>IFERROR(IF(#REF!="S",VLOOKUP('Raw Data'!A9891,References!#REF!,2,FALSE),(VLOOKUP($S9891,References!$B$3:$C$8,2,FALSE))),"")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68"/>
        <v>0</v>
      </c>
      <c r="U9892" s="99" t="str">
        <f>IFERROR(IF(#REF!="S",VLOOKUP('Raw Data'!A9892,References!#REF!,2,FALSE),(VLOOKUP($S9892,References!$B$3:$C$8,2,FALSE))),"")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68"/>
        <v>0</v>
      </c>
      <c r="U9893" s="99" t="str">
        <f>IFERROR(IF(#REF!="S",VLOOKUP('Raw Data'!A9893,References!#REF!,2,FALSE),(VLOOKUP($S9893,References!$B$3:$C$8,2,FALSE))),"")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68"/>
        <v>0</v>
      </c>
      <c r="U9894" s="99" t="str">
        <f>IFERROR(IF(#REF!="S",VLOOKUP('Raw Data'!A9894,References!#REF!,2,FALSE),(VLOOKUP($S9894,References!$B$3:$C$8,2,FALSE))),"")</f>
        <v/>
      </c>
      <c r="W9894" s="66" t="str">
        <f>IFERROR(VLOOKUP($O9894,'Customer List'!$A$1:$J$488,10,FALSE),"")</f>
        <v/>
      </c>
    </row>
    <row r="9895" spans="18:23">
      <c r="R9895" s="97">
        <f t="shared" si="368"/>
        <v>0</v>
      </c>
      <c r="U9895" s="99" t="str">
        <f>IFERROR(IF(#REF!="S",VLOOKUP('Raw Data'!A9895,References!#REF!,2,FALSE),(VLOOKUP($S9895,References!$B$3:$C$8,2,FALSE))),"")</f>
        <v/>
      </c>
      <c r="W9895" s="66" t="str">
        <f>IFERROR(VLOOKUP($O9895,'Customer List'!$A$1:$J$488,10,FALSE),"")</f>
        <v/>
      </c>
    </row>
    <row r="9896" spans="18:23">
      <c r="R9896" s="97">
        <f t="shared" ref="R9896:R9959" si="369">L9896-K9896</f>
        <v>0</v>
      </c>
      <c r="U9896" s="99" t="str">
        <f>IFERROR(IF(#REF!="S",VLOOKUP('Raw Data'!A9896,References!#REF!,2,FALSE),(VLOOKUP($S9896,References!$B$3:$C$8,2,FALSE))),"")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69"/>
        <v>0</v>
      </c>
      <c r="U9897" s="99" t="str">
        <f>IFERROR(IF(#REF!="S",VLOOKUP('Raw Data'!A9897,References!#REF!,2,FALSE),(VLOOKUP($S9897,References!$B$3:$C$8,2,FALSE))),"")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69"/>
        <v>0</v>
      </c>
      <c r="U9898" s="99" t="str">
        <f>IFERROR(IF(#REF!="S",VLOOKUP('Raw Data'!A9898,References!#REF!,2,FALSE),(VLOOKUP($S9898,References!$B$3:$C$8,2,FALSE))),"")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69"/>
        <v>0</v>
      </c>
      <c r="U9899" s="99" t="str">
        <f>IFERROR(IF(#REF!="S",VLOOKUP('Raw Data'!A9899,References!#REF!,2,FALSE),(VLOOKUP($S9899,References!$B$3:$C$8,2,FALSE))),"")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69"/>
        <v>0</v>
      </c>
      <c r="U9900" s="99" t="str">
        <f>IFERROR(IF(#REF!="S",VLOOKUP('Raw Data'!A9900,References!#REF!,2,FALSE),(VLOOKUP($S9900,References!$B$3:$C$8,2,FALSE))),"")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69"/>
        <v>0</v>
      </c>
      <c r="U9901" s="99" t="str">
        <f>IFERROR(IF(#REF!="S",VLOOKUP('Raw Data'!A9901,References!#REF!,2,FALSE),(VLOOKUP($S9901,References!$B$3:$C$8,2,FALSE))),"")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69"/>
        <v>0</v>
      </c>
      <c r="U9902" s="99" t="str">
        <f>IFERROR(IF(#REF!="S",VLOOKUP('Raw Data'!A9902,References!#REF!,2,FALSE),(VLOOKUP($S9902,References!$B$3:$C$8,2,FALSE))),"")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69"/>
        <v>0</v>
      </c>
      <c r="U9903" s="99" t="str">
        <f>IFERROR(IF(#REF!="S",VLOOKUP('Raw Data'!A9903,References!#REF!,2,FALSE),(VLOOKUP($S9903,References!$B$3:$C$8,2,FALSE))),"")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69"/>
        <v>0</v>
      </c>
      <c r="U9904" s="99" t="str">
        <f>IFERROR(IF(#REF!="S",VLOOKUP('Raw Data'!A9904,References!#REF!,2,FALSE),(VLOOKUP($S9904,References!$B$3:$C$8,2,FALSE))),"")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69"/>
        <v>0</v>
      </c>
      <c r="U9905" s="99" t="str">
        <f>IFERROR(IF(#REF!="S",VLOOKUP('Raw Data'!A9905,References!#REF!,2,FALSE),(VLOOKUP($S9905,References!$B$3:$C$8,2,FALSE))),"")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69"/>
        <v>0</v>
      </c>
      <c r="U9906" s="99" t="str">
        <f>IFERROR(IF(#REF!="S",VLOOKUP('Raw Data'!A9906,References!#REF!,2,FALSE),(VLOOKUP($S9906,References!$B$3:$C$8,2,FALSE))),"")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69"/>
        <v>0</v>
      </c>
      <c r="U9907" s="99" t="str">
        <f>IFERROR(IF(#REF!="S",VLOOKUP('Raw Data'!A9907,References!#REF!,2,FALSE),(VLOOKUP($S9907,References!$B$3:$C$8,2,FALSE))),"")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69"/>
        <v>0</v>
      </c>
      <c r="U9908" s="99" t="str">
        <f>IFERROR(IF(#REF!="S",VLOOKUP('Raw Data'!A9908,References!#REF!,2,FALSE),(VLOOKUP($S9908,References!$B$3:$C$8,2,FALSE))),"")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69"/>
        <v>0</v>
      </c>
      <c r="U9909" s="99" t="str">
        <f>IFERROR(IF(#REF!="S",VLOOKUP('Raw Data'!A9909,References!#REF!,2,FALSE),(VLOOKUP($S9909,References!$B$3:$C$8,2,FALSE))),"")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69"/>
        <v>0</v>
      </c>
      <c r="U9910" s="99" t="str">
        <f>IFERROR(IF(#REF!="S",VLOOKUP('Raw Data'!A9910,References!#REF!,2,FALSE),(VLOOKUP($S9910,References!$B$3:$C$8,2,FALSE))),"")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69"/>
        <v>0</v>
      </c>
      <c r="U9911" s="99" t="str">
        <f>IFERROR(IF(#REF!="S",VLOOKUP('Raw Data'!A9911,References!#REF!,2,FALSE),(VLOOKUP($S9911,References!$B$3:$C$8,2,FALSE))),"")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69"/>
        <v>0</v>
      </c>
      <c r="U9912" s="99" t="str">
        <f>IFERROR(IF(#REF!="S",VLOOKUP('Raw Data'!A9912,References!#REF!,2,FALSE),(VLOOKUP($S9912,References!$B$3:$C$8,2,FALSE))),"")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69"/>
        <v>0</v>
      </c>
      <c r="U9913" s="99" t="str">
        <f>IFERROR(IF(#REF!="S",VLOOKUP('Raw Data'!A9913,References!#REF!,2,FALSE),(VLOOKUP($S9913,References!$B$3:$C$8,2,FALSE))),"")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69"/>
        <v>0</v>
      </c>
      <c r="U9914" s="99" t="str">
        <f>IFERROR(IF(#REF!="S",VLOOKUP('Raw Data'!A9914,References!#REF!,2,FALSE),(VLOOKUP($S9914,References!$B$3:$C$8,2,FALSE))),"")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69"/>
        <v>0</v>
      </c>
      <c r="U9915" s="99" t="str">
        <f>IFERROR(IF(#REF!="S",VLOOKUP('Raw Data'!A9915,References!#REF!,2,FALSE),(VLOOKUP($S9915,References!$B$3:$C$8,2,FALSE))),"")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69"/>
        <v>0</v>
      </c>
      <c r="U9916" s="99" t="str">
        <f>IFERROR(IF(#REF!="S",VLOOKUP('Raw Data'!A9916,References!#REF!,2,FALSE),(VLOOKUP($S9916,References!$B$3:$C$8,2,FALSE))),"")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69"/>
        <v>0</v>
      </c>
      <c r="U9917" s="99" t="str">
        <f>IFERROR(IF(#REF!="S",VLOOKUP('Raw Data'!A9917,References!#REF!,2,FALSE),(VLOOKUP($S9917,References!$B$3:$C$8,2,FALSE))),"")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69"/>
        <v>0</v>
      </c>
      <c r="U9918" s="99" t="str">
        <f>IFERROR(IF(#REF!="S",VLOOKUP('Raw Data'!A9918,References!#REF!,2,FALSE),(VLOOKUP($S9918,References!$B$3:$C$8,2,FALSE))),"")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69"/>
        <v>0</v>
      </c>
      <c r="U9919" s="99" t="str">
        <f>IFERROR(IF(#REF!="S",VLOOKUP('Raw Data'!A9919,References!#REF!,2,FALSE),(VLOOKUP($S9919,References!$B$3:$C$8,2,FALSE))),"")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69"/>
        <v>0</v>
      </c>
      <c r="U9920" s="99" t="str">
        <f>IFERROR(IF(#REF!="S",VLOOKUP('Raw Data'!A9920,References!#REF!,2,FALSE),(VLOOKUP($S9920,References!$B$3:$C$8,2,FALSE))),"")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69"/>
        <v>0</v>
      </c>
      <c r="U9921" s="99" t="str">
        <f>IFERROR(IF(#REF!="S",VLOOKUP('Raw Data'!A9921,References!#REF!,2,FALSE),(VLOOKUP($S9921,References!$B$3:$C$8,2,FALSE))),"")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69"/>
        <v>0</v>
      </c>
      <c r="U9922" s="99" t="str">
        <f>IFERROR(IF(#REF!="S",VLOOKUP('Raw Data'!A9922,References!#REF!,2,FALSE),(VLOOKUP($S9922,References!$B$3:$C$8,2,FALSE))),"")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69"/>
        <v>0</v>
      </c>
      <c r="U9923" s="99" t="str">
        <f>IFERROR(IF(#REF!="S",VLOOKUP('Raw Data'!A9923,References!#REF!,2,FALSE),(VLOOKUP($S9923,References!$B$3:$C$8,2,FALSE))),"")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69"/>
        <v>0</v>
      </c>
      <c r="U9924" s="99" t="str">
        <f>IFERROR(IF(#REF!="S",VLOOKUP('Raw Data'!A9924,References!#REF!,2,FALSE),(VLOOKUP($S9924,References!$B$3:$C$8,2,FALSE))),"")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69"/>
        <v>0</v>
      </c>
      <c r="U9925" s="99" t="str">
        <f>IFERROR(IF(#REF!="S",VLOOKUP('Raw Data'!A9925,References!#REF!,2,FALSE),(VLOOKUP($S9925,References!$B$3:$C$8,2,FALSE))),"")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69"/>
        <v>0</v>
      </c>
      <c r="U9926" s="99" t="str">
        <f>IFERROR(IF(#REF!="S",VLOOKUP('Raw Data'!A9926,References!#REF!,2,FALSE),(VLOOKUP($S9926,References!$B$3:$C$8,2,FALSE))),"")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69"/>
        <v>0</v>
      </c>
      <c r="U9927" s="99" t="str">
        <f>IFERROR(IF(#REF!="S",VLOOKUP('Raw Data'!A9927,References!#REF!,2,FALSE),(VLOOKUP($S9927,References!$B$3:$C$8,2,FALSE))),"")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69"/>
        <v>0</v>
      </c>
      <c r="U9928" s="99" t="str">
        <f>IFERROR(IF(#REF!="S",VLOOKUP('Raw Data'!A9928,References!#REF!,2,FALSE),(VLOOKUP($S9928,References!$B$3:$C$8,2,FALSE))),"")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69"/>
        <v>0</v>
      </c>
      <c r="U9929" s="99" t="str">
        <f>IFERROR(IF(#REF!="S",VLOOKUP('Raw Data'!A9929,References!#REF!,2,FALSE),(VLOOKUP($S9929,References!$B$3:$C$8,2,FALSE))),"")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69"/>
        <v>0</v>
      </c>
      <c r="U9930" s="99" t="str">
        <f>IFERROR(IF(#REF!="S",VLOOKUP('Raw Data'!A9930,References!#REF!,2,FALSE),(VLOOKUP($S9930,References!$B$3:$C$8,2,FALSE))),"")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69"/>
        <v>0</v>
      </c>
      <c r="U9931" s="99" t="str">
        <f>IFERROR(IF(#REF!="S",VLOOKUP('Raw Data'!A9931,References!#REF!,2,FALSE),(VLOOKUP($S9931,References!$B$3:$C$8,2,FALSE))),"")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69"/>
        <v>0</v>
      </c>
      <c r="U9932" s="99" t="str">
        <f>IFERROR(IF(#REF!="S",VLOOKUP('Raw Data'!A9932,References!#REF!,2,FALSE),(VLOOKUP($S9932,References!$B$3:$C$8,2,FALSE))),"")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69"/>
        <v>0</v>
      </c>
      <c r="U9933" s="99" t="str">
        <f>IFERROR(IF(#REF!="S",VLOOKUP('Raw Data'!A9933,References!#REF!,2,FALSE),(VLOOKUP($S9933,References!$B$3:$C$8,2,FALSE))),"")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69"/>
        <v>0</v>
      </c>
      <c r="U9934" s="99" t="str">
        <f>IFERROR(IF(#REF!="S",VLOOKUP('Raw Data'!A9934,References!#REF!,2,FALSE),(VLOOKUP($S9934,References!$B$3:$C$8,2,FALSE))),"")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69"/>
        <v>0</v>
      </c>
      <c r="U9935" s="99" t="str">
        <f>IFERROR(IF(#REF!="S",VLOOKUP('Raw Data'!A9935,References!#REF!,2,FALSE),(VLOOKUP($S9935,References!$B$3:$C$8,2,FALSE))),"")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69"/>
        <v>0</v>
      </c>
      <c r="U9936" s="99" t="str">
        <f>IFERROR(IF(#REF!="S",VLOOKUP('Raw Data'!A9936,References!#REF!,2,FALSE),(VLOOKUP($S9936,References!$B$3:$C$8,2,FALSE))),"")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69"/>
        <v>0</v>
      </c>
      <c r="U9937" s="99" t="str">
        <f>IFERROR(IF(#REF!="S",VLOOKUP('Raw Data'!A9937,References!#REF!,2,FALSE),(VLOOKUP($S9937,References!$B$3:$C$8,2,FALSE))),"")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69"/>
        <v>0</v>
      </c>
      <c r="U9938" s="99" t="str">
        <f>IFERROR(IF(#REF!="S",VLOOKUP('Raw Data'!A9938,References!#REF!,2,FALSE),(VLOOKUP($S9938,References!$B$3:$C$8,2,FALSE))),"")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69"/>
        <v>0</v>
      </c>
      <c r="U9939" s="99" t="str">
        <f>IFERROR(IF(#REF!="S",VLOOKUP('Raw Data'!A9939,References!#REF!,2,FALSE),(VLOOKUP($S9939,References!$B$3:$C$8,2,FALSE))),"")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69"/>
        <v>0</v>
      </c>
      <c r="U9940" s="99" t="str">
        <f>IFERROR(IF(#REF!="S",VLOOKUP('Raw Data'!A9940,References!#REF!,2,FALSE),(VLOOKUP($S9940,References!$B$3:$C$8,2,FALSE))),"")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69"/>
        <v>0</v>
      </c>
      <c r="U9941" s="99" t="str">
        <f>IFERROR(IF(#REF!="S",VLOOKUP('Raw Data'!A9941,References!#REF!,2,FALSE),(VLOOKUP($S9941,References!$B$3:$C$8,2,FALSE))),"")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69"/>
        <v>0</v>
      </c>
      <c r="U9942" s="99" t="str">
        <f>IFERROR(IF(#REF!="S",VLOOKUP('Raw Data'!A9942,References!#REF!,2,FALSE),(VLOOKUP($S9942,References!$B$3:$C$8,2,FALSE))),"")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69"/>
        <v>0</v>
      </c>
      <c r="U9943" s="99" t="str">
        <f>IFERROR(IF(#REF!="S",VLOOKUP('Raw Data'!A9943,References!#REF!,2,FALSE),(VLOOKUP($S9943,References!$B$3:$C$8,2,FALSE))),"")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69"/>
        <v>0</v>
      </c>
      <c r="U9944" s="99" t="str">
        <f>IFERROR(IF(#REF!="S",VLOOKUP('Raw Data'!A9944,References!#REF!,2,FALSE),(VLOOKUP($S9944,References!$B$3:$C$8,2,FALSE))),"")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69"/>
        <v>0</v>
      </c>
      <c r="U9945" s="99" t="str">
        <f>IFERROR(IF(#REF!="S",VLOOKUP('Raw Data'!A9945,References!#REF!,2,FALSE),(VLOOKUP($S9945,References!$B$3:$C$8,2,FALSE))),"")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69"/>
        <v>0</v>
      </c>
      <c r="U9946" s="99" t="str">
        <f>IFERROR(IF(#REF!="S",VLOOKUP('Raw Data'!A9946,References!#REF!,2,FALSE),(VLOOKUP($S9946,References!$B$3:$C$8,2,FALSE))),"")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69"/>
        <v>0</v>
      </c>
      <c r="U9947" s="99" t="str">
        <f>IFERROR(IF(#REF!="S",VLOOKUP('Raw Data'!A9947,References!#REF!,2,FALSE),(VLOOKUP($S9947,References!$B$3:$C$8,2,FALSE))),"")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69"/>
        <v>0</v>
      </c>
      <c r="U9948" s="99" t="str">
        <f>IFERROR(IF(#REF!="S",VLOOKUP('Raw Data'!A9948,References!#REF!,2,FALSE),(VLOOKUP($S9948,References!$B$3:$C$8,2,FALSE))),"")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69"/>
        <v>0</v>
      </c>
      <c r="U9949" s="99" t="str">
        <f>IFERROR(IF(#REF!="S",VLOOKUP('Raw Data'!A9949,References!#REF!,2,FALSE),(VLOOKUP($S9949,References!$B$3:$C$8,2,FALSE))),"")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69"/>
        <v>0</v>
      </c>
      <c r="U9950" s="99" t="str">
        <f>IFERROR(IF(#REF!="S",VLOOKUP('Raw Data'!A9950,References!#REF!,2,FALSE),(VLOOKUP($S9950,References!$B$3:$C$8,2,FALSE))),"")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69"/>
        <v>0</v>
      </c>
      <c r="U9951" s="99" t="str">
        <f>IFERROR(IF(#REF!="S",VLOOKUP('Raw Data'!A9951,References!#REF!,2,FALSE),(VLOOKUP($S9951,References!$B$3:$C$8,2,FALSE))),"")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69"/>
        <v>0</v>
      </c>
      <c r="U9952" s="99" t="str">
        <f>IFERROR(IF(#REF!="S",VLOOKUP('Raw Data'!A9952,References!#REF!,2,FALSE),(VLOOKUP($S9952,References!$B$3:$C$8,2,FALSE))),"")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69"/>
        <v>0</v>
      </c>
      <c r="U9953" s="99" t="str">
        <f>IFERROR(IF(#REF!="S",VLOOKUP('Raw Data'!A9953,References!#REF!,2,FALSE),(VLOOKUP($S9953,References!$B$3:$C$8,2,FALSE))),"")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69"/>
        <v>0</v>
      </c>
      <c r="U9954" s="99" t="str">
        <f>IFERROR(IF(#REF!="S",VLOOKUP('Raw Data'!A9954,References!#REF!,2,FALSE),(VLOOKUP($S9954,References!$B$3:$C$8,2,FALSE))),"")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69"/>
        <v>0</v>
      </c>
      <c r="U9955" s="99" t="str">
        <f>IFERROR(IF(#REF!="S",VLOOKUP('Raw Data'!A9955,References!#REF!,2,FALSE),(VLOOKUP($S9955,References!$B$3:$C$8,2,FALSE))),"")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69"/>
        <v>0</v>
      </c>
      <c r="U9956" s="99" t="str">
        <f>IFERROR(IF(#REF!="S",VLOOKUP('Raw Data'!A9956,References!#REF!,2,FALSE),(VLOOKUP($S9956,References!$B$3:$C$8,2,FALSE))),"")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69"/>
        <v>0</v>
      </c>
      <c r="U9957" s="99" t="str">
        <f>IFERROR(IF(#REF!="S",VLOOKUP('Raw Data'!A9957,References!#REF!,2,FALSE),(VLOOKUP($S9957,References!$B$3:$C$8,2,FALSE))),"")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69"/>
        <v>0</v>
      </c>
      <c r="U9958" s="99" t="str">
        <f>IFERROR(IF(#REF!="S",VLOOKUP('Raw Data'!A9958,References!#REF!,2,FALSE),(VLOOKUP($S9958,References!$B$3:$C$8,2,FALSE))),"")</f>
        <v/>
      </c>
      <c r="W9958" s="66" t="str">
        <f>IFERROR(VLOOKUP($O9958,'Customer List'!$A$1:$J$488,10,FALSE),"")</f>
        <v/>
      </c>
    </row>
    <row r="9959" spans="18:23">
      <c r="R9959" s="97">
        <f t="shared" si="369"/>
        <v>0</v>
      </c>
      <c r="U9959" s="99" t="str">
        <f>IFERROR(IF(#REF!="S",VLOOKUP('Raw Data'!A9959,References!#REF!,2,FALSE),(VLOOKUP($S9959,References!$B$3:$C$8,2,FALSE))),"")</f>
        <v/>
      </c>
      <c r="W9959" s="66" t="str">
        <f>IFERROR(VLOOKUP($O9959,'Customer List'!$A$1:$J$488,10,FALSE),"")</f>
        <v/>
      </c>
    </row>
    <row r="9960" spans="18:23">
      <c r="R9960" s="97">
        <f t="shared" ref="R9960:R10023" si="370">L9960-K9960</f>
        <v>0</v>
      </c>
      <c r="U9960" s="99" t="str">
        <f>IFERROR(IF(#REF!="S",VLOOKUP('Raw Data'!A9960,References!#REF!,2,FALSE),(VLOOKUP($S9960,References!$B$3:$C$8,2,FALSE))),"")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0"/>
        <v>0</v>
      </c>
      <c r="U9961" s="99" t="str">
        <f>IFERROR(IF(#REF!="S",VLOOKUP('Raw Data'!A9961,References!#REF!,2,FALSE),(VLOOKUP($S9961,References!$B$3:$C$8,2,FALSE))),"")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0"/>
        <v>0</v>
      </c>
      <c r="U9962" s="99" t="str">
        <f>IFERROR(IF(#REF!="S",VLOOKUP('Raw Data'!A9962,References!#REF!,2,FALSE),(VLOOKUP($S9962,References!$B$3:$C$8,2,FALSE))),"")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0"/>
        <v>0</v>
      </c>
      <c r="U9963" s="99" t="str">
        <f>IFERROR(IF(#REF!="S",VLOOKUP('Raw Data'!A9963,References!#REF!,2,FALSE),(VLOOKUP($S9963,References!$B$3:$C$8,2,FALSE))),"")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0"/>
        <v>0</v>
      </c>
      <c r="U9964" s="99" t="str">
        <f>IFERROR(IF(#REF!="S",VLOOKUP('Raw Data'!A9964,References!#REF!,2,FALSE),(VLOOKUP($S9964,References!$B$3:$C$8,2,FALSE))),"")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0"/>
        <v>0</v>
      </c>
      <c r="U9965" s="99" t="str">
        <f>IFERROR(IF(#REF!="S",VLOOKUP('Raw Data'!A9965,References!#REF!,2,FALSE),(VLOOKUP($S9965,References!$B$3:$C$8,2,FALSE))),"")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0"/>
        <v>0</v>
      </c>
      <c r="U9966" s="99" t="str">
        <f>IFERROR(IF(#REF!="S",VLOOKUP('Raw Data'!A9966,References!#REF!,2,FALSE),(VLOOKUP($S9966,References!$B$3:$C$8,2,FALSE))),"")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0"/>
        <v>0</v>
      </c>
      <c r="U9967" s="99" t="str">
        <f>IFERROR(IF(#REF!="S",VLOOKUP('Raw Data'!A9967,References!#REF!,2,FALSE),(VLOOKUP($S9967,References!$B$3:$C$8,2,FALSE))),"")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0"/>
        <v>0</v>
      </c>
      <c r="U9968" s="99" t="str">
        <f>IFERROR(IF(#REF!="S",VLOOKUP('Raw Data'!A9968,References!#REF!,2,FALSE),(VLOOKUP($S9968,References!$B$3:$C$8,2,FALSE))),"")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0"/>
        <v>0</v>
      </c>
      <c r="U9969" s="99" t="str">
        <f>IFERROR(IF(#REF!="S",VLOOKUP('Raw Data'!A9969,References!#REF!,2,FALSE),(VLOOKUP($S9969,References!$B$3:$C$8,2,FALSE))),"")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0"/>
        <v>0</v>
      </c>
      <c r="U9970" s="99" t="str">
        <f>IFERROR(IF(#REF!="S",VLOOKUP('Raw Data'!A9970,References!#REF!,2,FALSE),(VLOOKUP($S9970,References!$B$3:$C$8,2,FALSE))),"")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0"/>
        <v>0</v>
      </c>
      <c r="U9971" s="99" t="str">
        <f>IFERROR(IF(#REF!="S",VLOOKUP('Raw Data'!A9971,References!#REF!,2,FALSE),(VLOOKUP($S9971,References!$B$3:$C$8,2,FALSE))),"")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0"/>
        <v>0</v>
      </c>
      <c r="U9972" s="99" t="str">
        <f>IFERROR(IF(#REF!="S",VLOOKUP('Raw Data'!A9972,References!#REF!,2,FALSE),(VLOOKUP($S9972,References!$B$3:$C$8,2,FALSE))),"")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0"/>
        <v>0</v>
      </c>
      <c r="U9973" s="99" t="str">
        <f>IFERROR(IF(#REF!="S",VLOOKUP('Raw Data'!A9973,References!#REF!,2,FALSE),(VLOOKUP($S9973,References!$B$3:$C$8,2,FALSE))),"")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0"/>
        <v>0</v>
      </c>
      <c r="U9974" s="99" t="str">
        <f>IFERROR(IF(#REF!="S",VLOOKUP('Raw Data'!A9974,References!#REF!,2,FALSE),(VLOOKUP($S9974,References!$B$3:$C$8,2,FALSE))),"")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0"/>
        <v>0</v>
      </c>
      <c r="U9975" s="99" t="str">
        <f>IFERROR(IF(#REF!="S",VLOOKUP('Raw Data'!A9975,References!#REF!,2,FALSE),(VLOOKUP($S9975,References!$B$3:$C$8,2,FALSE))),"")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0"/>
        <v>0</v>
      </c>
      <c r="U9976" s="99" t="str">
        <f>IFERROR(IF(#REF!="S",VLOOKUP('Raw Data'!A9976,References!#REF!,2,FALSE),(VLOOKUP($S9976,References!$B$3:$C$8,2,FALSE))),"")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0"/>
        <v>0</v>
      </c>
      <c r="U9977" s="99" t="str">
        <f>IFERROR(IF(#REF!="S",VLOOKUP('Raw Data'!A9977,References!#REF!,2,FALSE),(VLOOKUP($S9977,References!$B$3:$C$8,2,FALSE))),"")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0"/>
        <v>0</v>
      </c>
      <c r="U9978" s="99" t="str">
        <f>IFERROR(IF(#REF!="S",VLOOKUP('Raw Data'!A9978,References!#REF!,2,FALSE),(VLOOKUP($S9978,References!$B$3:$C$8,2,FALSE))),"")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0"/>
        <v>0</v>
      </c>
      <c r="U9979" s="99" t="str">
        <f>IFERROR(IF(#REF!="S",VLOOKUP('Raw Data'!A9979,References!#REF!,2,FALSE),(VLOOKUP($S9979,References!$B$3:$C$8,2,FALSE))),"")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0"/>
        <v>0</v>
      </c>
      <c r="U9980" s="99" t="str">
        <f>IFERROR(IF(#REF!="S",VLOOKUP('Raw Data'!A9980,References!#REF!,2,FALSE),(VLOOKUP($S9980,References!$B$3:$C$8,2,FALSE))),"")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0"/>
        <v>0</v>
      </c>
      <c r="U9981" s="99" t="str">
        <f>IFERROR(IF(#REF!="S",VLOOKUP('Raw Data'!A9981,References!#REF!,2,FALSE),(VLOOKUP($S9981,References!$B$3:$C$8,2,FALSE))),"")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0"/>
        <v>0</v>
      </c>
      <c r="U9982" s="99" t="str">
        <f>IFERROR(IF(#REF!="S",VLOOKUP('Raw Data'!A9982,References!#REF!,2,FALSE),(VLOOKUP($S9982,References!$B$3:$C$8,2,FALSE))),"")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0"/>
        <v>0</v>
      </c>
      <c r="U9983" s="99" t="str">
        <f>IFERROR(IF(#REF!="S",VLOOKUP('Raw Data'!A9983,References!#REF!,2,FALSE),(VLOOKUP($S9983,References!$B$3:$C$8,2,FALSE))),"")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0"/>
        <v>0</v>
      </c>
      <c r="U9984" s="99" t="str">
        <f>IFERROR(IF(#REF!="S",VLOOKUP('Raw Data'!A9984,References!#REF!,2,FALSE),(VLOOKUP($S9984,References!$B$3:$C$8,2,FALSE))),"")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0"/>
        <v>0</v>
      </c>
      <c r="U9985" s="99" t="str">
        <f>IFERROR(IF(#REF!="S",VLOOKUP('Raw Data'!A9985,References!#REF!,2,FALSE),(VLOOKUP($S9985,References!$B$3:$C$8,2,FALSE))),"")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0"/>
        <v>0</v>
      </c>
      <c r="U9986" s="99" t="str">
        <f>IFERROR(IF(#REF!="S",VLOOKUP('Raw Data'!A9986,References!#REF!,2,FALSE),(VLOOKUP($S9986,References!$B$3:$C$8,2,FALSE))),"")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0"/>
        <v>0</v>
      </c>
      <c r="U9987" s="99" t="str">
        <f>IFERROR(IF(#REF!="S",VLOOKUP('Raw Data'!A9987,References!#REF!,2,FALSE),(VLOOKUP($S9987,References!$B$3:$C$8,2,FALSE))),"")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0"/>
        <v>0</v>
      </c>
      <c r="U9988" s="99" t="str">
        <f>IFERROR(IF(#REF!="S",VLOOKUP('Raw Data'!A9988,References!#REF!,2,FALSE),(VLOOKUP($S9988,References!$B$3:$C$8,2,FALSE))),"")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0"/>
        <v>0</v>
      </c>
      <c r="U9989" s="99" t="str">
        <f>IFERROR(IF(#REF!="S",VLOOKUP('Raw Data'!A9989,References!#REF!,2,FALSE),(VLOOKUP($S9989,References!$B$3:$C$8,2,FALSE))),"")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0"/>
        <v>0</v>
      </c>
      <c r="U9990" s="99" t="str">
        <f>IFERROR(IF(#REF!="S",VLOOKUP('Raw Data'!A9990,References!#REF!,2,FALSE),(VLOOKUP($S9990,References!$B$3:$C$8,2,FALSE))),"")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0"/>
        <v>0</v>
      </c>
      <c r="U9991" s="99" t="str">
        <f>IFERROR(IF(#REF!="S",VLOOKUP('Raw Data'!A9991,References!#REF!,2,FALSE),(VLOOKUP($S9991,References!$B$3:$C$8,2,FALSE))),"")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0"/>
        <v>0</v>
      </c>
      <c r="U9992" s="99" t="str">
        <f>IFERROR(IF(#REF!="S",VLOOKUP('Raw Data'!A9992,References!#REF!,2,FALSE),(VLOOKUP($S9992,References!$B$3:$C$8,2,FALSE))),"")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0"/>
        <v>0</v>
      </c>
      <c r="U9993" s="99" t="str">
        <f>IFERROR(IF(#REF!="S",VLOOKUP('Raw Data'!A9993,References!#REF!,2,FALSE),(VLOOKUP($S9993,References!$B$3:$C$8,2,FALSE))),"")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0"/>
        <v>0</v>
      </c>
      <c r="U9994" s="99" t="str">
        <f>IFERROR(IF(#REF!="S",VLOOKUP('Raw Data'!A9994,References!#REF!,2,FALSE),(VLOOKUP($S9994,References!$B$3:$C$8,2,FALSE))),"")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0"/>
        <v>0</v>
      </c>
      <c r="U9995" s="99" t="str">
        <f>IFERROR(IF(#REF!="S",VLOOKUP('Raw Data'!A9995,References!#REF!,2,FALSE),(VLOOKUP($S9995,References!$B$3:$C$8,2,FALSE))),"")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0"/>
        <v>0</v>
      </c>
      <c r="U9996" s="99" t="str">
        <f>IFERROR(IF(#REF!="S",VLOOKUP('Raw Data'!A9996,References!#REF!,2,FALSE),(VLOOKUP($S9996,References!$B$3:$C$8,2,FALSE))),"")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0"/>
        <v>0</v>
      </c>
      <c r="U9997" s="99" t="str">
        <f>IFERROR(IF(#REF!="S",VLOOKUP('Raw Data'!A9997,References!#REF!,2,FALSE),(VLOOKUP($S9997,References!$B$3:$C$8,2,FALSE))),"")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0"/>
        <v>0</v>
      </c>
      <c r="U9998" s="99" t="str">
        <f>IFERROR(IF(#REF!="S",VLOOKUP('Raw Data'!A9998,References!#REF!,2,FALSE),(VLOOKUP($S9998,References!$B$3:$C$8,2,FALSE))),"")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0"/>
        <v>0</v>
      </c>
      <c r="U9999" s="99" t="str">
        <f>IFERROR(IF(#REF!="S",VLOOKUP('Raw Data'!A9999,References!#REF!,2,FALSE),(VLOOKUP($S9999,References!$B$3:$C$8,2,FALSE))),"")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0"/>
        <v>0</v>
      </c>
      <c r="U10000" s="99" t="str">
        <f>IFERROR(IF(#REF!="S",VLOOKUP('Raw Data'!A10000,References!#REF!,2,FALSE),(VLOOKUP($S10000,References!$B$3:$C$8,2,FALSE))),"")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0"/>
        <v>0</v>
      </c>
      <c r="U10001" s="99" t="str">
        <f>IFERROR(IF(#REF!="S",VLOOKUP('Raw Data'!A10001,References!#REF!,2,FALSE),(VLOOKUP($S10001,References!$B$3:$C$8,2,FALSE))),"")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0"/>
        <v>0</v>
      </c>
      <c r="U10002" s="99" t="str">
        <f>IFERROR(IF(#REF!="S",VLOOKUP('Raw Data'!A10002,References!#REF!,2,FALSE),(VLOOKUP($S10002,References!$B$3:$C$8,2,FALSE))),"")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0"/>
        <v>0</v>
      </c>
      <c r="U10003" s="99" t="str">
        <f>IFERROR(IF(#REF!="S",VLOOKUP('Raw Data'!A10003,References!#REF!,2,FALSE),(VLOOKUP($S10003,References!$B$3:$C$8,2,FALSE))),"")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0"/>
        <v>0</v>
      </c>
      <c r="U10004" s="99" t="str">
        <f>IFERROR(IF(#REF!="S",VLOOKUP('Raw Data'!A10004,References!#REF!,2,FALSE),(VLOOKUP($S10004,References!$B$3:$C$8,2,FALSE))),"")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0"/>
        <v>0</v>
      </c>
      <c r="U10005" s="99" t="str">
        <f>IFERROR(IF(#REF!="S",VLOOKUP('Raw Data'!A10005,References!#REF!,2,FALSE),(VLOOKUP($S10005,References!$B$3:$C$8,2,FALSE))),"")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0"/>
        <v>0</v>
      </c>
      <c r="U10006" s="99" t="str">
        <f>IFERROR(IF(#REF!="S",VLOOKUP('Raw Data'!A10006,References!#REF!,2,FALSE),(VLOOKUP($S10006,References!$B$3:$C$8,2,FALSE))),"")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0"/>
        <v>0</v>
      </c>
      <c r="U10007" s="99" t="str">
        <f>IFERROR(IF(#REF!="S",VLOOKUP('Raw Data'!A10007,References!#REF!,2,FALSE),(VLOOKUP($S10007,References!$B$3:$C$8,2,FALSE))),"")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0"/>
        <v>0</v>
      </c>
      <c r="U10008" s="99" t="str">
        <f>IFERROR(IF(#REF!="S",VLOOKUP('Raw Data'!A10008,References!#REF!,2,FALSE),(VLOOKUP($S10008,References!$B$3:$C$8,2,FALSE))),"")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0"/>
        <v>0</v>
      </c>
      <c r="U10009" s="99" t="str">
        <f>IFERROR(IF(#REF!="S",VLOOKUP('Raw Data'!A10009,References!#REF!,2,FALSE),(VLOOKUP($S10009,References!$B$3:$C$8,2,FALSE))),"")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0"/>
        <v>0</v>
      </c>
      <c r="U10010" s="99" t="str">
        <f>IFERROR(IF(#REF!="S",VLOOKUP('Raw Data'!A10010,References!#REF!,2,FALSE),(VLOOKUP($S10010,References!$B$3:$C$8,2,FALSE))),"")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0"/>
        <v>0</v>
      </c>
      <c r="U10011" s="99" t="str">
        <f>IFERROR(IF(#REF!="S",VLOOKUP('Raw Data'!A10011,References!#REF!,2,FALSE),(VLOOKUP($S10011,References!$B$3:$C$8,2,FALSE))),"")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0"/>
        <v>0</v>
      </c>
      <c r="U10012" s="99" t="str">
        <f>IFERROR(IF(#REF!="S",VLOOKUP('Raw Data'!A10012,References!#REF!,2,FALSE),(VLOOKUP($S10012,References!$B$3:$C$8,2,FALSE))),"")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0"/>
        <v>0</v>
      </c>
      <c r="U10013" s="99" t="str">
        <f>IFERROR(IF(#REF!="S",VLOOKUP('Raw Data'!A10013,References!#REF!,2,FALSE),(VLOOKUP($S10013,References!$B$3:$C$8,2,FALSE))),"")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0"/>
        <v>0</v>
      </c>
      <c r="U10014" s="99" t="str">
        <f>IFERROR(IF(#REF!="S",VLOOKUP('Raw Data'!A10014,References!#REF!,2,FALSE),(VLOOKUP($S10014,References!$B$3:$C$8,2,FALSE))),"")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0"/>
        <v>0</v>
      </c>
      <c r="U10015" s="99" t="str">
        <f>IFERROR(IF(#REF!="S",VLOOKUP('Raw Data'!A10015,References!#REF!,2,FALSE),(VLOOKUP($S10015,References!$B$3:$C$8,2,FALSE))),"")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0"/>
        <v>0</v>
      </c>
      <c r="U10016" s="99" t="str">
        <f>IFERROR(IF(#REF!="S",VLOOKUP('Raw Data'!A10016,References!#REF!,2,FALSE),(VLOOKUP($S10016,References!$B$3:$C$8,2,FALSE))),"")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0"/>
        <v>0</v>
      </c>
      <c r="U10017" s="99" t="str">
        <f>IFERROR(IF(#REF!="S",VLOOKUP('Raw Data'!A10017,References!#REF!,2,FALSE),(VLOOKUP($S10017,References!$B$3:$C$8,2,FALSE))),"")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0"/>
        <v>0</v>
      </c>
      <c r="U10018" s="99" t="str">
        <f>IFERROR(IF(#REF!="S",VLOOKUP('Raw Data'!A10018,References!#REF!,2,FALSE),(VLOOKUP($S10018,References!$B$3:$C$8,2,FALSE))),"")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0"/>
        <v>0</v>
      </c>
      <c r="U10019" s="99" t="str">
        <f>IFERROR(IF(#REF!="S",VLOOKUP('Raw Data'!A10019,References!#REF!,2,FALSE),(VLOOKUP($S10019,References!$B$3:$C$8,2,FALSE))),"")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0"/>
        <v>0</v>
      </c>
      <c r="U10020" s="99" t="str">
        <f>IFERROR(IF(#REF!="S",VLOOKUP('Raw Data'!A10020,References!#REF!,2,FALSE),(VLOOKUP($S10020,References!$B$3:$C$8,2,FALSE))),"")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0"/>
        <v>0</v>
      </c>
      <c r="U10021" s="99" t="str">
        <f>IFERROR(IF(#REF!="S",VLOOKUP('Raw Data'!A10021,References!#REF!,2,FALSE),(VLOOKUP($S10021,References!$B$3:$C$8,2,FALSE))),"")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0"/>
        <v>0</v>
      </c>
      <c r="U10022" s="99" t="str">
        <f>IFERROR(IF(#REF!="S",VLOOKUP('Raw Data'!A10022,References!#REF!,2,FALSE),(VLOOKUP($S10022,References!$B$3:$C$8,2,FALSE))),"")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si="370"/>
        <v>0</v>
      </c>
      <c r="U10023" s="99" t="str">
        <f>IFERROR(IF(#REF!="S",VLOOKUP('Raw Data'!A10023,References!#REF!,2,FALSE),(VLOOKUP($S10023,References!$B$3:$C$8,2,FALSE))),"")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ref="R10024:R10087" si="371">L10024-K10024</f>
        <v>0</v>
      </c>
      <c r="U10024" s="99" t="str">
        <f>IFERROR(IF(#REF!="S",VLOOKUP('Raw Data'!A10024,References!#REF!,2,FALSE),(VLOOKUP($S10024,References!$B$3:$C$8,2,FALSE))),"")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1"/>
        <v>0</v>
      </c>
      <c r="U10025" s="99" t="str">
        <f>IFERROR(IF(#REF!="S",VLOOKUP('Raw Data'!A10025,References!#REF!,2,FALSE),(VLOOKUP($S10025,References!$B$3:$C$8,2,FALSE))),"")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1"/>
        <v>0</v>
      </c>
      <c r="U10026" s="99" t="str">
        <f>IFERROR(IF(#REF!="S",VLOOKUP('Raw Data'!A10026,References!#REF!,2,FALSE),(VLOOKUP($S10026,References!$B$3:$C$8,2,FALSE))),"")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1"/>
        <v>0</v>
      </c>
      <c r="U10027" s="99" t="str">
        <f>IFERROR(IF(#REF!="S",VLOOKUP('Raw Data'!A10027,References!#REF!,2,FALSE),(VLOOKUP($S10027,References!$B$3:$C$8,2,FALSE))),"")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1"/>
        <v>0</v>
      </c>
      <c r="U10028" s="99" t="str">
        <f>IFERROR(IF(#REF!="S",VLOOKUP('Raw Data'!A10028,References!#REF!,2,FALSE),(VLOOKUP($S10028,References!$B$3:$C$8,2,FALSE))),"")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1"/>
        <v>0</v>
      </c>
      <c r="U10029" s="99" t="str">
        <f>IFERROR(IF(#REF!="S",VLOOKUP('Raw Data'!A10029,References!#REF!,2,FALSE),(VLOOKUP($S10029,References!$B$3:$C$8,2,FALSE))),"")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1"/>
        <v>0</v>
      </c>
      <c r="U10030" s="99" t="str">
        <f>IFERROR(IF(#REF!="S",VLOOKUP('Raw Data'!A10030,References!#REF!,2,FALSE),(VLOOKUP($S10030,References!$B$3:$C$8,2,FALSE))),"")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1"/>
        <v>0</v>
      </c>
      <c r="U10031" s="99" t="str">
        <f>IFERROR(IF(#REF!="S",VLOOKUP('Raw Data'!A10031,References!#REF!,2,FALSE),(VLOOKUP($S10031,References!$B$3:$C$8,2,FALSE))),"")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1"/>
        <v>0</v>
      </c>
      <c r="U10032" s="99" t="str">
        <f>IFERROR(IF(#REF!="S",VLOOKUP('Raw Data'!A10032,References!#REF!,2,FALSE),(VLOOKUP($S10032,References!$B$3:$C$8,2,FALSE))),"")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1"/>
        <v>0</v>
      </c>
      <c r="U10033" s="99" t="str">
        <f>IFERROR(IF(#REF!="S",VLOOKUP('Raw Data'!A10033,References!#REF!,2,FALSE),(VLOOKUP($S10033,References!$B$3:$C$8,2,FALSE))),"")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1"/>
        <v>0</v>
      </c>
      <c r="U10034" s="99" t="str">
        <f>IFERROR(IF(#REF!="S",VLOOKUP('Raw Data'!A10034,References!#REF!,2,FALSE),(VLOOKUP($S10034,References!$B$3:$C$8,2,FALSE))),"")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1"/>
        <v>0</v>
      </c>
      <c r="U10035" s="99" t="str">
        <f>IFERROR(IF(#REF!="S",VLOOKUP('Raw Data'!A10035,References!#REF!,2,FALSE),(VLOOKUP($S10035,References!$B$3:$C$8,2,FALSE))),"")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1"/>
        <v>0</v>
      </c>
      <c r="U10036" s="99" t="str">
        <f>IFERROR(IF(#REF!="S",VLOOKUP('Raw Data'!A10036,References!#REF!,2,FALSE),(VLOOKUP($S10036,References!$B$3:$C$8,2,FALSE))),"")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1"/>
        <v>0</v>
      </c>
      <c r="U10037" s="99" t="str">
        <f>IFERROR(IF(#REF!="S",VLOOKUP('Raw Data'!A10037,References!#REF!,2,FALSE),(VLOOKUP($S10037,References!$B$3:$C$8,2,FALSE))),"")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1"/>
        <v>0</v>
      </c>
      <c r="U10038" s="99" t="str">
        <f>IFERROR(IF(#REF!="S",VLOOKUP('Raw Data'!A10038,References!#REF!,2,FALSE),(VLOOKUP($S10038,References!$B$3:$C$8,2,FALSE))),"")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1"/>
        <v>0</v>
      </c>
      <c r="U10039" s="99" t="str">
        <f>IFERROR(IF(#REF!="S",VLOOKUP('Raw Data'!A10039,References!#REF!,2,FALSE),(VLOOKUP($S10039,References!$B$3:$C$8,2,FALSE))),"")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1"/>
        <v>0</v>
      </c>
      <c r="U10040" s="99" t="str">
        <f>IFERROR(IF(#REF!="S",VLOOKUP('Raw Data'!A10040,References!#REF!,2,FALSE),(VLOOKUP($S10040,References!$B$3:$C$8,2,FALSE))),"")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1"/>
        <v>0</v>
      </c>
      <c r="U10041" s="99" t="str">
        <f>IFERROR(IF(#REF!="S",VLOOKUP('Raw Data'!A10041,References!#REF!,2,FALSE),(VLOOKUP($S10041,References!$B$3:$C$8,2,FALSE))),"")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1"/>
        <v>0</v>
      </c>
      <c r="U10042" s="99" t="str">
        <f>IFERROR(IF(#REF!="S",VLOOKUP('Raw Data'!A10042,References!#REF!,2,FALSE),(VLOOKUP($S10042,References!$B$3:$C$8,2,FALSE))),"")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1"/>
        <v>0</v>
      </c>
      <c r="U10043" s="99" t="str">
        <f>IFERROR(IF(#REF!="S",VLOOKUP('Raw Data'!A10043,References!#REF!,2,FALSE),(VLOOKUP($S10043,References!$B$3:$C$8,2,FALSE))),"")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1"/>
        <v>0</v>
      </c>
      <c r="U10044" s="99" t="str">
        <f>IFERROR(IF(#REF!="S",VLOOKUP('Raw Data'!A10044,References!#REF!,2,FALSE),(VLOOKUP($S10044,References!$B$3:$C$8,2,FALSE))),"")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1"/>
        <v>0</v>
      </c>
      <c r="U10045" s="99" t="str">
        <f>IFERROR(IF(#REF!="S",VLOOKUP('Raw Data'!A10045,References!#REF!,2,FALSE),(VLOOKUP($S10045,References!$B$3:$C$8,2,FALSE))),"")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1"/>
        <v>0</v>
      </c>
      <c r="U10046" s="99" t="str">
        <f>IFERROR(IF(#REF!="S",VLOOKUP('Raw Data'!A10046,References!#REF!,2,FALSE),(VLOOKUP($S10046,References!$B$3:$C$8,2,FALSE))),"")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1"/>
        <v>0</v>
      </c>
      <c r="U10047" s="99" t="str">
        <f>IFERROR(IF(#REF!="S",VLOOKUP('Raw Data'!A10047,References!#REF!,2,FALSE),(VLOOKUP($S10047,References!$B$3:$C$8,2,FALSE))),"")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1"/>
        <v>0</v>
      </c>
      <c r="U10048" s="99" t="str">
        <f>IFERROR(IF(#REF!="S",VLOOKUP('Raw Data'!A10048,References!#REF!,2,FALSE),(VLOOKUP($S10048,References!$B$3:$C$8,2,FALSE))),"")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1"/>
        <v>0</v>
      </c>
      <c r="U10049" s="99" t="str">
        <f>IFERROR(IF(#REF!="S",VLOOKUP('Raw Data'!A10049,References!#REF!,2,FALSE),(VLOOKUP($S10049,References!$B$3:$C$8,2,FALSE))),"")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1"/>
        <v>0</v>
      </c>
      <c r="U10050" s="99" t="str">
        <f>IFERROR(IF(#REF!="S",VLOOKUP('Raw Data'!A10050,References!#REF!,2,FALSE),(VLOOKUP($S10050,References!$B$3:$C$8,2,FALSE))),"")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1"/>
        <v>0</v>
      </c>
      <c r="U10051" s="99" t="str">
        <f>IFERROR(IF(#REF!="S",VLOOKUP('Raw Data'!A10051,References!#REF!,2,FALSE),(VLOOKUP($S10051,References!$B$3:$C$8,2,FALSE))),"")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1"/>
        <v>0</v>
      </c>
      <c r="U10052" s="99" t="str">
        <f>IFERROR(IF(#REF!="S",VLOOKUP('Raw Data'!A10052,References!#REF!,2,FALSE),(VLOOKUP($S10052,References!$B$3:$C$8,2,FALSE))),"")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1"/>
        <v>0</v>
      </c>
      <c r="U10053" s="99" t="str">
        <f>IFERROR(IF(#REF!="S",VLOOKUP('Raw Data'!A10053,References!#REF!,2,FALSE),(VLOOKUP($S10053,References!$B$3:$C$8,2,FALSE))),"")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1"/>
        <v>0</v>
      </c>
      <c r="U10054" s="99" t="str">
        <f>IFERROR(IF(#REF!="S",VLOOKUP('Raw Data'!A10054,References!#REF!,2,FALSE),(VLOOKUP($S10054,References!$B$3:$C$8,2,FALSE))),"")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1"/>
        <v>0</v>
      </c>
      <c r="U10055" s="99" t="str">
        <f>IFERROR(IF(#REF!="S",VLOOKUP('Raw Data'!A10055,References!#REF!,2,FALSE),(VLOOKUP($S10055,References!$B$3:$C$8,2,FALSE))),"")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1"/>
        <v>0</v>
      </c>
      <c r="U10056" s="99" t="str">
        <f>IFERROR(IF(#REF!="S",VLOOKUP('Raw Data'!A10056,References!#REF!,2,FALSE),(VLOOKUP($S10056,References!$B$3:$C$8,2,FALSE))),"")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1"/>
        <v>0</v>
      </c>
      <c r="U10057" s="99" t="str">
        <f>IFERROR(IF(#REF!="S",VLOOKUP('Raw Data'!A10057,References!#REF!,2,FALSE),(VLOOKUP($S10057,References!$B$3:$C$8,2,FALSE))),"")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1"/>
        <v>0</v>
      </c>
      <c r="U10058" s="99" t="str">
        <f>IFERROR(IF(#REF!="S",VLOOKUP('Raw Data'!A10058,References!#REF!,2,FALSE),(VLOOKUP($S10058,References!$B$3:$C$8,2,FALSE))),"")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1"/>
        <v>0</v>
      </c>
      <c r="U10059" s="99" t="str">
        <f>IFERROR(IF(#REF!="S",VLOOKUP('Raw Data'!A10059,References!#REF!,2,FALSE),(VLOOKUP($S10059,References!$B$3:$C$8,2,FALSE))),"")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1"/>
        <v>0</v>
      </c>
      <c r="U10060" s="99" t="str">
        <f>IFERROR(IF(#REF!="S",VLOOKUP('Raw Data'!A10060,References!#REF!,2,FALSE),(VLOOKUP($S10060,References!$B$3:$C$8,2,FALSE))),"")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1"/>
        <v>0</v>
      </c>
      <c r="U10061" s="99" t="str">
        <f>IFERROR(IF(#REF!="S",VLOOKUP('Raw Data'!A10061,References!#REF!,2,FALSE),(VLOOKUP($S10061,References!$B$3:$C$8,2,FALSE))),"")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1"/>
        <v>0</v>
      </c>
      <c r="U10062" s="99" t="str">
        <f>IFERROR(IF(#REF!="S",VLOOKUP('Raw Data'!A10062,References!#REF!,2,FALSE),(VLOOKUP($S10062,References!$B$3:$C$8,2,FALSE))),"")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1"/>
        <v>0</v>
      </c>
      <c r="U10063" s="99" t="str">
        <f>IFERROR(IF(#REF!="S",VLOOKUP('Raw Data'!A10063,References!#REF!,2,FALSE),(VLOOKUP($S10063,References!$B$3:$C$8,2,FALSE))),"")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1"/>
        <v>0</v>
      </c>
      <c r="U10064" s="99" t="str">
        <f>IFERROR(IF(#REF!="S",VLOOKUP('Raw Data'!A10064,References!#REF!,2,FALSE),(VLOOKUP($S10064,References!$B$3:$C$8,2,FALSE))),"")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1"/>
        <v>0</v>
      </c>
      <c r="U10065" s="99" t="str">
        <f>IFERROR(IF(#REF!="S",VLOOKUP('Raw Data'!A10065,References!#REF!,2,FALSE),(VLOOKUP($S10065,References!$B$3:$C$8,2,FALSE))),"")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1"/>
        <v>0</v>
      </c>
      <c r="U10066" s="99" t="str">
        <f>IFERROR(IF(#REF!="S",VLOOKUP('Raw Data'!A10066,References!#REF!,2,FALSE),(VLOOKUP($S10066,References!$B$3:$C$8,2,FALSE))),"")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1"/>
        <v>0</v>
      </c>
      <c r="U10067" s="99" t="str">
        <f>IFERROR(IF(#REF!="S",VLOOKUP('Raw Data'!A10067,References!#REF!,2,FALSE),(VLOOKUP($S10067,References!$B$3:$C$8,2,FALSE))),"")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1"/>
        <v>0</v>
      </c>
      <c r="U10068" s="99" t="str">
        <f>IFERROR(IF(#REF!="S",VLOOKUP('Raw Data'!A10068,References!#REF!,2,FALSE),(VLOOKUP($S10068,References!$B$3:$C$8,2,FALSE))),"")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1"/>
        <v>0</v>
      </c>
      <c r="U10069" s="99" t="str">
        <f>IFERROR(IF(#REF!="S",VLOOKUP('Raw Data'!A10069,References!#REF!,2,FALSE),(VLOOKUP($S10069,References!$B$3:$C$8,2,FALSE))),"")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1"/>
        <v>0</v>
      </c>
      <c r="U10070" s="99" t="str">
        <f>IFERROR(IF(#REF!="S",VLOOKUP('Raw Data'!A10070,References!#REF!,2,FALSE),(VLOOKUP($S10070,References!$B$3:$C$8,2,FALSE))),"")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1"/>
        <v>0</v>
      </c>
      <c r="U10071" s="99" t="str">
        <f>IFERROR(IF(#REF!="S",VLOOKUP('Raw Data'!A10071,References!#REF!,2,FALSE),(VLOOKUP($S10071,References!$B$3:$C$8,2,FALSE))),"")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1"/>
        <v>0</v>
      </c>
      <c r="U10072" s="99" t="str">
        <f>IFERROR(IF(#REF!="S",VLOOKUP('Raw Data'!A10072,References!#REF!,2,FALSE),(VLOOKUP($S10072,References!$B$3:$C$8,2,FALSE))),"")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1"/>
        <v>0</v>
      </c>
      <c r="U10073" s="99" t="str">
        <f>IFERROR(IF(#REF!="S",VLOOKUP('Raw Data'!A10073,References!#REF!,2,FALSE),(VLOOKUP($S10073,References!$B$3:$C$8,2,FALSE))),"")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1"/>
        <v>0</v>
      </c>
      <c r="U10074" s="99" t="str">
        <f>IFERROR(IF(#REF!="S",VLOOKUP('Raw Data'!A10074,References!#REF!,2,FALSE),(VLOOKUP($S10074,References!$B$3:$C$8,2,FALSE))),"")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1"/>
        <v>0</v>
      </c>
      <c r="U10075" s="99" t="str">
        <f>IFERROR(IF(#REF!="S",VLOOKUP('Raw Data'!A10075,References!#REF!,2,FALSE),(VLOOKUP($S10075,References!$B$3:$C$8,2,FALSE))),"")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1"/>
        <v>0</v>
      </c>
      <c r="U10076" s="99" t="str">
        <f>IFERROR(IF(#REF!="S",VLOOKUP('Raw Data'!A10076,References!#REF!,2,FALSE),(VLOOKUP($S10076,References!$B$3:$C$8,2,FALSE))),"")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1"/>
        <v>0</v>
      </c>
      <c r="U10077" s="99" t="str">
        <f>IFERROR(IF(#REF!="S",VLOOKUP('Raw Data'!A10077,References!#REF!,2,FALSE),(VLOOKUP($S10077,References!$B$3:$C$8,2,FALSE))),"")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1"/>
        <v>0</v>
      </c>
      <c r="U10078" s="99" t="str">
        <f>IFERROR(IF(#REF!="S",VLOOKUP('Raw Data'!A10078,References!#REF!,2,FALSE),(VLOOKUP($S10078,References!$B$3:$C$8,2,FALSE))),"")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1"/>
        <v>0</v>
      </c>
      <c r="U10079" s="99" t="str">
        <f>IFERROR(IF(#REF!="S",VLOOKUP('Raw Data'!A10079,References!#REF!,2,FALSE),(VLOOKUP($S10079,References!$B$3:$C$8,2,FALSE))),"")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1"/>
        <v>0</v>
      </c>
      <c r="U10080" s="99" t="str">
        <f>IFERROR(IF(#REF!="S",VLOOKUP('Raw Data'!A10080,References!#REF!,2,FALSE),(VLOOKUP($S10080,References!$B$3:$C$8,2,FALSE))),"")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1"/>
        <v>0</v>
      </c>
      <c r="U10081" s="99" t="str">
        <f>IFERROR(IF(#REF!="S",VLOOKUP('Raw Data'!A10081,References!#REF!,2,FALSE),(VLOOKUP($S10081,References!$B$3:$C$8,2,FALSE))),"")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1"/>
        <v>0</v>
      </c>
      <c r="U10082" s="99" t="str">
        <f>IFERROR(IF(#REF!="S",VLOOKUP('Raw Data'!A10082,References!#REF!,2,FALSE),(VLOOKUP($S10082,References!$B$3:$C$8,2,FALSE))),"")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1"/>
        <v>0</v>
      </c>
      <c r="U10083" s="99" t="str">
        <f>IFERROR(IF(#REF!="S",VLOOKUP('Raw Data'!A10083,References!#REF!,2,FALSE),(VLOOKUP($S10083,References!$B$3:$C$8,2,FALSE))),"")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1"/>
        <v>0</v>
      </c>
      <c r="U10084" s="99" t="str">
        <f>IFERROR(IF(#REF!="S",VLOOKUP('Raw Data'!A10084,References!#REF!,2,FALSE),(VLOOKUP($S10084,References!$B$3:$C$8,2,FALSE))),"")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1"/>
        <v>0</v>
      </c>
      <c r="U10085" s="99" t="str">
        <f>IFERROR(IF(#REF!="S",VLOOKUP('Raw Data'!A10085,References!#REF!,2,FALSE),(VLOOKUP($S10085,References!$B$3:$C$8,2,FALSE))),"")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1"/>
        <v>0</v>
      </c>
      <c r="U10086" s="99" t="str">
        <f>IFERROR(IF(#REF!="S",VLOOKUP('Raw Data'!A10086,References!#REF!,2,FALSE),(VLOOKUP($S10086,References!$B$3:$C$8,2,FALSE))),"")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si="371"/>
        <v>0</v>
      </c>
      <c r="U10087" s="99" t="str">
        <f>IFERROR(IF(#REF!="S",VLOOKUP('Raw Data'!A10087,References!#REF!,2,FALSE),(VLOOKUP($S10087,References!$B$3:$C$8,2,FALSE))),"")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ref="R10088:R10151" si="372">L10088-K10088</f>
        <v>0</v>
      </c>
      <c r="U10088" s="99" t="str">
        <f>IFERROR(IF(#REF!="S",VLOOKUP('Raw Data'!A10088,References!#REF!,2,FALSE),(VLOOKUP($S10088,References!$B$3:$C$8,2,FALSE))),"")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2"/>
        <v>0</v>
      </c>
      <c r="U10089" s="99" t="str">
        <f>IFERROR(IF(#REF!="S",VLOOKUP('Raw Data'!A10089,References!#REF!,2,FALSE),(VLOOKUP($S10089,References!$B$3:$C$8,2,FALSE))),"")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2"/>
        <v>0</v>
      </c>
      <c r="U10090" s="99" t="str">
        <f>IFERROR(IF(#REF!="S",VLOOKUP('Raw Data'!A10090,References!#REF!,2,FALSE),(VLOOKUP($S10090,References!$B$3:$C$8,2,FALSE))),"")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2"/>
        <v>0</v>
      </c>
      <c r="U10091" s="99" t="str">
        <f>IFERROR(IF(#REF!="S",VLOOKUP('Raw Data'!A10091,References!#REF!,2,FALSE),(VLOOKUP($S10091,References!$B$3:$C$8,2,FALSE))),"")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2"/>
        <v>0</v>
      </c>
      <c r="U10092" s="99" t="str">
        <f>IFERROR(IF(#REF!="S",VLOOKUP('Raw Data'!A10092,References!#REF!,2,FALSE),(VLOOKUP($S10092,References!$B$3:$C$8,2,FALSE))),"")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2"/>
        <v>0</v>
      </c>
      <c r="U10093" s="99" t="str">
        <f>IFERROR(IF(#REF!="S",VLOOKUP('Raw Data'!A10093,References!#REF!,2,FALSE),(VLOOKUP($S10093,References!$B$3:$C$8,2,FALSE))),"")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2"/>
        <v>0</v>
      </c>
      <c r="U10094" s="99" t="str">
        <f>IFERROR(IF(#REF!="S",VLOOKUP('Raw Data'!A10094,References!#REF!,2,FALSE),(VLOOKUP($S10094,References!$B$3:$C$8,2,FALSE))),"")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2"/>
        <v>0</v>
      </c>
      <c r="U10095" s="99" t="str">
        <f>IFERROR(IF(#REF!="S",VLOOKUP('Raw Data'!A10095,References!#REF!,2,FALSE),(VLOOKUP($S10095,References!$B$3:$C$8,2,FALSE))),"")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2"/>
        <v>0</v>
      </c>
      <c r="U10096" s="99" t="str">
        <f>IFERROR(IF(#REF!="S",VLOOKUP('Raw Data'!A10096,References!#REF!,2,FALSE),(VLOOKUP($S10096,References!$B$3:$C$8,2,FALSE))),"")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2"/>
        <v>0</v>
      </c>
      <c r="U10097" s="99" t="str">
        <f>IFERROR(IF(#REF!="S",VLOOKUP('Raw Data'!A10097,References!#REF!,2,FALSE),(VLOOKUP($S10097,References!$B$3:$C$8,2,FALSE))),"")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2"/>
        <v>0</v>
      </c>
      <c r="U10098" s="99" t="str">
        <f>IFERROR(IF(#REF!="S",VLOOKUP('Raw Data'!A10098,References!#REF!,2,FALSE),(VLOOKUP($S10098,References!$B$3:$C$8,2,FALSE))),"")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2"/>
        <v>0</v>
      </c>
      <c r="U10099" s="99" t="str">
        <f>IFERROR(IF(#REF!="S",VLOOKUP('Raw Data'!A10099,References!#REF!,2,FALSE),(VLOOKUP($S10099,References!$B$3:$C$8,2,FALSE))),"")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2"/>
        <v>0</v>
      </c>
      <c r="U10100" s="99" t="str">
        <f>IFERROR(IF(#REF!="S",VLOOKUP('Raw Data'!A10100,References!#REF!,2,FALSE),(VLOOKUP($S10100,References!$B$3:$C$8,2,FALSE))),"")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2"/>
        <v>0</v>
      </c>
      <c r="U10101" s="99" t="str">
        <f>IFERROR(IF(#REF!="S",VLOOKUP('Raw Data'!A10101,References!#REF!,2,FALSE),(VLOOKUP($S10101,References!$B$3:$C$8,2,FALSE))),"")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2"/>
        <v>0</v>
      </c>
      <c r="U10102" s="99" t="str">
        <f>IFERROR(IF(#REF!="S",VLOOKUP('Raw Data'!A10102,References!#REF!,2,FALSE),(VLOOKUP($S10102,References!$B$3:$C$8,2,FALSE))),"")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2"/>
        <v>0</v>
      </c>
      <c r="U10103" s="99" t="str">
        <f>IFERROR(IF(#REF!="S",VLOOKUP('Raw Data'!A10103,References!#REF!,2,FALSE),(VLOOKUP($S10103,References!$B$3:$C$8,2,FALSE))),"")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2"/>
        <v>0</v>
      </c>
      <c r="U10104" s="99" t="str">
        <f>IFERROR(IF(#REF!="S",VLOOKUP('Raw Data'!A10104,References!#REF!,2,FALSE),(VLOOKUP($S10104,References!$B$3:$C$8,2,FALSE))),"")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2"/>
        <v>0</v>
      </c>
      <c r="U10105" s="99" t="str">
        <f>IFERROR(IF(#REF!="S",VLOOKUP('Raw Data'!A10105,References!#REF!,2,FALSE),(VLOOKUP($S10105,References!$B$3:$C$8,2,FALSE))),"")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2"/>
        <v>0</v>
      </c>
      <c r="U10106" s="99" t="str">
        <f>IFERROR(IF(#REF!="S",VLOOKUP('Raw Data'!A10106,References!#REF!,2,FALSE),(VLOOKUP($S10106,References!$B$3:$C$8,2,FALSE))),"")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2"/>
        <v>0</v>
      </c>
      <c r="U10107" s="99" t="str">
        <f>IFERROR(IF(#REF!="S",VLOOKUP('Raw Data'!A10107,References!#REF!,2,FALSE),(VLOOKUP($S10107,References!$B$3:$C$8,2,FALSE))),"")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2"/>
        <v>0</v>
      </c>
      <c r="U10108" s="99" t="str">
        <f>IFERROR(IF(#REF!="S",VLOOKUP('Raw Data'!A10108,References!#REF!,2,FALSE),(VLOOKUP($S10108,References!$B$3:$C$8,2,FALSE))),"")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2"/>
        <v>0</v>
      </c>
      <c r="U10109" s="99" t="str">
        <f>IFERROR(IF(#REF!="S",VLOOKUP('Raw Data'!A10109,References!#REF!,2,FALSE),(VLOOKUP($S10109,References!$B$3:$C$8,2,FALSE))),"")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2"/>
        <v>0</v>
      </c>
      <c r="U10110" s="99" t="str">
        <f>IFERROR(IF(#REF!="S",VLOOKUP('Raw Data'!A10110,References!#REF!,2,FALSE),(VLOOKUP($S10110,References!$B$3:$C$8,2,FALSE))),"")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2"/>
        <v>0</v>
      </c>
      <c r="U10111" s="99" t="str">
        <f>IFERROR(IF(#REF!="S",VLOOKUP('Raw Data'!A10111,References!#REF!,2,FALSE),(VLOOKUP($S10111,References!$B$3:$C$8,2,FALSE))),"")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2"/>
        <v>0</v>
      </c>
      <c r="U10112" s="99" t="str">
        <f>IFERROR(IF(#REF!="S",VLOOKUP('Raw Data'!A10112,References!#REF!,2,FALSE),(VLOOKUP($S10112,References!$B$3:$C$8,2,FALSE))),"")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2"/>
        <v>0</v>
      </c>
      <c r="U10113" s="99" t="str">
        <f>IFERROR(IF(#REF!="S",VLOOKUP('Raw Data'!A10113,References!#REF!,2,FALSE),(VLOOKUP($S10113,References!$B$3:$C$8,2,FALSE))),"")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2"/>
        <v>0</v>
      </c>
      <c r="U10114" s="99" t="str">
        <f>IFERROR(IF(#REF!="S",VLOOKUP('Raw Data'!A10114,References!#REF!,2,FALSE),(VLOOKUP($S10114,References!$B$3:$C$8,2,FALSE))),"")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2"/>
        <v>0</v>
      </c>
      <c r="U10115" s="99" t="str">
        <f>IFERROR(IF(#REF!="S",VLOOKUP('Raw Data'!A10115,References!#REF!,2,FALSE),(VLOOKUP($S10115,References!$B$3:$C$8,2,FALSE))),"")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2"/>
        <v>0</v>
      </c>
      <c r="U10116" s="99" t="str">
        <f>IFERROR(IF(#REF!="S",VLOOKUP('Raw Data'!A10116,References!#REF!,2,FALSE),(VLOOKUP($S10116,References!$B$3:$C$8,2,FALSE))),"")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2"/>
        <v>0</v>
      </c>
      <c r="U10117" s="99" t="str">
        <f>IFERROR(IF(#REF!="S",VLOOKUP('Raw Data'!A10117,References!#REF!,2,FALSE),(VLOOKUP($S10117,References!$B$3:$C$8,2,FALSE))),"")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2"/>
        <v>0</v>
      </c>
      <c r="U10118" s="99" t="str">
        <f>IFERROR(IF(#REF!="S",VLOOKUP('Raw Data'!A10118,References!#REF!,2,FALSE),(VLOOKUP($S10118,References!$B$3:$C$8,2,FALSE))),"")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2"/>
        <v>0</v>
      </c>
      <c r="U10119" s="99" t="str">
        <f>IFERROR(IF(#REF!="S",VLOOKUP('Raw Data'!A10119,References!#REF!,2,FALSE),(VLOOKUP($S10119,References!$B$3:$C$8,2,FALSE))),"")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2"/>
        <v>0</v>
      </c>
      <c r="U10120" s="99" t="str">
        <f>IFERROR(IF(#REF!="S",VLOOKUP('Raw Data'!A10120,References!#REF!,2,FALSE),(VLOOKUP($S10120,References!$B$3:$C$8,2,FALSE))),"")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2"/>
        <v>0</v>
      </c>
      <c r="U10121" s="99" t="str">
        <f>IFERROR(IF(#REF!="S",VLOOKUP('Raw Data'!A10121,References!#REF!,2,FALSE),(VLOOKUP($S10121,References!$B$3:$C$8,2,FALSE))),"")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2"/>
        <v>0</v>
      </c>
      <c r="U10122" s="99" t="str">
        <f>IFERROR(IF(#REF!="S",VLOOKUP('Raw Data'!A10122,References!#REF!,2,FALSE),(VLOOKUP($S10122,References!$B$3:$C$8,2,FALSE))),"")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2"/>
        <v>0</v>
      </c>
      <c r="U10123" s="99" t="str">
        <f>IFERROR(IF(#REF!="S",VLOOKUP('Raw Data'!A10123,References!#REF!,2,FALSE),(VLOOKUP($S10123,References!$B$3:$C$8,2,FALSE))),"")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2"/>
        <v>0</v>
      </c>
      <c r="U10124" s="99" t="str">
        <f>IFERROR(IF(#REF!="S",VLOOKUP('Raw Data'!A10124,References!#REF!,2,FALSE),(VLOOKUP($S10124,References!$B$3:$C$8,2,FALSE))),"")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2"/>
        <v>0</v>
      </c>
      <c r="U10125" s="99" t="str">
        <f>IFERROR(IF(#REF!="S",VLOOKUP('Raw Data'!A10125,References!#REF!,2,FALSE),(VLOOKUP($S10125,References!$B$3:$C$8,2,FALSE))),"")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2"/>
        <v>0</v>
      </c>
      <c r="U10126" s="99" t="str">
        <f>IFERROR(IF(#REF!="S",VLOOKUP('Raw Data'!A10126,References!#REF!,2,FALSE),(VLOOKUP($S10126,References!$B$3:$C$8,2,FALSE))),"")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2"/>
        <v>0</v>
      </c>
      <c r="U10127" s="99" t="str">
        <f>IFERROR(IF(#REF!="S",VLOOKUP('Raw Data'!A10127,References!#REF!,2,FALSE),(VLOOKUP($S10127,References!$B$3:$C$8,2,FALSE))),"")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2"/>
        <v>0</v>
      </c>
      <c r="U10128" s="99" t="str">
        <f>IFERROR(IF(#REF!="S",VLOOKUP('Raw Data'!A10128,References!#REF!,2,FALSE),(VLOOKUP($S10128,References!$B$3:$C$8,2,FALSE))),"")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2"/>
        <v>0</v>
      </c>
      <c r="U10129" s="99" t="str">
        <f>IFERROR(IF(#REF!="S",VLOOKUP('Raw Data'!A10129,References!#REF!,2,FALSE),(VLOOKUP($S10129,References!$B$3:$C$8,2,FALSE))),"")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2"/>
        <v>0</v>
      </c>
      <c r="U10130" s="99" t="str">
        <f>IFERROR(IF(#REF!="S",VLOOKUP('Raw Data'!A10130,References!#REF!,2,FALSE),(VLOOKUP($S10130,References!$B$3:$C$8,2,FALSE))),"")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2"/>
        <v>0</v>
      </c>
      <c r="U10131" s="99" t="str">
        <f>IFERROR(IF(#REF!="S",VLOOKUP('Raw Data'!A10131,References!#REF!,2,FALSE),(VLOOKUP($S10131,References!$B$3:$C$8,2,FALSE))),"")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2"/>
        <v>0</v>
      </c>
      <c r="U10132" s="99" t="str">
        <f>IFERROR(IF(#REF!="S",VLOOKUP('Raw Data'!A10132,References!#REF!,2,FALSE),(VLOOKUP($S10132,References!$B$3:$C$8,2,FALSE))),"")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2"/>
        <v>0</v>
      </c>
      <c r="U10133" s="99" t="str">
        <f>IFERROR(IF(#REF!="S",VLOOKUP('Raw Data'!A10133,References!#REF!,2,FALSE),(VLOOKUP($S10133,References!$B$3:$C$8,2,FALSE))),"")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2"/>
        <v>0</v>
      </c>
      <c r="U10134" s="99" t="str">
        <f>IFERROR(IF(#REF!="S",VLOOKUP('Raw Data'!A10134,References!#REF!,2,FALSE),(VLOOKUP($S10134,References!$B$3:$C$8,2,FALSE))),"")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2"/>
        <v>0</v>
      </c>
      <c r="U10135" s="99" t="str">
        <f>IFERROR(IF(#REF!="S",VLOOKUP('Raw Data'!A10135,References!#REF!,2,FALSE),(VLOOKUP($S10135,References!$B$3:$C$8,2,FALSE))),"")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2"/>
        <v>0</v>
      </c>
      <c r="U10136" s="99" t="str">
        <f>IFERROR(IF(#REF!="S",VLOOKUP('Raw Data'!A10136,References!#REF!,2,FALSE),(VLOOKUP($S10136,References!$B$3:$C$8,2,FALSE))),"")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2"/>
        <v>0</v>
      </c>
      <c r="U10137" s="99" t="str">
        <f>IFERROR(IF(#REF!="S",VLOOKUP('Raw Data'!A10137,References!#REF!,2,FALSE),(VLOOKUP($S10137,References!$B$3:$C$8,2,FALSE))),"")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2"/>
        <v>0</v>
      </c>
      <c r="U10138" s="99" t="str">
        <f>IFERROR(IF(#REF!="S",VLOOKUP('Raw Data'!A10138,References!#REF!,2,FALSE),(VLOOKUP($S10138,References!$B$3:$C$8,2,FALSE))),"")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2"/>
        <v>0</v>
      </c>
      <c r="U10139" s="99" t="str">
        <f>IFERROR(IF(#REF!="S",VLOOKUP('Raw Data'!A10139,References!#REF!,2,FALSE),(VLOOKUP($S10139,References!$B$3:$C$8,2,FALSE))),"")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2"/>
        <v>0</v>
      </c>
      <c r="U10140" s="99" t="str">
        <f>IFERROR(IF(#REF!="S",VLOOKUP('Raw Data'!A10140,References!#REF!,2,FALSE),(VLOOKUP($S10140,References!$B$3:$C$8,2,FALSE))),"")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2"/>
        <v>0</v>
      </c>
      <c r="U10141" s="99" t="str">
        <f>IFERROR(IF(#REF!="S",VLOOKUP('Raw Data'!A10141,References!#REF!,2,FALSE),(VLOOKUP($S10141,References!$B$3:$C$8,2,FALSE))),"")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2"/>
        <v>0</v>
      </c>
      <c r="U10142" s="99" t="str">
        <f>IFERROR(IF(#REF!="S",VLOOKUP('Raw Data'!A10142,References!#REF!,2,FALSE),(VLOOKUP($S10142,References!$B$3:$C$8,2,FALSE))),"")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2"/>
        <v>0</v>
      </c>
      <c r="U10143" s="99" t="str">
        <f>IFERROR(IF(#REF!="S",VLOOKUP('Raw Data'!A10143,References!#REF!,2,FALSE),(VLOOKUP($S10143,References!$B$3:$C$8,2,FALSE))),"")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2"/>
        <v>0</v>
      </c>
      <c r="U10144" s="99" t="str">
        <f>IFERROR(IF(#REF!="S",VLOOKUP('Raw Data'!A10144,References!#REF!,2,FALSE),(VLOOKUP($S10144,References!$B$3:$C$8,2,FALSE))),"")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2"/>
        <v>0</v>
      </c>
      <c r="U10145" s="99" t="str">
        <f>IFERROR(IF(#REF!="S",VLOOKUP('Raw Data'!A10145,References!#REF!,2,FALSE),(VLOOKUP($S10145,References!$B$3:$C$8,2,FALSE))),"")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2"/>
        <v>0</v>
      </c>
      <c r="U10146" s="99" t="str">
        <f>IFERROR(IF(#REF!="S",VLOOKUP('Raw Data'!A10146,References!#REF!,2,FALSE),(VLOOKUP($S10146,References!$B$3:$C$8,2,FALSE))),"")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2"/>
        <v>0</v>
      </c>
      <c r="U10147" s="99" t="str">
        <f>IFERROR(IF(#REF!="S",VLOOKUP('Raw Data'!A10147,References!#REF!,2,FALSE),(VLOOKUP($S10147,References!$B$3:$C$8,2,FALSE))),"")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2"/>
        <v>0</v>
      </c>
      <c r="U10148" s="99" t="str">
        <f>IFERROR(IF(#REF!="S",VLOOKUP('Raw Data'!A10148,References!#REF!,2,FALSE),(VLOOKUP($S10148,References!$B$3:$C$8,2,FALSE))),"")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2"/>
        <v>0</v>
      </c>
      <c r="U10149" s="99" t="str">
        <f>IFERROR(IF(#REF!="S",VLOOKUP('Raw Data'!A10149,References!#REF!,2,FALSE),(VLOOKUP($S10149,References!$B$3:$C$8,2,FALSE))),"")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2"/>
        <v>0</v>
      </c>
      <c r="U10150" s="99" t="str">
        <f>IFERROR(IF(#REF!="S",VLOOKUP('Raw Data'!A10150,References!#REF!,2,FALSE),(VLOOKUP($S10150,References!$B$3:$C$8,2,FALSE))),"")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si="372"/>
        <v>0</v>
      </c>
      <c r="U10151" s="99" t="str">
        <f>IFERROR(IF(#REF!="S",VLOOKUP('Raw Data'!A10151,References!#REF!,2,FALSE),(VLOOKUP($S10151,References!$B$3:$C$8,2,FALSE))),"")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ref="R10152:R10215" si="373">L10152-K10152</f>
        <v>0</v>
      </c>
      <c r="U10152" s="99" t="str">
        <f>IFERROR(IF(#REF!="S",VLOOKUP('Raw Data'!A10152,References!#REF!,2,FALSE),(VLOOKUP($S10152,References!$B$3:$C$8,2,FALSE))),"")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3"/>
        <v>0</v>
      </c>
      <c r="U10153" s="99" t="str">
        <f>IFERROR(IF(#REF!="S",VLOOKUP('Raw Data'!A10153,References!#REF!,2,FALSE),(VLOOKUP($S10153,References!$B$3:$C$8,2,FALSE))),"")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3"/>
        <v>0</v>
      </c>
      <c r="U10154" s="99" t="str">
        <f>IFERROR(IF(#REF!="S",VLOOKUP('Raw Data'!A10154,References!#REF!,2,FALSE),(VLOOKUP($S10154,References!$B$3:$C$8,2,FALSE))),"")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3"/>
        <v>0</v>
      </c>
      <c r="U10155" s="99" t="str">
        <f>IFERROR(IF(#REF!="S",VLOOKUP('Raw Data'!A10155,References!#REF!,2,FALSE),(VLOOKUP($S10155,References!$B$3:$C$8,2,FALSE))),"")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3"/>
        <v>0</v>
      </c>
      <c r="U10156" s="99" t="str">
        <f>IFERROR(IF(#REF!="S",VLOOKUP('Raw Data'!A10156,References!#REF!,2,FALSE),(VLOOKUP($S10156,References!$B$3:$C$8,2,FALSE))),"")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3"/>
        <v>0</v>
      </c>
      <c r="U10157" s="99" t="str">
        <f>IFERROR(IF(#REF!="S",VLOOKUP('Raw Data'!A10157,References!#REF!,2,FALSE),(VLOOKUP($S10157,References!$B$3:$C$8,2,FALSE))),"")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3"/>
        <v>0</v>
      </c>
      <c r="U10158" s="99" t="str">
        <f>IFERROR(IF(#REF!="S",VLOOKUP('Raw Data'!A10158,References!#REF!,2,FALSE),(VLOOKUP($S10158,References!$B$3:$C$8,2,FALSE))),"")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3"/>
        <v>0</v>
      </c>
      <c r="U10159" s="99" t="str">
        <f>IFERROR(IF(#REF!="S",VLOOKUP('Raw Data'!A10159,References!#REF!,2,FALSE),(VLOOKUP($S10159,References!$B$3:$C$8,2,FALSE))),"")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3"/>
        <v>0</v>
      </c>
      <c r="U10160" s="99" t="str">
        <f>IFERROR(IF(#REF!="S",VLOOKUP('Raw Data'!A10160,References!#REF!,2,FALSE),(VLOOKUP($S10160,References!$B$3:$C$8,2,FALSE))),"")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3"/>
        <v>0</v>
      </c>
      <c r="U10161" s="99" t="str">
        <f>IFERROR(IF(#REF!="S",VLOOKUP('Raw Data'!A10161,References!#REF!,2,FALSE),(VLOOKUP($S10161,References!$B$3:$C$8,2,FALSE))),"")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3"/>
        <v>0</v>
      </c>
      <c r="U10162" s="99" t="str">
        <f>IFERROR(IF(#REF!="S",VLOOKUP('Raw Data'!A10162,References!#REF!,2,FALSE),(VLOOKUP($S10162,References!$B$3:$C$8,2,FALSE))),"")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3"/>
        <v>0</v>
      </c>
      <c r="U10163" s="99" t="str">
        <f>IFERROR(IF(#REF!="S",VLOOKUP('Raw Data'!A10163,References!#REF!,2,FALSE),(VLOOKUP($S10163,References!$B$3:$C$8,2,FALSE))),"")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3"/>
        <v>0</v>
      </c>
      <c r="U10164" s="99" t="str">
        <f>IFERROR(IF(#REF!="S",VLOOKUP('Raw Data'!A10164,References!#REF!,2,FALSE),(VLOOKUP($S10164,References!$B$3:$C$8,2,FALSE))),"")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3"/>
        <v>0</v>
      </c>
      <c r="U10165" s="99" t="str">
        <f>IFERROR(IF(#REF!="S",VLOOKUP('Raw Data'!A10165,References!#REF!,2,FALSE),(VLOOKUP($S10165,References!$B$3:$C$8,2,FALSE))),"")</f>
        <v/>
      </c>
      <c r="W10165" s="66" t="str">
        <f>IFERROR(VLOOKUP($O10165,'Customer List'!$A$1:$J$488,10,FALSE),"")</f>
        <v/>
      </c>
    </row>
    <row r="10166" spans="18:23">
      <c r="R10166" s="97">
        <f t="shared" si="373"/>
        <v>0</v>
      </c>
      <c r="W10166" s="66" t="str">
        <f>IFERROR(VLOOKUP($O10166,'Customer List'!$A$1:$J$488,10,FALSE),"")</f>
        <v/>
      </c>
    </row>
    <row r="10167" spans="18:23">
      <c r="R10167" s="97">
        <f t="shared" si="373"/>
        <v>0</v>
      </c>
      <c r="W10167" s="66" t="str">
        <f>IFERROR(VLOOKUP($O10167,'Customer List'!$A$1:$J$488,10,FALSE),"")</f>
        <v/>
      </c>
    </row>
    <row r="10168" spans="18:23">
      <c r="R10168" s="97">
        <f t="shared" si="373"/>
        <v>0</v>
      </c>
      <c r="W10168" s="66" t="str">
        <f>IFERROR(VLOOKUP($O10168,'Customer List'!$A$1:$J$488,10,FALSE),"")</f>
        <v/>
      </c>
    </row>
    <row r="10169" spans="18:23">
      <c r="R10169" s="97">
        <f t="shared" si="373"/>
        <v>0</v>
      </c>
      <c r="W10169" s="66" t="str">
        <f>IFERROR(VLOOKUP($O10169,'Customer List'!$A$1:$J$488,10,FALSE),"")</f>
        <v/>
      </c>
    </row>
    <row r="10170" spans="18:23">
      <c r="R10170" s="97">
        <f t="shared" si="373"/>
        <v>0</v>
      </c>
      <c r="W10170" s="66" t="str">
        <f>IFERROR(VLOOKUP($O10170,'Customer List'!$A$1:$J$488,10,FALSE),"")</f>
        <v/>
      </c>
    </row>
    <row r="10171" spans="18:23">
      <c r="R10171" s="97">
        <f t="shared" si="373"/>
        <v>0</v>
      </c>
      <c r="W10171" s="66" t="str">
        <f>IFERROR(VLOOKUP($O10171,'Customer List'!$A$1:$J$488,10,FALSE),"")</f>
        <v/>
      </c>
    </row>
    <row r="10172" spans="18:23">
      <c r="R10172" s="97">
        <f t="shared" si="373"/>
        <v>0</v>
      </c>
      <c r="W10172" s="66" t="str">
        <f>IFERROR(VLOOKUP($O10172,'Customer List'!$A$1:$J$488,10,FALSE),"")</f>
        <v/>
      </c>
    </row>
    <row r="10173" spans="18:23">
      <c r="R10173" s="97">
        <f t="shared" si="373"/>
        <v>0</v>
      </c>
      <c r="W10173" s="66" t="str">
        <f>IFERROR(VLOOKUP($O10173,'Customer List'!$A$1:$J$488,10,FALSE),"")</f>
        <v/>
      </c>
    </row>
    <row r="10174" spans="18:23">
      <c r="R10174" s="97">
        <f t="shared" si="373"/>
        <v>0</v>
      </c>
      <c r="W10174" s="66" t="str">
        <f>IFERROR(VLOOKUP($O10174,'Customer List'!$A$1:$J$488,10,FALSE),"")</f>
        <v/>
      </c>
    </row>
    <row r="10175" spans="18:23">
      <c r="R10175" s="97">
        <f t="shared" si="373"/>
        <v>0</v>
      </c>
      <c r="W10175" s="66" t="str">
        <f>IFERROR(VLOOKUP($O10175,'Customer List'!$A$1:$J$488,10,FALSE),"")</f>
        <v/>
      </c>
    </row>
    <row r="10176" spans="18:23">
      <c r="R10176" s="97">
        <f t="shared" si="373"/>
        <v>0</v>
      </c>
      <c r="W10176" s="66" t="str">
        <f>IFERROR(VLOOKUP($O10176,'Customer List'!$A$1:$J$488,10,FALSE),"")</f>
        <v/>
      </c>
    </row>
    <row r="10177" spans="18:23">
      <c r="R10177" s="97">
        <f t="shared" si="373"/>
        <v>0</v>
      </c>
      <c r="W10177" s="66" t="str">
        <f>IFERROR(VLOOKUP($O10177,'Customer List'!$A$1:$J$488,10,FALSE),"")</f>
        <v/>
      </c>
    </row>
    <row r="10178" spans="18:23">
      <c r="R10178" s="97">
        <f t="shared" si="373"/>
        <v>0</v>
      </c>
      <c r="W10178" s="66" t="str">
        <f>IFERROR(VLOOKUP($O10178,'Customer List'!$A$1:$J$488,10,FALSE),"")</f>
        <v/>
      </c>
    </row>
    <row r="10179" spans="18:23">
      <c r="R10179" s="97">
        <f t="shared" si="373"/>
        <v>0</v>
      </c>
      <c r="W10179" s="66" t="str">
        <f>IFERROR(VLOOKUP($O10179,'Customer List'!$A$1:$J$488,10,FALSE),"")</f>
        <v/>
      </c>
    </row>
    <row r="10180" spans="18:23">
      <c r="R10180" s="97">
        <f t="shared" si="373"/>
        <v>0</v>
      </c>
      <c r="W10180" s="66" t="str">
        <f>IFERROR(VLOOKUP($O10180,'Customer List'!$A$1:$J$488,10,FALSE),"")</f>
        <v/>
      </c>
    </row>
    <row r="10181" spans="18:23">
      <c r="R10181" s="97">
        <f t="shared" si="373"/>
        <v>0</v>
      </c>
      <c r="W10181" s="66" t="str">
        <f>IFERROR(VLOOKUP($O10181,'Customer List'!$A$1:$J$488,10,FALSE),"")</f>
        <v/>
      </c>
    </row>
    <row r="10182" spans="18:23">
      <c r="R10182" s="97">
        <f t="shared" si="373"/>
        <v>0</v>
      </c>
      <c r="W10182" s="66" t="str">
        <f>IFERROR(VLOOKUP($O10182,'Customer List'!$A$1:$J$488,10,FALSE),"")</f>
        <v/>
      </c>
    </row>
    <row r="10183" spans="18:23">
      <c r="R10183" s="97">
        <f t="shared" si="373"/>
        <v>0</v>
      </c>
      <c r="W10183" s="66" t="str">
        <f>IFERROR(VLOOKUP($O10183,'Customer List'!$A$1:$J$488,10,FALSE),"")</f>
        <v/>
      </c>
    </row>
    <row r="10184" spans="18:23">
      <c r="R10184" s="97">
        <f t="shared" si="373"/>
        <v>0</v>
      </c>
      <c r="W10184" s="66" t="str">
        <f>IFERROR(VLOOKUP($O10184,'Customer List'!$A$1:$J$488,10,FALSE),"")</f>
        <v/>
      </c>
    </row>
    <row r="10185" spans="18:23">
      <c r="R10185" s="97">
        <f t="shared" si="373"/>
        <v>0</v>
      </c>
      <c r="W10185" s="66" t="str">
        <f>IFERROR(VLOOKUP($O10185,'Customer List'!$A$1:$J$488,10,FALSE),"")</f>
        <v/>
      </c>
    </row>
    <row r="10186" spans="18:23">
      <c r="R10186" s="97">
        <f t="shared" si="373"/>
        <v>0</v>
      </c>
      <c r="W10186" s="66" t="str">
        <f>IFERROR(VLOOKUP($O10186,'Customer List'!$A$1:$J$488,10,FALSE),"")</f>
        <v/>
      </c>
    </row>
    <row r="10187" spans="18:23">
      <c r="R10187" s="97">
        <f t="shared" si="373"/>
        <v>0</v>
      </c>
      <c r="W10187" s="66" t="str">
        <f>IFERROR(VLOOKUP($O10187,'Customer List'!$A$1:$J$488,10,FALSE),"")</f>
        <v/>
      </c>
    </row>
    <row r="10188" spans="18:23">
      <c r="R10188" s="97">
        <f t="shared" si="373"/>
        <v>0</v>
      </c>
      <c r="W10188" s="66" t="str">
        <f>IFERROR(VLOOKUP($O10188,'Customer List'!$A$1:$J$488,10,FALSE),"")</f>
        <v/>
      </c>
    </row>
    <row r="10189" spans="18:23">
      <c r="R10189" s="97">
        <f t="shared" si="373"/>
        <v>0</v>
      </c>
      <c r="W10189" s="66" t="str">
        <f>IFERROR(VLOOKUP($O10189,'Customer List'!$A$1:$J$488,10,FALSE),"")</f>
        <v/>
      </c>
    </row>
    <row r="10190" spans="18:23">
      <c r="R10190" s="97">
        <f t="shared" si="373"/>
        <v>0</v>
      </c>
      <c r="W10190" s="66" t="str">
        <f>IFERROR(VLOOKUP($O10190,'Customer List'!$A$1:$J$488,10,FALSE),"")</f>
        <v/>
      </c>
    </row>
    <row r="10191" spans="18:23">
      <c r="R10191" s="97">
        <f t="shared" si="373"/>
        <v>0</v>
      </c>
      <c r="W10191" s="66" t="str">
        <f>IFERROR(VLOOKUP($O10191,'Customer List'!$A$1:$J$488,10,FALSE),"")</f>
        <v/>
      </c>
    </row>
    <row r="10192" spans="18:23">
      <c r="R10192" s="97">
        <f t="shared" si="373"/>
        <v>0</v>
      </c>
      <c r="W10192" s="66" t="str">
        <f>IFERROR(VLOOKUP($O10192,'Customer List'!$A$1:$J$488,10,FALSE),"")</f>
        <v/>
      </c>
    </row>
    <row r="10193" spans="18:23">
      <c r="R10193" s="97">
        <f t="shared" si="373"/>
        <v>0</v>
      </c>
      <c r="W10193" s="66" t="str">
        <f>IFERROR(VLOOKUP($O10193,'Customer List'!$A$1:$J$488,10,FALSE),"")</f>
        <v/>
      </c>
    </row>
    <row r="10194" spans="18:23">
      <c r="R10194" s="97">
        <f t="shared" si="373"/>
        <v>0</v>
      </c>
      <c r="W10194" s="66" t="str">
        <f>IFERROR(VLOOKUP($O10194,'Customer List'!$A$1:$J$488,10,FALSE),"")</f>
        <v/>
      </c>
    </row>
    <row r="10195" spans="18:23">
      <c r="R10195" s="97">
        <f t="shared" si="373"/>
        <v>0</v>
      </c>
      <c r="W10195" s="66" t="str">
        <f>IFERROR(VLOOKUP($O10195,'Customer List'!$A$1:$J$488,10,FALSE),"")</f>
        <v/>
      </c>
    </row>
    <row r="10196" spans="18:23">
      <c r="R10196" s="97">
        <f t="shared" si="373"/>
        <v>0</v>
      </c>
      <c r="W10196" s="66" t="str">
        <f>IFERROR(VLOOKUP($O10196,'Customer List'!$A$1:$J$488,10,FALSE),"")</f>
        <v/>
      </c>
    </row>
    <row r="10197" spans="18:23">
      <c r="R10197" s="97">
        <f t="shared" si="373"/>
        <v>0</v>
      </c>
      <c r="W10197" s="66" t="str">
        <f>IFERROR(VLOOKUP($O10197,'Customer List'!$A$1:$J$488,10,FALSE),"")</f>
        <v/>
      </c>
    </row>
    <row r="10198" spans="18:23">
      <c r="R10198" s="97">
        <f t="shared" si="373"/>
        <v>0</v>
      </c>
      <c r="W10198" s="66" t="str">
        <f>IFERROR(VLOOKUP($O10198,'Customer List'!$A$1:$J$488,10,FALSE),"")</f>
        <v/>
      </c>
    </row>
    <row r="10199" spans="18:23">
      <c r="R10199" s="97">
        <f t="shared" si="373"/>
        <v>0</v>
      </c>
      <c r="W10199" s="66" t="str">
        <f>IFERROR(VLOOKUP($O10199,'Customer List'!$A$1:$J$488,10,FALSE),"")</f>
        <v/>
      </c>
    </row>
    <row r="10200" spans="18:23">
      <c r="R10200" s="97">
        <f t="shared" si="373"/>
        <v>0</v>
      </c>
      <c r="W10200" s="66" t="str">
        <f>IFERROR(VLOOKUP($O10200,'Customer List'!$A$1:$J$488,10,FALSE),"")</f>
        <v/>
      </c>
    </row>
    <row r="10201" spans="18:23">
      <c r="R10201" s="97">
        <f t="shared" si="373"/>
        <v>0</v>
      </c>
      <c r="W10201" s="66" t="str">
        <f>IFERROR(VLOOKUP($O10201,'Customer List'!$A$1:$J$488,10,FALSE),"")</f>
        <v/>
      </c>
    </row>
    <row r="10202" spans="18:23">
      <c r="R10202" s="97">
        <f t="shared" si="373"/>
        <v>0</v>
      </c>
      <c r="W10202" s="66" t="str">
        <f>IFERROR(VLOOKUP($O10202,'Customer List'!$A$1:$J$488,10,FALSE),"")</f>
        <v/>
      </c>
    </row>
    <row r="10203" spans="18:23">
      <c r="R10203" s="97">
        <f t="shared" si="373"/>
        <v>0</v>
      </c>
      <c r="W10203" s="66" t="str">
        <f>IFERROR(VLOOKUP($O10203,'Customer List'!$A$1:$J$488,10,FALSE),"")</f>
        <v/>
      </c>
    </row>
    <row r="10204" spans="18:23">
      <c r="R10204" s="97">
        <f t="shared" si="373"/>
        <v>0</v>
      </c>
      <c r="W10204" s="66" t="str">
        <f>IFERROR(VLOOKUP($O10204,'Customer List'!$A$1:$J$488,10,FALSE),"")</f>
        <v/>
      </c>
    </row>
    <row r="10205" spans="18:23">
      <c r="R10205" s="97">
        <f t="shared" si="373"/>
        <v>0</v>
      </c>
      <c r="W10205" s="66" t="str">
        <f>IFERROR(VLOOKUP($O10205,'Customer List'!$A$1:$J$488,10,FALSE),"")</f>
        <v/>
      </c>
    </row>
    <row r="10206" spans="18:23">
      <c r="R10206" s="97">
        <f t="shared" si="373"/>
        <v>0</v>
      </c>
      <c r="W10206" s="66" t="str">
        <f>IFERROR(VLOOKUP($O10206,'Customer List'!$A$1:$J$488,10,FALSE),"")</f>
        <v/>
      </c>
    </row>
    <row r="10207" spans="18:23">
      <c r="R10207" s="97">
        <f t="shared" si="373"/>
        <v>0</v>
      </c>
      <c r="W10207" s="66" t="str">
        <f>IFERROR(VLOOKUP($O10207,'Customer List'!$A$1:$J$488,10,FALSE),"")</f>
        <v/>
      </c>
    </row>
    <row r="10208" spans="18:23">
      <c r="R10208" s="97">
        <f t="shared" si="373"/>
        <v>0</v>
      </c>
      <c r="W10208" s="66" t="str">
        <f>IFERROR(VLOOKUP($O10208,'Customer List'!$A$1:$J$488,10,FALSE),"")</f>
        <v/>
      </c>
    </row>
    <row r="10209" spans="18:23">
      <c r="R10209" s="97">
        <f t="shared" si="373"/>
        <v>0</v>
      </c>
      <c r="W10209" s="66" t="str">
        <f>IFERROR(VLOOKUP($O10209,'Customer List'!$A$1:$J$488,10,FALSE),"")</f>
        <v/>
      </c>
    </row>
    <row r="10210" spans="18:23">
      <c r="R10210" s="97">
        <f t="shared" si="373"/>
        <v>0</v>
      </c>
      <c r="W10210" s="66" t="str">
        <f>IFERROR(VLOOKUP($O10210,'Customer List'!$A$1:$J$488,10,FALSE),"")</f>
        <v/>
      </c>
    </row>
    <row r="10211" spans="18:23">
      <c r="R10211" s="97">
        <f t="shared" si="373"/>
        <v>0</v>
      </c>
      <c r="W10211" s="66" t="str">
        <f>IFERROR(VLOOKUP($O10211,'Customer List'!$A$1:$J$488,10,FALSE),"")</f>
        <v/>
      </c>
    </row>
    <row r="10212" spans="18:23">
      <c r="R10212" s="97">
        <f t="shared" si="373"/>
        <v>0</v>
      </c>
      <c r="W10212" s="66" t="str">
        <f>IFERROR(VLOOKUP($O10212,'Customer List'!$A$1:$J$488,10,FALSE),"")</f>
        <v/>
      </c>
    </row>
    <row r="10213" spans="18:23">
      <c r="R10213" s="97">
        <f t="shared" si="373"/>
        <v>0</v>
      </c>
      <c r="W10213" s="66" t="str">
        <f>IFERROR(VLOOKUP($O10213,'Customer List'!$A$1:$J$488,10,FALSE),"")</f>
        <v/>
      </c>
    </row>
    <row r="10214" spans="18:23">
      <c r="R10214" s="97">
        <f t="shared" si="373"/>
        <v>0</v>
      </c>
      <c r="W10214" s="66" t="str">
        <f>IFERROR(VLOOKUP($O10214,'Customer List'!$A$1:$J$488,10,FALSE),"")</f>
        <v/>
      </c>
    </row>
    <row r="10215" spans="18:23">
      <c r="R10215" s="97">
        <f t="shared" si="373"/>
        <v>0</v>
      </c>
      <c r="W10215" s="66" t="str">
        <f>IFERROR(VLOOKUP($O10215,'Customer List'!$A$1:$J$488,10,FALSE),"")</f>
        <v/>
      </c>
    </row>
    <row r="10216" spans="18:23">
      <c r="R10216" s="97">
        <f t="shared" ref="R10216:R10279" si="374">L10216-K10216</f>
        <v>0</v>
      </c>
      <c r="W10216" s="66" t="str">
        <f>IFERROR(VLOOKUP($O10216,'Customer List'!$A$1:$J$488,10,FALSE),"")</f>
        <v/>
      </c>
    </row>
    <row r="10217" spans="18:23">
      <c r="R10217" s="97">
        <f t="shared" si="374"/>
        <v>0</v>
      </c>
      <c r="W10217" s="66" t="str">
        <f>IFERROR(VLOOKUP($O10217,'Customer List'!$A$1:$J$488,10,FALSE),"")</f>
        <v/>
      </c>
    </row>
    <row r="10218" spans="18:23">
      <c r="R10218" s="97">
        <f t="shared" si="374"/>
        <v>0</v>
      </c>
      <c r="W10218" s="66" t="str">
        <f>IFERROR(VLOOKUP($O10218,'Customer List'!$A$1:$J$488,10,FALSE),"")</f>
        <v/>
      </c>
    </row>
    <row r="10219" spans="18:23">
      <c r="R10219" s="97">
        <f t="shared" si="374"/>
        <v>0</v>
      </c>
      <c r="W10219" s="66" t="str">
        <f>IFERROR(VLOOKUP($O10219,'Customer List'!$A$1:$J$488,10,FALSE),"")</f>
        <v/>
      </c>
    </row>
    <row r="10220" spans="18:23">
      <c r="R10220" s="97">
        <f t="shared" si="374"/>
        <v>0</v>
      </c>
      <c r="W10220" s="66" t="str">
        <f>IFERROR(VLOOKUP($O10220,'Customer List'!$A$1:$J$488,10,FALSE),"")</f>
        <v/>
      </c>
    </row>
    <row r="10221" spans="18:23">
      <c r="R10221" s="97">
        <f t="shared" si="374"/>
        <v>0</v>
      </c>
      <c r="W10221" s="66" t="str">
        <f>IFERROR(VLOOKUP($O10221,'Customer List'!$A$1:$J$488,10,FALSE),"")</f>
        <v/>
      </c>
    </row>
    <row r="10222" spans="18:23">
      <c r="R10222" s="97">
        <f t="shared" si="374"/>
        <v>0</v>
      </c>
      <c r="W10222" s="66" t="str">
        <f>IFERROR(VLOOKUP($O10222,'Customer List'!$A$1:$J$488,10,FALSE),"")</f>
        <v/>
      </c>
    </row>
    <row r="10223" spans="18:23">
      <c r="R10223" s="97">
        <f t="shared" si="374"/>
        <v>0</v>
      </c>
      <c r="W10223" s="66" t="str">
        <f>IFERROR(VLOOKUP($O10223,'Customer List'!$A$1:$J$488,10,FALSE),"")</f>
        <v/>
      </c>
    </row>
    <row r="10224" spans="18:23">
      <c r="R10224" s="97">
        <f t="shared" si="374"/>
        <v>0</v>
      </c>
      <c r="W10224" s="66" t="str">
        <f>IFERROR(VLOOKUP($O10224,'Customer List'!$A$1:$J$488,10,FALSE),"")</f>
        <v/>
      </c>
    </row>
    <row r="10225" spans="18:23">
      <c r="R10225" s="97">
        <f t="shared" si="374"/>
        <v>0</v>
      </c>
      <c r="W10225" s="66" t="str">
        <f>IFERROR(VLOOKUP($O10225,'Customer List'!$A$1:$J$488,10,FALSE),"")</f>
        <v/>
      </c>
    </row>
    <row r="10226" spans="18:23">
      <c r="R10226" s="97">
        <f t="shared" si="374"/>
        <v>0</v>
      </c>
      <c r="W10226" s="66" t="str">
        <f>IFERROR(VLOOKUP($O10226,'Customer List'!$A$1:$J$488,10,FALSE),"")</f>
        <v/>
      </c>
    </row>
    <row r="10227" spans="18:23">
      <c r="R10227" s="97">
        <f t="shared" si="374"/>
        <v>0</v>
      </c>
      <c r="W10227" s="66" t="str">
        <f>IFERROR(VLOOKUP($O10227,'Customer List'!$A$1:$J$488,10,FALSE),"")</f>
        <v/>
      </c>
    </row>
    <row r="10228" spans="18:23">
      <c r="R10228" s="97">
        <f t="shared" si="374"/>
        <v>0</v>
      </c>
      <c r="W10228" s="66" t="str">
        <f>IFERROR(VLOOKUP($O10228,'Customer List'!$A$1:$J$488,10,FALSE),"")</f>
        <v/>
      </c>
    </row>
    <row r="10229" spans="18:23">
      <c r="R10229" s="97">
        <f t="shared" si="374"/>
        <v>0</v>
      </c>
      <c r="W10229" s="66" t="str">
        <f>IFERROR(VLOOKUP($O10229,'Customer List'!$A$1:$J$488,10,FALSE),"")</f>
        <v/>
      </c>
    </row>
    <row r="10230" spans="18:23">
      <c r="R10230" s="97">
        <f t="shared" si="374"/>
        <v>0</v>
      </c>
      <c r="W10230" s="66" t="str">
        <f>IFERROR(VLOOKUP($O10230,'Customer List'!$A$1:$J$488,10,FALSE),"")</f>
        <v/>
      </c>
    </row>
    <row r="10231" spans="18:23">
      <c r="R10231" s="97">
        <f t="shared" si="374"/>
        <v>0</v>
      </c>
      <c r="W10231" s="66" t="str">
        <f>IFERROR(VLOOKUP($O10231,'Customer List'!$A$1:$J$488,10,FALSE),"")</f>
        <v/>
      </c>
    </row>
    <row r="10232" spans="18:23">
      <c r="R10232" s="97">
        <f t="shared" si="374"/>
        <v>0</v>
      </c>
      <c r="W10232" s="66" t="str">
        <f>IFERROR(VLOOKUP($O10232,'Customer List'!$A$1:$J$488,10,FALSE),"")</f>
        <v/>
      </c>
    </row>
    <row r="10233" spans="18:23">
      <c r="R10233" s="97">
        <f t="shared" si="374"/>
        <v>0</v>
      </c>
      <c r="W10233" s="66" t="str">
        <f>IFERROR(VLOOKUP($O10233,'Customer List'!$A$1:$J$488,10,FALSE),"")</f>
        <v/>
      </c>
    </row>
    <row r="10234" spans="18:23">
      <c r="R10234" s="97">
        <f t="shared" si="374"/>
        <v>0</v>
      </c>
      <c r="W10234" s="66" t="str">
        <f>IFERROR(VLOOKUP($O10234,'Customer List'!$A$1:$J$488,10,FALSE),"")</f>
        <v/>
      </c>
    </row>
    <row r="10235" spans="18:23">
      <c r="R10235" s="97">
        <f t="shared" si="374"/>
        <v>0</v>
      </c>
      <c r="W10235" s="66" t="str">
        <f>IFERROR(VLOOKUP($O10235,'Customer List'!$A$1:$J$488,10,FALSE),"")</f>
        <v/>
      </c>
    </row>
    <row r="10236" spans="18:23">
      <c r="R10236" s="97">
        <f t="shared" si="374"/>
        <v>0</v>
      </c>
      <c r="W10236" s="66" t="str">
        <f>IFERROR(VLOOKUP($O10236,'Customer List'!$A$1:$J$488,10,FALSE),"")</f>
        <v/>
      </c>
    </row>
    <row r="10237" spans="18:23">
      <c r="R10237" s="97">
        <f t="shared" si="374"/>
        <v>0</v>
      </c>
      <c r="W10237" s="66" t="str">
        <f>IFERROR(VLOOKUP($O10237,'Customer List'!$A$1:$J$488,10,FALSE),"")</f>
        <v/>
      </c>
    </row>
    <row r="10238" spans="18:23">
      <c r="R10238" s="97">
        <f t="shared" si="374"/>
        <v>0</v>
      </c>
      <c r="W10238" s="66" t="str">
        <f>IFERROR(VLOOKUP($O10238,'Customer List'!$A$1:$J$488,10,FALSE),"")</f>
        <v/>
      </c>
    </row>
    <row r="10239" spans="18:23">
      <c r="R10239" s="97">
        <f t="shared" si="374"/>
        <v>0</v>
      </c>
      <c r="W10239" s="66" t="str">
        <f>IFERROR(VLOOKUP($O10239,'Customer List'!$A$1:$J$488,10,FALSE),"")</f>
        <v/>
      </c>
    </row>
    <row r="10240" spans="18:23">
      <c r="R10240" s="97">
        <f t="shared" si="374"/>
        <v>0</v>
      </c>
      <c r="W10240" s="66" t="str">
        <f>IFERROR(VLOOKUP($O10240,'Customer List'!$A$1:$J$488,10,FALSE),"")</f>
        <v/>
      </c>
    </row>
    <row r="10241" spans="18:23">
      <c r="R10241" s="97">
        <f t="shared" si="374"/>
        <v>0</v>
      </c>
      <c r="W10241" s="66" t="str">
        <f>IFERROR(VLOOKUP($O10241,'Customer List'!$A$1:$J$488,10,FALSE),"")</f>
        <v/>
      </c>
    </row>
    <row r="10242" spans="18:23">
      <c r="R10242" s="97">
        <f t="shared" si="374"/>
        <v>0</v>
      </c>
      <c r="W10242" s="66" t="str">
        <f>IFERROR(VLOOKUP($O10242,'Customer List'!$A$1:$J$488,10,FALSE),"")</f>
        <v/>
      </c>
    </row>
    <row r="10243" spans="18:23">
      <c r="R10243" s="97">
        <f t="shared" si="374"/>
        <v>0</v>
      </c>
      <c r="W10243" s="66" t="str">
        <f>IFERROR(VLOOKUP($O10243,'Customer List'!$A$1:$J$488,10,FALSE),"")</f>
        <v/>
      </c>
    </row>
    <row r="10244" spans="18:23">
      <c r="R10244" s="97">
        <f t="shared" si="374"/>
        <v>0</v>
      </c>
      <c r="W10244" s="66" t="str">
        <f>IFERROR(VLOOKUP($O10244,'Customer List'!$A$1:$J$488,10,FALSE),"")</f>
        <v/>
      </c>
    </row>
    <row r="10245" spans="18:23">
      <c r="R10245" s="97">
        <f t="shared" si="374"/>
        <v>0</v>
      </c>
      <c r="W10245" s="66" t="str">
        <f>IFERROR(VLOOKUP($O10245,'Customer List'!$A$1:$J$488,10,FALSE),"")</f>
        <v/>
      </c>
    </row>
    <row r="10246" spans="18:23">
      <c r="R10246" s="97">
        <f t="shared" si="374"/>
        <v>0</v>
      </c>
      <c r="W10246" s="66" t="str">
        <f>IFERROR(VLOOKUP($O10246,'Customer List'!$A$1:$J$488,10,FALSE),"")</f>
        <v/>
      </c>
    </row>
    <row r="10247" spans="18:23">
      <c r="R10247" s="97">
        <f t="shared" si="374"/>
        <v>0</v>
      </c>
      <c r="W10247" s="66" t="str">
        <f>IFERROR(VLOOKUP($O10247,'Customer List'!$A$1:$J$488,10,FALSE),"")</f>
        <v/>
      </c>
    </row>
    <row r="10248" spans="18:23">
      <c r="R10248" s="97">
        <f t="shared" si="374"/>
        <v>0</v>
      </c>
      <c r="W10248" s="66" t="str">
        <f>IFERROR(VLOOKUP($O10248,'Customer List'!$A$1:$J$488,10,FALSE),"")</f>
        <v/>
      </c>
    </row>
    <row r="10249" spans="18:23">
      <c r="R10249" s="97">
        <f t="shared" si="374"/>
        <v>0</v>
      </c>
      <c r="W10249" s="66" t="str">
        <f>IFERROR(VLOOKUP($O10249,'Customer List'!$A$1:$J$488,10,FALSE),"")</f>
        <v/>
      </c>
    </row>
    <row r="10250" spans="18:23">
      <c r="R10250" s="97">
        <f t="shared" si="374"/>
        <v>0</v>
      </c>
      <c r="W10250" s="66" t="str">
        <f>IFERROR(VLOOKUP($O10250,'Customer List'!$A$1:$J$488,10,FALSE),"")</f>
        <v/>
      </c>
    </row>
    <row r="10251" spans="18:23">
      <c r="R10251" s="97">
        <f t="shared" si="374"/>
        <v>0</v>
      </c>
      <c r="W10251" s="66" t="str">
        <f>IFERROR(VLOOKUP($O10251,'Customer List'!$A$1:$J$488,10,FALSE),"")</f>
        <v/>
      </c>
    </row>
    <row r="10252" spans="18:23">
      <c r="R10252" s="97">
        <f t="shared" si="374"/>
        <v>0</v>
      </c>
      <c r="W10252" s="66" t="str">
        <f>IFERROR(VLOOKUP($O10252,'Customer List'!$A$1:$J$488,10,FALSE),"")</f>
        <v/>
      </c>
    </row>
    <row r="10253" spans="18:23">
      <c r="R10253" s="97">
        <f t="shared" si="374"/>
        <v>0</v>
      </c>
      <c r="W10253" s="66" t="str">
        <f>IFERROR(VLOOKUP($O10253,'Customer List'!$A$1:$J$488,10,FALSE),"")</f>
        <v/>
      </c>
    </row>
    <row r="10254" spans="18:23">
      <c r="R10254" s="97">
        <f t="shared" si="374"/>
        <v>0</v>
      </c>
      <c r="W10254" s="66" t="str">
        <f>IFERROR(VLOOKUP($O10254,'Customer List'!$A$1:$J$488,10,FALSE),"")</f>
        <v/>
      </c>
    </row>
    <row r="10255" spans="18:23">
      <c r="R10255" s="97">
        <f t="shared" si="374"/>
        <v>0</v>
      </c>
      <c r="W10255" s="66" t="str">
        <f>IFERROR(VLOOKUP($O10255,'Customer List'!$A$1:$J$488,10,FALSE),"")</f>
        <v/>
      </c>
    </row>
    <row r="10256" spans="18:23">
      <c r="R10256" s="97">
        <f t="shared" si="374"/>
        <v>0</v>
      </c>
      <c r="W10256" s="66" t="str">
        <f>IFERROR(VLOOKUP($O10256,'Customer List'!$A$1:$J$488,10,FALSE),"")</f>
        <v/>
      </c>
    </row>
    <row r="10257" spans="18:23">
      <c r="R10257" s="97">
        <f t="shared" si="374"/>
        <v>0</v>
      </c>
      <c r="W10257" s="66" t="str">
        <f>IFERROR(VLOOKUP($O10257,'Customer List'!$A$1:$J$488,10,FALSE),"")</f>
        <v/>
      </c>
    </row>
    <row r="10258" spans="18:23">
      <c r="R10258" s="97">
        <f t="shared" si="374"/>
        <v>0</v>
      </c>
      <c r="W10258" s="66" t="str">
        <f>IFERROR(VLOOKUP($O10258,'Customer List'!$A$1:$J$488,10,FALSE),"")</f>
        <v/>
      </c>
    </row>
    <row r="10259" spans="18:23">
      <c r="R10259" s="97">
        <f t="shared" si="374"/>
        <v>0</v>
      </c>
      <c r="W10259" s="66" t="str">
        <f>IFERROR(VLOOKUP($O10259,'Customer List'!$A$1:$J$488,10,FALSE),"")</f>
        <v/>
      </c>
    </row>
    <row r="10260" spans="18:23">
      <c r="R10260" s="97">
        <f t="shared" si="374"/>
        <v>0</v>
      </c>
      <c r="W10260" s="66" t="str">
        <f>IFERROR(VLOOKUP($O10260,'Customer List'!$A$1:$J$488,10,FALSE),"")</f>
        <v/>
      </c>
    </row>
    <row r="10261" spans="18:23">
      <c r="R10261" s="97">
        <f t="shared" si="374"/>
        <v>0</v>
      </c>
      <c r="W10261" s="66" t="str">
        <f>IFERROR(VLOOKUP($O10261,'Customer List'!$A$1:$J$488,10,FALSE),"")</f>
        <v/>
      </c>
    </row>
    <row r="10262" spans="18:23">
      <c r="R10262" s="97">
        <f t="shared" si="374"/>
        <v>0</v>
      </c>
      <c r="W10262" s="66" t="str">
        <f>IFERROR(VLOOKUP($O10262,'Customer List'!$A$1:$J$488,10,FALSE),"")</f>
        <v/>
      </c>
    </row>
    <row r="10263" spans="18:23">
      <c r="R10263" s="97">
        <f t="shared" si="374"/>
        <v>0</v>
      </c>
      <c r="W10263" s="66" t="str">
        <f>IFERROR(VLOOKUP($O10263,'Customer List'!$A$1:$J$488,10,FALSE),"")</f>
        <v/>
      </c>
    </row>
    <row r="10264" spans="18:23">
      <c r="R10264" s="97">
        <f t="shared" si="374"/>
        <v>0</v>
      </c>
      <c r="W10264" s="66" t="str">
        <f>IFERROR(VLOOKUP($O10264,'Customer List'!$A$1:$J$488,10,FALSE),"")</f>
        <v/>
      </c>
    </row>
    <row r="10265" spans="18:23">
      <c r="R10265" s="97">
        <f t="shared" si="374"/>
        <v>0</v>
      </c>
      <c r="W10265" s="66" t="str">
        <f>IFERROR(VLOOKUP($O10265,'Customer List'!$A$1:$J$488,10,FALSE),"")</f>
        <v/>
      </c>
    </row>
    <row r="10266" spans="18:23">
      <c r="R10266" s="97">
        <f t="shared" si="374"/>
        <v>0</v>
      </c>
      <c r="W10266" s="66" t="str">
        <f>IFERROR(VLOOKUP($O10266,'Customer List'!$A$1:$J$488,10,FALSE),"")</f>
        <v/>
      </c>
    </row>
    <row r="10267" spans="18:23">
      <c r="R10267" s="97">
        <f t="shared" si="374"/>
        <v>0</v>
      </c>
      <c r="W10267" s="66" t="str">
        <f>IFERROR(VLOOKUP($O10267,'Customer List'!$A$1:$J$488,10,FALSE),"")</f>
        <v/>
      </c>
    </row>
    <row r="10268" spans="18:23">
      <c r="R10268" s="97">
        <f t="shared" si="374"/>
        <v>0</v>
      </c>
      <c r="W10268" s="66" t="str">
        <f>IFERROR(VLOOKUP($O10268,'Customer List'!$A$1:$J$488,10,FALSE),"")</f>
        <v/>
      </c>
    </row>
    <row r="10269" spans="18:23">
      <c r="R10269" s="97">
        <f t="shared" si="374"/>
        <v>0</v>
      </c>
      <c r="W10269" s="66" t="str">
        <f>IFERROR(VLOOKUP($O10269,'Customer List'!$A$1:$J$488,10,FALSE),"")</f>
        <v/>
      </c>
    </row>
    <row r="10270" spans="18:23">
      <c r="R10270" s="97">
        <f t="shared" si="374"/>
        <v>0</v>
      </c>
      <c r="W10270" s="66" t="str">
        <f>IFERROR(VLOOKUP($O10270,'Customer List'!$A$1:$J$488,10,FALSE),"")</f>
        <v/>
      </c>
    </row>
    <row r="10271" spans="18:23">
      <c r="R10271" s="97">
        <f t="shared" si="374"/>
        <v>0</v>
      </c>
      <c r="W10271" s="66" t="str">
        <f>IFERROR(VLOOKUP($O10271,'Customer List'!$A$1:$J$488,10,FALSE),"")</f>
        <v/>
      </c>
    </row>
    <row r="10272" spans="18:23">
      <c r="R10272" s="97">
        <f t="shared" si="374"/>
        <v>0</v>
      </c>
      <c r="W10272" s="66" t="str">
        <f>IFERROR(VLOOKUP($O10272,'Customer List'!$A$1:$J$488,10,FALSE),"")</f>
        <v/>
      </c>
    </row>
    <row r="10273" spans="18:23">
      <c r="R10273" s="97">
        <f t="shared" si="374"/>
        <v>0</v>
      </c>
      <c r="W10273" s="66" t="str">
        <f>IFERROR(VLOOKUP($O10273,'Customer List'!$A$1:$J$488,10,FALSE),"")</f>
        <v/>
      </c>
    </row>
    <row r="10274" spans="18:23">
      <c r="R10274" s="97">
        <f t="shared" si="374"/>
        <v>0</v>
      </c>
      <c r="W10274" s="66" t="str">
        <f>IFERROR(VLOOKUP($O10274,'Customer List'!$A$1:$J$488,10,FALSE),"")</f>
        <v/>
      </c>
    </row>
    <row r="10275" spans="18:23">
      <c r="R10275" s="97">
        <f t="shared" si="374"/>
        <v>0</v>
      </c>
      <c r="W10275" s="66" t="str">
        <f>IFERROR(VLOOKUP($O10275,'Customer List'!$A$1:$J$488,10,FALSE),"")</f>
        <v/>
      </c>
    </row>
    <row r="10276" spans="18:23">
      <c r="R10276" s="97">
        <f t="shared" si="374"/>
        <v>0</v>
      </c>
      <c r="W10276" s="66" t="str">
        <f>IFERROR(VLOOKUP($O10276,'Customer List'!$A$1:$J$488,10,FALSE),"")</f>
        <v/>
      </c>
    </row>
    <row r="10277" spans="18:23">
      <c r="R10277" s="97">
        <f t="shared" si="374"/>
        <v>0</v>
      </c>
      <c r="W10277" s="66" t="str">
        <f>IFERROR(VLOOKUP($O10277,'Customer List'!$A$1:$J$488,10,FALSE),"")</f>
        <v/>
      </c>
    </row>
    <row r="10278" spans="18:23">
      <c r="R10278" s="97">
        <f t="shared" si="374"/>
        <v>0</v>
      </c>
      <c r="W10278" s="66" t="str">
        <f>IFERROR(VLOOKUP($O10278,'Customer List'!$A$1:$J$488,10,FALSE),"")</f>
        <v/>
      </c>
    </row>
    <row r="10279" spans="18:23">
      <c r="R10279" s="97">
        <f t="shared" si="374"/>
        <v>0</v>
      </c>
      <c r="W10279" s="66" t="str">
        <f>IFERROR(VLOOKUP($O10279,'Customer List'!$A$1:$J$488,10,FALSE),"")</f>
        <v/>
      </c>
    </row>
    <row r="10280" spans="18:23">
      <c r="R10280" s="97">
        <f t="shared" ref="R10280:R10343" si="375">L10280-K10280</f>
        <v>0</v>
      </c>
      <c r="W10280" s="66" t="str">
        <f>IFERROR(VLOOKUP($O10280,'Customer List'!$A$1:$J$488,10,FALSE),"")</f>
        <v/>
      </c>
    </row>
    <row r="10281" spans="18:23">
      <c r="R10281" s="97">
        <f t="shared" si="375"/>
        <v>0</v>
      </c>
      <c r="W10281" s="66" t="str">
        <f>IFERROR(VLOOKUP($O10281,'Customer List'!$A$1:$J$488,10,FALSE),"")</f>
        <v/>
      </c>
    </row>
    <row r="10282" spans="18:23">
      <c r="R10282" s="97">
        <f t="shared" si="375"/>
        <v>0</v>
      </c>
      <c r="W10282" s="66" t="str">
        <f>IFERROR(VLOOKUP($O10282,'Customer List'!$A$1:$J$488,10,FALSE),"")</f>
        <v/>
      </c>
    </row>
    <row r="10283" spans="18:23">
      <c r="R10283" s="97">
        <f t="shared" si="375"/>
        <v>0</v>
      </c>
      <c r="W10283" s="66" t="str">
        <f>IFERROR(VLOOKUP($O10283,'Customer List'!$A$1:$J$488,10,FALSE),"")</f>
        <v/>
      </c>
    </row>
    <row r="10284" spans="18:23">
      <c r="R10284" s="97">
        <f t="shared" si="375"/>
        <v>0</v>
      </c>
      <c r="W10284" s="66" t="str">
        <f>IFERROR(VLOOKUP($O10284,'Customer List'!$A$1:$J$488,10,FALSE),"")</f>
        <v/>
      </c>
    </row>
    <row r="10285" spans="18:23">
      <c r="R10285" s="97">
        <f t="shared" si="375"/>
        <v>0</v>
      </c>
      <c r="W10285" s="66" t="str">
        <f>IFERROR(VLOOKUP($O10285,'Customer List'!$A$1:$J$488,10,FALSE),"")</f>
        <v/>
      </c>
    </row>
    <row r="10286" spans="18:23">
      <c r="R10286" s="97">
        <f t="shared" si="375"/>
        <v>0</v>
      </c>
      <c r="W10286" s="66" t="str">
        <f>IFERROR(VLOOKUP($O10286,'Customer List'!$A$1:$J$488,10,FALSE),"")</f>
        <v/>
      </c>
    </row>
    <row r="10287" spans="18:23">
      <c r="R10287" s="97">
        <f t="shared" si="375"/>
        <v>0</v>
      </c>
      <c r="W10287" s="66" t="str">
        <f>IFERROR(VLOOKUP($O10287,'Customer List'!$A$1:$J$488,10,FALSE),"")</f>
        <v/>
      </c>
    </row>
    <row r="10288" spans="18:23">
      <c r="R10288" s="97">
        <f t="shared" si="375"/>
        <v>0</v>
      </c>
      <c r="W10288" s="66" t="str">
        <f>IFERROR(VLOOKUP($O10288,'Customer List'!$A$1:$J$488,10,FALSE),"")</f>
        <v/>
      </c>
    </row>
    <row r="10289" spans="18:23">
      <c r="R10289" s="97">
        <f t="shared" si="375"/>
        <v>0</v>
      </c>
      <c r="W10289" s="66" t="str">
        <f>IFERROR(VLOOKUP($O10289,'Customer List'!$A$1:$J$488,10,FALSE),"")</f>
        <v/>
      </c>
    </row>
    <row r="10290" spans="18:23">
      <c r="R10290" s="97">
        <f t="shared" si="375"/>
        <v>0</v>
      </c>
      <c r="W10290" s="66" t="str">
        <f>IFERROR(VLOOKUP($O10290,'Customer List'!$A$1:$J$488,10,FALSE),"")</f>
        <v/>
      </c>
    </row>
    <row r="10291" spans="18:23">
      <c r="R10291" s="97">
        <f t="shared" si="375"/>
        <v>0</v>
      </c>
      <c r="W10291" s="66" t="str">
        <f>IFERROR(VLOOKUP($O10291,'Customer List'!$A$1:$J$488,10,FALSE),"")</f>
        <v/>
      </c>
    </row>
    <row r="10292" spans="18:23">
      <c r="R10292" s="97">
        <f t="shared" si="375"/>
        <v>0</v>
      </c>
      <c r="W10292" s="66" t="str">
        <f>IFERROR(VLOOKUP($O10292,'Customer List'!$A$1:$J$488,10,FALSE),"")</f>
        <v/>
      </c>
    </row>
    <row r="10293" spans="18:23">
      <c r="R10293" s="97">
        <f t="shared" si="375"/>
        <v>0</v>
      </c>
      <c r="W10293" s="66" t="str">
        <f>IFERROR(VLOOKUP($O10293,'Customer List'!$A$1:$J$488,10,FALSE),"")</f>
        <v/>
      </c>
    </row>
    <row r="10294" spans="18:23">
      <c r="R10294" s="97">
        <f t="shared" si="375"/>
        <v>0</v>
      </c>
      <c r="W10294" s="66" t="str">
        <f>IFERROR(VLOOKUP($O10294,'Customer List'!$A$1:$J$488,10,FALSE),"")</f>
        <v/>
      </c>
    </row>
    <row r="10295" spans="18:23">
      <c r="R10295" s="97">
        <f t="shared" si="375"/>
        <v>0</v>
      </c>
      <c r="W10295" s="66" t="str">
        <f>IFERROR(VLOOKUP($O10295,'Customer List'!$A$1:$J$488,10,FALSE),"")</f>
        <v/>
      </c>
    </row>
    <row r="10296" spans="18:23">
      <c r="R10296" s="97">
        <f t="shared" si="375"/>
        <v>0</v>
      </c>
      <c r="W10296" s="66" t="str">
        <f>IFERROR(VLOOKUP($O10296,'Customer List'!$A$1:$J$488,10,FALSE),"")</f>
        <v/>
      </c>
    </row>
    <row r="10297" spans="18:23">
      <c r="R10297" s="97">
        <f t="shared" si="375"/>
        <v>0</v>
      </c>
      <c r="W10297" s="66" t="str">
        <f>IFERROR(VLOOKUP($O10297,'Customer List'!$A$1:$J$488,10,FALSE),"")</f>
        <v/>
      </c>
    </row>
    <row r="10298" spans="18:23">
      <c r="R10298" s="97">
        <f t="shared" si="375"/>
        <v>0</v>
      </c>
      <c r="W10298" s="66" t="str">
        <f>IFERROR(VLOOKUP($O10298,'Customer List'!$A$1:$J$488,10,FALSE),"")</f>
        <v/>
      </c>
    </row>
    <row r="10299" spans="18:23">
      <c r="R10299" s="97">
        <f t="shared" si="375"/>
        <v>0</v>
      </c>
      <c r="W10299" s="66" t="str">
        <f>IFERROR(VLOOKUP($O10299,'Customer List'!$A$1:$J$488,10,FALSE),"")</f>
        <v/>
      </c>
    </row>
    <row r="10300" spans="18:23">
      <c r="R10300" s="97">
        <f t="shared" si="375"/>
        <v>0</v>
      </c>
      <c r="W10300" s="66" t="str">
        <f>IFERROR(VLOOKUP($O10300,'Customer List'!$A$1:$J$488,10,FALSE),"")</f>
        <v/>
      </c>
    </row>
    <row r="10301" spans="18:23">
      <c r="R10301" s="97">
        <f t="shared" si="375"/>
        <v>0</v>
      </c>
      <c r="W10301" s="66" t="str">
        <f>IFERROR(VLOOKUP($O10301,'Customer List'!$A$1:$J$488,10,FALSE),"")</f>
        <v/>
      </c>
    </row>
    <row r="10302" spans="18:23">
      <c r="R10302" s="97">
        <f t="shared" si="375"/>
        <v>0</v>
      </c>
      <c r="W10302" s="66" t="str">
        <f>IFERROR(VLOOKUP($O10302,'Customer List'!$A$1:$J$488,10,FALSE),"")</f>
        <v/>
      </c>
    </row>
    <row r="10303" spans="18:23">
      <c r="R10303" s="97">
        <f t="shared" si="375"/>
        <v>0</v>
      </c>
      <c r="W10303" s="66" t="str">
        <f>IFERROR(VLOOKUP($O10303,'Customer List'!$A$1:$J$488,10,FALSE),"")</f>
        <v/>
      </c>
    </row>
    <row r="10304" spans="18:23">
      <c r="R10304" s="97">
        <f t="shared" si="375"/>
        <v>0</v>
      </c>
      <c r="W10304" s="66" t="str">
        <f>IFERROR(VLOOKUP($O10304,'Customer List'!$A$1:$J$488,10,FALSE),"")</f>
        <v/>
      </c>
    </row>
    <row r="10305" spans="18:23">
      <c r="R10305" s="97">
        <f t="shared" si="375"/>
        <v>0</v>
      </c>
      <c r="W10305" s="66" t="str">
        <f>IFERROR(VLOOKUP($O10305,'Customer List'!$A$1:$J$488,10,FALSE),"")</f>
        <v/>
      </c>
    </row>
    <row r="10306" spans="18:23">
      <c r="R10306" s="97">
        <f t="shared" si="375"/>
        <v>0</v>
      </c>
      <c r="W10306" s="66" t="str">
        <f>IFERROR(VLOOKUP($O10306,'Customer List'!$A$1:$J$488,10,FALSE),"")</f>
        <v/>
      </c>
    </row>
    <row r="10307" spans="18:23">
      <c r="R10307" s="97">
        <f t="shared" si="375"/>
        <v>0</v>
      </c>
      <c r="W10307" s="66" t="str">
        <f>IFERROR(VLOOKUP($O10307,'Customer List'!$A$1:$J$488,10,FALSE),"")</f>
        <v/>
      </c>
    </row>
    <row r="10308" spans="18:23">
      <c r="R10308" s="97">
        <f t="shared" si="375"/>
        <v>0</v>
      </c>
      <c r="W10308" s="66" t="str">
        <f>IFERROR(VLOOKUP($O10308,'Customer List'!$A$1:$J$488,10,FALSE),"")</f>
        <v/>
      </c>
    </row>
    <row r="10309" spans="18:23">
      <c r="R10309" s="97">
        <f t="shared" si="375"/>
        <v>0</v>
      </c>
      <c r="W10309" s="66" t="str">
        <f>IFERROR(VLOOKUP($O10309,'Customer List'!$A$1:$J$488,10,FALSE),"")</f>
        <v/>
      </c>
    </row>
    <row r="10310" spans="18:23">
      <c r="R10310" s="97">
        <f t="shared" si="375"/>
        <v>0</v>
      </c>
      <c r="W10310" s="66" t="str">
        <f>IFERROR(VLOOKUP($O10310,'Customer List'!$A$1:$J$488,10,FALSE),"")</f>
        <v/>
      </c>
    </row>
    <row r="10311" spans="18:23">
      <c r="R10311" s="97">
        <f t="shared" si="375"/>
        <v>0</v>
      </c>
      <c r="W10311" s="66" t="str">
        <f>IFERROR(VLOOKUP($O10311,'Customer List'!$A$1:$J$488,10,FALSE),"")</f>
        <v/>
      </c>
    </row>
    <row r="10312" spans="18:23">
      <c r="R10312" s="97">
        <f t="shared" si="375"/>
        <v>0</v>
      </c>
      <c r="W10312" s="66" t="str">
        <f>IFERROR(VLOOKUP($O10312,'Customer List'!$A$1:$J$488,10,FALSE),"")</f>
        <v/>
      </c>
    </row>
    <row r="10313" spans="18:23">
      <c r="R10313" s="97">
        <f t="shared" si="375"/>
        <v>0</v>
      </c>
      <c r="W10313" s="66" t="str">
        <f>IFERROR(VLOOKUP($O10313,'Customer List'!$A$1:$J$488,10,FALSE),"")</f>
        <v/>
      </c>
    </row>
    <row r="10314" spans="18:23">
      <c r="R10314" s="97">
        <f t="shared" si="375"/>
        <v>0</v>
      </c>
      <c r="W10314" s="66" t="str">
        <f>IFERROR(VLOOKUP($O10314,'Customer List'!$A$1:$J$488,10,FALSE),"")</f>
        <v/>
      </c>
    </row>
    <row r="10315" spans="18:23">
      <c r="R10315" s="97">
        <f t="shared" si="375"/>
        <v>0</v>
      </c>
      <c r="W10315" s="66" t="str">
        <f>IFERROR(VLOOKUP($O10315,'Customer List'!$A$1:$J$488,10,FALSE),"")</f>
        <v/>
      </c>
    </row>
    <row r="10316" spans="18:23">
      <c r="R10316" s="97">
        <f t="shared" si="375"/>
        <v>0</v>
      </c>
      <c r="W10316" s="66" t="str">
        <f>IFERROR(VLOOKUP($O10316,'Customer List'!$A$1:$J$488,10,FALSE),"")</f>
        <v/>
      </c>
    </row>
    <row r="10317" spans="18:23">
      <c r="R10317" s="97">
        <f t="shared" si="375"/>
        <v>0</v>
      </c>
      <c r="W10317" s="66" t="str">
        <f>IFERROR(VLOOKUP($O10317,'Customer List'!$A$1:$J$488,10,FALSE),"")</f>
        <v/>
      </c>
    </row>
    <row r="10318" spans="18:23">
      <c r="R10318" s="97">
        <f t="shared" si="375"/>
        <v>0</v>
      </c>
      <c r="W10318" s="66" t="str">
        <f>IFERROR(VLOOKUP($O10318,'Customer List'!$A$1:$J$488,10,FALSE),"")</f>
        <v/>
      </c>
    </row>
    <row r="10319" spans="18:23">
      <c r="R10319" s="97">
        <f t="shared" si="375"/>
        <v>0</v>
      </c>
      <c r="W10319" s="66" t="str">
        <f>IFERROR(VLOOKUP($O10319,'Customer List'!$A$1:$J$488,10,FALSE),"")</f>
        <v/>
      </c>
    </row>
    <row r="10320" spans="18:23">
      <c r="R10320" s="97">
        <f t="shared" si="375"/>
        <v>0</v>
      </c>
      <c r="W10320" s="66" t="str">
        <f>IFERROR(VLOOKUP($O10320,'Customer List'!$A$1:$J$488,10,FALSE),"")</f>
        <v/>
      </c>
    </row>
    <row r="10321" spans="18:23">
      <c r="R10321" s="97">
        <f t="shared" si="375"/>
        <v>0</v>
      </c>
      <c r="W10321" s="66" t="str">
        <f>IFERROR(VLOOKUP($O10321,'Customer List'!$A$1:$J$488,10,FALSE),"")</f>
        <v/>
      </c>
    </row>
    <row r="10322" spans="18:23">
      <c r="R10322" s="97">
        <f t="shared" si="375"/>
        <v>0</v>
      </c>
      <c r="W10322" s="66" t="str">
        <f>IFERROR(VLOOKUP($O10322,'Customer List'!$A$1:$J$488,10,FALSE),"")</f>
        <v/>
      </c>
    </row>
    <row r="10323" spans="18:23">
      <c r="R10323" s="97">
        <f t="shared" si="375"/>
        <v>0</v>
      </c>
      <c r="W10323" s="66" t="str">
        <f>IFERROR(VLOOKUP($O10323,'Customer List'!$A$1:$J$488,10,FALSE),"")</f>
        <v/>
      </c>
    </row>
    <row r="10324" spans="18:23">
      <c r="R10324" s="97">
        <f t="shared" si="375"/>
        <v>0</v>
      </c>
      <c r="W10324" s="66" t="str">
        <f>IFERROR(VLOOKUP($O10324,'Customer List'!$A$1:$J$488,10,FALSE),"")</f>
        <v/>
      </c>
    </row>
    <row r="10325" spans="18:23">
      <c r="R10325" s="97">
        <f t="shared" si="375"/>
        <v>0</v>
      </c>
      <c r="W10325" s="66" t="str">
        <f>IFERROR(VLOOKUP($O10325,'Customer List'!$A$1:$J$488,10,FALSE),"")</f>
        <v/>
      </c>
    </row>
    <row r="10326" spans="18:23">
      <c r="R10326" s="97">
        <f t="shared" si="375"/>
        <v>0</v>
      </c>
      <c r="W10326" s="66" t="str">
        <f>IFERROR(VLOOKUP($O10326,'Customer List'!$A$1:$J$488,10,FALSE),"")</f>
        <v/>
      </c>
    </row>
    <row r="10327" spans="18:23">
      <c r="R10327" s="97">
        <f t="shared" si="375"/>
        <v>0</v>
      </c>
      <c r="W10327" s="66" t="str">
        <f>IFERROR(VLOOKUP($O10327,'Customer List'!$A$1:$J$488,10,FALSE),"")</f>
        <v/>
      </c>
    </row>
    <row r="10328" spans="18:23">
      <c r="R10328" s="97">
        <f t="shared" si="375"/>
        <v>0</v>
      </c>
      <c r="W10328" s="66" t="str">
        <f>IFERROR(VLOOKUP($O10328,'Customer List'!$A$1:$J$488,10,FALSE),"")</f>
        <v/>
      </c>
    </row>
    <row r="10329" spans="18:23">
      <c r="R10329" s="97">
        <f t="shared" si="375"/>
        <v>0</v>
      </c>
      <c r="W10329" s="66" t="str">
        <f>IFERROR(VLOOKUP($O10329,'Customer List'!$A$1:$J$488,10,FALSE),"")</f>
        <v/>
      </c>
    </row>
    <row r="10330" spans="18:23">
      <c r="R10330" s="97">
        <f t="shared" si="375"/>
        <v>0</v>
      </c>
      <c r="W10330" s="66" t="str">
        <f>IFERROR(VLOOKUP($O10330,'Customer List'!$A$1:$J$488,10,FALSE),"")</f>
        <v/>
      </c>
    </row>
    <row r="10331" spans="18:23">
      <c r="R10331" s="97">
        <f t="shared" si="375"/>
        <v>0</v>
      </c>
      <c r="W10331" s="66" t="str">
        <f>IFERROR(VLOOKUP($O10331,'Customer List'!$A$1:$J$488,10,FALSE),"")</f>
        <v/>
      </c>
    </row>
    <row r="10332" spans="18:23">
      <c r="R10332" s="97">
        <f t="shared" si="375"/>
        <v>0</v>
      </c>
      <c r="W10332" s="66" t="str">
        <f>IFERROR(VLOOKUP($O10332,'Customer List'!$A$1:$J$488,10,FALSE),"")</f>
        <v/>
      </c>
    </row>
    <row r="10333" spans="18:23">
      <c r="R10333" s="97">
        <f t="shared" si="375"/>
        <v>0</v>
      </c>
      <c r="W10333" s="66" t="str">
        <f>IFERROR(VLOOKUP($O10333,'Customer List'!$A$1:$J$488,10,FALSE),"")</f>
        <v/>
      </c>
    </row>
    <row r="10334" spans="18:23">
      <c r="R10334" s="97">
        <f t="shared" si="375"/>
        <v>0</v>
      </c>
      <c r="W10334" s="66" t="str">
        <f>IFERROR(VLOOKUP($O10334,'Customer List'!$A$1:$J$488,10,FALSE),"")</f>
        <v/>
      </c>
    </row>
    <row r="10335" spans="18:23">
      <c r="R10335" s="97">
        <f t="shared" si="375"/>
        <v>0</v>
      </c>
      <c r="W10335" s="66" t="str">
        <f>IFERROR(VLOOKUP($O10335,'Customer List'!$A$1:$J$488,10,FALSE),"")</f>
        <v/>
      </c>
    </row>
    <row r="10336" spans="18:23">
      <c r="R10336" s="97">
        <f t="shared" si="375"/>
        <v>0</v>
      </c>
      <c r="W10336" s="66" t="str">
        <f>IFERROR(VLOOKUP($O10336,'Customer List'!$A$1:$J$488,10,FALSE),"")</f>
        <v/>
      </c>
    </row>
    <row r="10337" spans="18:23">
      <c r="R10337" s="97">
        <f t="shared" si="375"/>
        <v>0</v>
      </c>
      <c r="W10337" s="66" t="str">
        <f>IFERROR(VLOOKUP($O10337,'Customer List'!$A$1:$J$488,10,FALSE),"")</f>
        <v/>
      </c>
    </row>
    <row r="10338" spans="18:23">
      <c r="R10338" s="97">
        <f t="shared" si="375"/>
        <v>0</v>
      </c>
      <c r="W10338" s="66" t="str">
        <f>IFERROR(VLOOKUP($O10338,'Customer List'!$A$1:$J$488,10,FALSE),"")</f>
        <v/>
      </c>
    </row>
    <row r="10339" spans="18:23">
      <c r="R10339" s="97">
        <f t="shared" si="375"/>
        <v>0</v>
      </c>
      <c r="W10339" s="66" t="str">
        <f>IFERROR(VLOOKUP($O10339,'Customer List'!$A$1:$J$488,10,FALSE),"")</f>
        <v/>
      </c>
    </row>
    <row r="10340" spans="18:23">
      <c r="R10340" s="97">
        <f t="shared" si="375"/>
        <v>0</v>
      </c>
      <c r="W10340" s="66" t="str">
        <f>IFERROR(VLOOKUP($O10340,'Customer List'!$A$1:$J$488,10,FALSE),"")</f>
        <v/>
      </c>
    </row>
    <row r="10341" spans="18:23">
      <c r="R10341" s="97">
        <f t="shared" si="375"/>
        <v>0</v>
      </c>
      <c r="W10341" s="66" t="str">
        <f>IFERROR(VLOOKUP($O10341,'Customer List'!$A$1:$J$488,10,FALSE),"")</f>
        <v/>
      </c>
    </row>
    <row r="10342" spans="18:23">
      <c r="R10342" s="97">
        <f t="shared" si="375"/>
        <v>0</v>
      </c>
      <c r="W10342" s="66" t="str">
        <f>IFERROR(VLOOKUP($O10342,'Customer List'!$A$1:$J$488,10,FALSE),"")</f>
        <v/>
      </c>
    </row>
    <row r="10343" spans="18:23">
      <c r="R10343" s="97">
        <f t="shared" si="375"/>
        <v>0</v>
      </c>
      <c r="W10343" s="66" t="str">
        <f>IFERROR(VLOOKUP($O10343,'Customer List'!$A$1:$J$488,10,FALSE),"")</f>
        <v/>
      </c>
    </row>
    <row r="10344" spans="18:23">
      <c r="R10344" s="97">
        <f t="shared" ref="R10344:R10407" si="376">L10344-K10344</f>
        <v>0</v>
      </c>
      <c r="W10344" s="66" t="str">
        <f>IFERROR(VLOOKUP($O10344,'Customer List'!$A$1:$J$488,10,FALSE),"")</f>
        <v/>
      </c>
    </row>
    <row r="10345" spans="18:23">
      <c r="R10345" s="97">
        <f t="shared" si="376"/>
        <v>0</v>
      </c>
      <c r="W10345" s="66" t="str">
        <f>IFERROR(VLOOKUP($O10345,'Customer List'!$A$1:$J$488,10,FALSE),"")</f>
        <v/>
      </c>
    </row>
    <row r="10346" spans="18:23">
      <c r="R10346" s="97">
        <f t="shared" si="376"/>
        <v>0</v>
      </c>
      <c r="W10346" s="66" t="str">
        <f>IFERROR(VLOOKUP($O10346,'Customer List'!$A$1:$J$488,10,FALSE),"")</f>
        <v/>
      </c>
    </row>
    <row r="10347" spans="18:23">
      <c r="R10347" s="97">
        <f t="shared" si="376"/>
        <v>0</v>
      </c>
      <c r="W10347" s="66" t="str">
        <f>IFERROR(VLOOKUP($O10347,'Customer List'!$A$1:$J$488,10,FALSE),"")</f>
        <v/>
      </c>
    </row>
    <row r="10348" spans="18:23">
      <c r="R10348" s="97">
        <f t="shared" si="376"/>
        <v>0</v>
      </c>
      <c r="W10348" s="66" t="str">
        <f>IFERROR(VLOOKUP($O10348,'Customer List'!$A$1:$J$488,10,FALSE),"")</f>
        <v/>
      </c>
    </row>
    <row r="10349" spans="18:23">
      <c r="R10349" s="97">
        <f t="shared" si="376"/>
        <v>0</v>
      </c>
      <c r="W10349" s="66" t="str">
        <f>IFERROR(VLOOKUP($O10349,'Customer List'!$A$1:$J$488,10,FALSE),"")</f>
        <v/>
      </c>
    </row>
    <row r="10350" spans="18:23">
      <c r="R10350" s="97">
        <f t="shared" si="376"/>
        <v>0</v>
      </c>
      <c r="W10350" s="66" t="str">
        <f>IFERROR(VLOOKUP($O10350,'Customer List'!$A$1:$J$488,10,FALSE),"")</f>
        <v/>
      </c>
    </row>
    <row r="10351" spans="18:23">
      <c r="R10351" s="97">
        <f t="shared" si="376"/>
        <v>0</v>
      </c>
      <c r="W10351" s="66" t="str">
        <f>IFERROR(VLOOKUP($O10351,'Customer List'!$A$1:$J$488,10,FALSE),"")</f>
        <v/>
      </c>
    </row>
    <row r="10352" spans="18:23">
      <c r="R10352" s="97">
        <f t="shared" si="376"/>
        <v>0</v>
      </c>
      <c r="W10352" s="66" t="str">
        <f>IFERROR(VLOOKUP($O10352,'Customer List'!$A$1:$J$488,10,FALSE),"")</f>
        <v/>
      </c>
    </row>
    <row r="10353" spans="18:23">
      <c r="R10353" s="97">
        <f t="shared" si="376"/>
        <v>0</v>
      </c>
      <c r="W10353" s="66" t="str">
        <f>IFERROR(VLOOKUP($O10353,'Customer List'!$A$1:$J$488,10,FALSE),"")</f>
        <v/>
      </c>
    </row>
    <row r="10354" spans="18:23">
      <c r="R10354" s="97">
        <f t="shared" si="376"/>
        <v>0</v>
      </c>
      <c r="W10354" s="66" t="str">
        <f>IFERROR(VLOOKUP($O10354,'Customer List'!$A$1:$J$488,10,FALSE),"")</f>
        <v/>
      </c>
    </row>
    <row r="10355" spans="18:23">
      <c r="R10355" s="97">
        <f t="shared" si="376"/>
        <v>0</v>
      </c>
      <c r="W10355" s="66" t="str">
        <f>IFERROR(VLOOKUP($O10355,'Customer List'!$A$1:$J$488,10,FALSE),"")</f>
        <v/>
      </c>
    </row>
    <row r="10356" spans="18:23">
      <c r="R10356" s="97">
        <f t="shared" si="376"/>
        <v>0</v>
      </c>
      <c r="W10356" s="66" t="str">
        <f>IFERROR(VLOOKUP($O10356,'Customer List'!$A$1:$J$488,10,FALSE),"")</f>
        <v/>
      </c>
    </row>
    <row r="10357" spans="18:23">
      <c r="R10357" s="97">
        <f t="shared" si="376"/>
        <v>0</v>
      </c>
      <c r="W10357" s="66" t="str">
        <f>IFERROR(VLOOKUP($O10357,'Customer List'!$A$1:$J$488,10,FALSE),"")</f>
        <v/>
      </c>
    </row>
    <row r="10358" spans="18:23">
      <c r="R10358" s="97">
        <f t="shared" si="376"/>
        <v>0</v>
      </c>
      <c r="W10358" s="66" t="str">
        <f>IFERROR(VLOOKUP($O10358,'Customer List'!$A$1:$J$488,10,FALSE),"")</f>
        <v/>
      </c>
    </row>
    <row r="10359" spans="18:23">
      <c r="R10359" s="97">
        <f t="shared" si="376"/>
        <v>0</v>
      </c>
      <c r="W10359" s="66" t="str">
        <f>IFERROR(VLOOKUP($O10359,'Customer List'!$A$1:$J$488,10,FALSE),"")</f>
        <v/>
      </c>
    </row>
    <row r="10360" spans="18:23">
      <c r="R10360" s="97">
        <f t="shared" si="376"/>
        <v>0</v>
      </c>
      <c r="W10360" s="66" t="str">
        <f>IFERROR(VLOOKUP($O10360,'Customer List'!$A$1:$J$488,10,FALSE),"")</f>
        <v/>
      </c>
    </row>
    <row r="10361" spans="18:23">
      <c r="R10361" s="97">
        <f t="shared" si="376"/>
        <v>0</v>
      </c>
      <c r="W10361" s="66" t="str">
        <f>IFERROR(VLOOKUP($O10361,'Customer List'!$A$1:$J$488,10,FALSE),"")</f>
        <v/>
      </c>
    </row>
    <row r="10362" spans="18:23">
      <c r="R10362" s="97">
        <f t="shared" si="376"/>
        <v>0</v>
      </c>
      <c r="W10362" s="66" t="str">
        <f>IFERROR(VLOOKUP($O10362,'Customer List'!$A$1:$J$488,10,FALSE),"")</f>
        <v/>
      </c>
    </row>
    <row r="10363" spans="18:23">
      <c r="R10363" s="97">
        <f t="shared" si="376"/>
        <v>0</v>
      </c>
      <c r="W10363" s="66" t="str">
        <f>IFERROR(VLOOKUP($O10363,'Customer List'!$A$1:$J$488,10,FALSE),"")</f>
        <v/>
      </c>
    </row>
    <row r="10364" spans="18:23">
      <c r="R10364" s="97">
        <f t="shared" si="376"/>
        <v>0</v>
      </c>
      <c r="W10364" s="66" t="str">
        <f>IFERROR(VLOOKUP($O10364,'Customer List'!$A$1:$J$488,10,FALSE),"")</f>
        <v/>
      </c>
    </row>
    <row r="10365" spans="18:23">
      <c r="R10365" s="97">
        <f t="shared" si="376"/>
        <v>0</v>
      </c>
      <c r="W10365" s="66" t="str">
        <f>IFERROR(VLOOKUP($O10365,'Customer List'!$A$1:$J$488,10,FALSE),"")</f>
        <v/>
      </c>
    </row>
    <row r="10366" spans="18:23">
      <c r="R10366" s="97">
        <f t="shared" si="376"/>
        <v>0</v>
      </c>
      <c r="W10366" s="66" t="str">
        <f>IFERROR(VLOOKUP($O10366,'Customer List'!$A$1:$J$488,10,FALSE),"")</f>
        <v/>
      </c>
    </row>
    <row r="10367" spans="18:23">
      <c r="R10367" s="97">
        <f t="shared" si="376"/>
        <v>0</v>
      </c>
      <c r="W10367" s="66" t="str">
        <f>IFERROR(VLOOKUP($O10367,'Customer List'!$A$1:$J$488,10,FALSE),"")</f>
        <v/>
      </c>
    </row>
    <row r="10368" spans="18:23">
      <c r="R10368" s="97">
        <f t="shared" si="376"/>
        <v>0</v>
      </c>
      <c r="W10368" s="66" t="str">
        <f>IFERROR(VLOOKUP($O10368,'Customer List'!$A$1:$J$488,10,FALSE),"")</f>
        <v/>
      </c>
    </row>
    <row r="10369" spans="18:23">
      <c r="R10369" s="97">
        <f t="shared" si="376"/>
        <v>0</v>
      </c>
      <c r="W10369" s="66" t="str">
        <f>IFERROR(VLOOKUP($O10369,'Customer List'!$A$1:$J$488,10,FALSE),"")</f>
        <v/>
      </c>
    </row>
    <row r="10370" spans="18:23">
      <c r="R10370" s="97">
        <f t="shared" si="376"/>
        <v>0</v>
      </c>
      <c r="W10370" s="66" t="str">
        <f>IFERROR(VLOOKUP($O10370,'Customer List'!$A$1:$J$488,10,FALSE),"")</f>
        <v/>
      </c>
    </row>
    <row r="10371" spans="18:23">
      <c r="R10371" s="97">
        <f t="shared" si="376"/>
        <v>0</v>
      </c>
      <c r="W10371" s="66" t="str">
        <f>IFERROR(VLOOKUP($O10371,'Customer List'!$A$1:$J$488,10,FALSE),"")</f>
        <v/>
      </c>
    </row>
    <row r="10372" spans="18:23">
      <c r="R10372" s="97">
        <f t="shared" si="376"/>
        <v>0</v>
      </c>
      <c r="W10372" s="66" t="str">
        <f>IFERROR(VLOOKUP($O10372,'Customer List'!$A$1:$J$488,10,FALSE),"")</f>
        <v/>
      </c>
    </row>
    <row r="10373" spans="18:23">
      <c r="R10373" s="97">
        <f t="shared" si="376"/>
        <v>0</v>
      </c>
      <c r="W10373" s="66" t="str">
        <f>IFERROR(VLOOKUP($O10373,'Customer List'!$A$1:$J$488,10,FALSE),"")</f>
        <v/>
      </c>
    </row>
    <row r="10374" spans="18:23">
      <c r="R10374" s="97">
        <f t="shared" si="376"/>
        <v>0</v>
      </c>
      <c r="W10374" s="66" t="str">
        <f>IFERROR(VLOOKUP($O10374,'Customer List'!$A$1:$J$488,10,FALSE),"")</f>
        <v/>
      </c>
    </row>
    <row r="10375" spans="18:23">
      <c r="R10375" s="97">
        <f t="shared" si="376"/>
        <v>0</v>
      </c>
      <c r="W10375" s="66" t="str">
        <f>IFERROR(VLOOKUP($O10375,'Customer List'!$A$1:$J$488,10,FALSE),"")</f>
        <v/>
      </c>
    </row>
    <row r="10376" spans="18:23">
      <c r="R10376" s="97">
        <f t="shared" si="376"/>
        <v>0</v>
      </c>
      <c r="W10376" s="66" t="str">
        <f>IFERROR(VLOOKUP($O10376,'Customer List'!$A$1:$J$488,10,FALSE),"")</f>
        <v/>
      </c>
    </row>
    <row r="10377" spans="18:23">
      <c r="R10377" s="97">
        <f t="shared" si="376"/>
        <v>0</v>
      </c>
      <c r="W10377" s="66" t="str">
        <f>IFERROR(VLOOKUP($O10377,'Customer List'!$A$1:$J$488,10,FALSE),"")</f>
        <v/>
      </c>
    </row>
    <row r="10378" spans="18:23">
      <c r="R10378" s="97">
        <f t="shared" si="376"/>
        <v>0</v>
      </c>
      <c r="W10378" s="66" t="str">
        <f>IFERROR(VLOOKUP($O10378,'Customer List'!$A$1:$J$488,10,FALSE),"")</f>
        <v/>
      </c>
    </row>
    <row r="10379" spans="18:23">
      <c r="R10379" s="97">
        <f t="shared" si="376"/>
        <v>0</v>
      </c>
      <c r="W10379" s="66" t="str">
        <f>IFERROR(VLOOKUP($O10379,'Customer List'!$A$1:$J$488,10,FALSE),"")</f>
        <v/>
      </c>
    </row>
    <row r="10380" spans="18:23">
      <c r="R10380" s="97">
        <f t="shared" si="376"/>
        <v>0</v>
      </c>
      <c r="W10380" s="66" t="str">
        <f>IFERROR(VLOOKUP($O10380,'Customer List'!$A$1:$J$488,10,FALSE),"")</f>
        <v/>
      </c>
    </row>
    <row r="10381" spans="18:23">
      <c r="R10381" s="97">
        <f t="shared" si="376"/>
        <v>0</v>
      </c>
      <c r="W10381" s="66" t="str">
        <f>IFERROR(VLOOKUP($O10381,'Customer List'!$A$1:$J$488,10,FALSE),"")</f>
        <v/>
      </c>
    </row>
    <row r="10382" spans="18:23">
      <c r="R10382" s="97">
        <f t="shared" si="376"/>
        <v>0</v>
      </c>
      <c r="W10382" s="66" t="str">
        <f>IFERROR(VLOOKUP($O10382,'Customer List'!$A$1:$J$488,10,FALSE),"")</f>
        <v/>
      </c>
    </row>
    <row r="10383" spans="18:23">
      <c r="R10383" s="97">
        <f t="shared" si="376"/>
        <v>0</v>
      </c>
      <c r="W10383" s="66" t="str">
        <f>IFERROR(VLOOKUP($O10383,'Customer List'!$A$1:$J$488,10,FALSE),"")</f>
        <v/>
      </c>
    </row>
    <row r="10384" spans="18:23">
      <c r="R10384" s="97">
        <f t="shared" si="376"/>
        <v>0</v>
      </c>
      <c r="W10384" s="66" t="str">
        <f>IFERROR(VLOOKUP($O10384,'Customer List'!$A$1:$J$488,10,FALSE),"")</f>
        <v/>
      </c>
    </row>
    <row r="10385" spans="18:23">
      <c r="R10385" s="97">
        <f t="shared" si="376"/>
        <v>0</v>
      </c>
      <c r="W10385" s="66" t="str">
        <f>IFERROR(VLOOKUP($O10385,'Customer List'!$A$1:$J$488,10,FALSE),"")</f>
        <v/>
      </c>
    </row>
    <row r="10386" spans="18:23">
      <c r="R10386" s="97">
        <f t="shared" si="376"/>
        <v>0</v>
      </c>
      <c r="W10386" s="66" t="str">
        <f>IFERROR(VLOOKUP($O10386,'Customer List'!$A$1:$J$488,10,FALSE),"")</f>
        <v/>
      </c>
    </row>
    <row r="10387" spans="18:23">
      <c r="R10387" s="97">
        <f t="shared" si="376"/>
        <v>0</v>
      </c>
      <c r="W10387" s="66" t="str">
        <f>IFERROR(VLOOKUP($O10387,'Customer List'!$A$1:$J$488,10,FALSE),"")</f>
        <v/>
      </c>
    </row>
    <row r="10388" spans="18:23">
      <c r="R10388" s="97">
        <f t="shared" si="376"/>
        <v>0</v>
      </c>
      <c r="W10388" s="66" t="str">
        <f>IFERROR(VLOOKUP($O10388,'Customer List'!$A$1:$J$488,10,FALSE),"")</f>
        <v/>
      </c>
    </row>
    <row r="10389" spans="18:23">
      <c r="R10389" s="97">
        <f t="shared" si="376"/>
        <v>0</v>
      </c>
      <c r="W10389" s="66" t="str">
        <f>IFERROR(VLOOKUP($O10389,'Customer List'!$A$1:$J$488,10,FALSE),"")</f>
        <v/>
      </c>
    </row>
    <row r="10390" spans="18:23">
      <c r="R10390" s="97">
        <f t="shared" si="376"/>
        <v>0</v>
      </c>
      <c r="W10390" s="66" t="str">
        <f>IFERROR(VLOOKUP($O10390,'Customer List'!$A$1:$J$488,10,FALSE),"")</f>
        <v/>
      </c>
    </row>
    <row r="10391" spans="18:23">
      <c r="R10391" s="97">
        <f t="shared" si="376"/>
        <v>0</v>
      </c>
      <c r="W10391" s="66" t="str">
        <f>IFERROR(VLOOKUP($O10391,'Customer List'!$A$1:$J$488,10,FALSE),"")</f>
        <v/>
      </c>
    </row>
    <row r="10392" spans="18:23">
      <c r="R10392" s="97">
        <f t="shared" si="376"/>
        <v>0</v>
      </c>
      <c r="W10392" s="66" t="str">
        <f>IFERROR(VLOOKUP($O10392,'Customer List'!$A$1:$J$488,10,FALSE),"")</f>
        <v/>
      </c>
    </row>
    <row r="10393" spans="18:23">
      <c r="R10393" s="97">
        <f t="shared" si="376"/>
        <v>0</v>
      </c>
      <c r="W10393" s="66" t="str">
        <f>IFERROR(VLOOKUP($O10393,'Customer List'!$A$1:$J$488,10,FALSE),"")</f>
        <v/>
      </c>
    </row>
    <row r="10394" spans="18:23">
      <c r="R10394" s="97">
        <f t="shared" si="376"/>
        <v>0</v>
      </c>
      <c r="W10394" s="66" t="str">
        <f>IFERROR(VLOOKUP($O10394,'Customer List'!$A$1:$J$488,10,FALSE),"")</f>
        <v/>
      </c>
    </row>
    <row r="10395" spans="18:23">
      <c r="R10395" s="97">
        <f t="shared" si="376"/>
        <v>0</v>
      </c>
      <c r="W10395" s="66" t="str">
        <f>IFERROR(VLOOKUP($O10395,'Customer List'!$A$1:$J$488,10,FALSE),"")</f>
        <v/>
      </c>
    </row>
    <row r="10396" spans="18:23">
      <c r="R10396" s="97">
        <f t="shared" si="376"/>
        <v>0</v>
      </c>
      <c r="W10396" s="66" t="str">
        <f>IFERROR(VLOOKUP($O10396,'Customer List'!$A$1:$J$488,10,FALSE),"")</f>
        <v/>
      </c>
    </row>
    <row r="10397" spans="18:23">
      <c r="R10397" s="97">
        <f t="shared" si="376"/>
        <v>0</v>
      </c>
      <c r="W10397" s="66" t="str">
        <f>IFERROR(VLOOKUP($O10397,'Customer List'!$A$1:$J$488,10,FALSE),"")</f>
        <v/>
      </c>
    </row>
    <row r="10398" spans="18:23">
      <c r="R10398" s="97">
        <f t="shared" si="376"/>
        <v>0</v>
      </c>
      <c r="W10398" s="66" t="str">
        <f>IFERROR(VLOOKUP($O10398,'Customer List'!$A$1:$J$488,10,FALSE),"")</f>
        <v/>
      </c>
    </row>
    <row r="10399" spans="18:23">
      <c r="R10399" s="97">
        <f t="shared" si="376"/>
        <v>0</v>
      </c>
      <c r="W10399" s="66" t="str">
        <f>IFERROR(VLOOKUP($O10399,'Customer List'!$A$1:$J$488,10,FALSE),"")</f>
        <v/>
      </c>
    </row>
    <row r="10400" spans="18:23">
      <c r="R10400" s="97">
        <f t="shared" si="376"/>
        <v>0</v>
      </c>
      <c r="W10400" s="66" t="str">
        <f>IFERROR(VLOOKUP($O10400,'Customer List'!$A$1:$J$488,10,FALSE),"")</f>
        <v/>
      </c>
    </row>
    <row r="10401" spans="18:23">
      <c r="R10401" s="97">
        <f t="shared" si="376"/>
        <v>0</v>
      </c>
      <c r="W10401" s="66" t="str">
        <f>IFERROR(VLOOKUP($O10401,'Customer List'!$A$1:$J$488,10,FALSE),"")</f>
        <v/>
      </c>
    </row>
    <row r="10402" spans="18:23">
      <c r="R10402" s="97">
        <f t="shared" si="376"/>
        <v>0</v>
      </c>
      <c r="W10402" s="66" t="str">
        <f>IFERROR(VLOOKUP($O10402,'Customer List'!$A$1:$J$488,10,FALSE),"")</f>
        <v/>
      </c>
    </row>
    <row r="10403" spans="18:23">
      <c r="R10403" s="97">
        <f t="shared" si="376"/>
        <v>0</v>
      </c>
      <c r="W10403" s="66" t="str">
        <f>IFERROR(VLOOKUP($O10403,'Customer List'!$A$1:$J$488,10,FALSE),"")</f>
        <v/>
      </c>
    </row>
    <row r="10404" spans="18:23">
      <c r="R10404" s="97">
        <f t="shared" si="376"/>
        <v>0</v>
      </c>
      <c r="W10404" s="66" t="str">
        <f>IFERROR(VLOOKUP($O10404,'Customer List'!$A$1:$J$488,10,FALSE),"")</f>
        <v/>
      </c>
    </row>
    <row r="10405" spans="18:23">
      <c r="R10405" s="97">
        <f t="shared" si="376"/>
        <v>0</v>
      </c>
      <c r="W10405" s="66" t="str">
        <f>IFERROR(VLOOKUP($O10405,'Customer List'!$A$1:$J$488,10,FALSE),"")</f>
        <v/>
      </c>
    </row>
    <row r="10406" spans="18:23">
      <c r="R10406" s="97">
        <f t="shared" si="376"/>
        <v>0</v>
      </c>
      <c r="W10406" s="66" t="str">
        <f>IFERROR(VLOOKUP($O10406,'Customer List'!$A$1:$J$488,10,FALSE),"")</f>
        <v/>
      </c>
    </row>
    <row r="10407" spans="18:23">
      <c r="R10407" s="97">
        <f t="shared" si="376"/>
        <v>0</v>
      </c>
      <c r="W10407" s="66" t="str">
        <f>IFERROR(VLOOKUP($O10407,'Customer List'!$A$1:$J$488,10,FALSE),"")</f>
        <v/>
      </c>
    </row>
    <row r="10408" spans="18:23">
      <c r="R10408" s="97">
        <f t="shared" ref="R10408:R10471" si="377">L10408-K10408</f>
        <v>0</v>
      </c>
      <c r="W10408" s="66" t="str">
        <f>IFERROR(VLOOKUP($O10408,'Customer List'!$A$1:$J$488,10,FALSE),"")</f>
        <v/>
      </c>
    </row>
    <row r="10409" spans="18:23">
      <c r="R10409" s="97">
        <f t="shared" si="377"/>
        <v>0</v>
      </c>
      <c r="W10409" s="66" t="str">
        <f>IFERROR(VLOOKUP($O10409,'Customer List'!$A$1:$J$488,10,FALSE),"")</f>
        <v/>
      </c>
    </row>
    <row r="10410" spans="18:23">
      <c r="R10410" s="97">
        <f t="shared" si="377"/>
        <v>0</v>
      </c>
      <c r="W10410" s="66" t="str">
        <f>IFERROR(VLOOKUP($O10410,'Customer List'!$A$1:$J$488,10,FALSE),"")</f>
        <v/>
      </c>
    </row>
    <row r="10411" spans="18:23">
      <c r="R10411" s="97">
        <f t="shared" si="377"/>
        <v>0</v>
      </c>
      <c r="W10411" s="66" t="str">
        <f>IFERROR(VLOOKUP($O10411,'Customer List'!$A$1:$J$488,10,FALSE),"")</f>
        <v/>
      </c>
    </row>
    <row r="10412" spans="18:23">
      <c r="R10412" s="97">
        <f t="shared" si="377"/>
        <v>0</v>
      </c>
      <c r="W10412" s="66" t="str">
        <f>IFERROR(VLOOKUP($O10412,'Customer List'!$A$1:$J$488,10,FALSE),"")</f>
        <v/>
      </c>
    </row>
    <row r="10413" spans="18:23">
      <c r="R10413" s="97">
        <f t="shared" si="377"/>
        <v>0</v>
      </c>
      <c r="W10413" s="66" t="str">
        <f>IFERROR(VLOOKUP($O10413,'Customer List'!$A$1:$J$488,10,FALSE),"")</f>
        <v/>
      </c>
    </row>
    <row r="10414" spans="18:23">
      <c r="R10414" s="97">
        <f t="shared" si="377"/>
        <v>0</v>
      </c>
      <c r="W10414" s="66" t="str">
        <f>IFERROR(VLOOKUP($O10414,'Customer List'!$A$1:$J$488,10,FALSE),"")</f>
        <v/>
      </c>
    </row>
    <row r="10415" spans="18:23">
      <c r="R10415" s="97">
        <f t="shared" si="377"/>
        <v>0</v>
      </c>
      <c r="W10415" s="66" t="str">
        <f>IFERROR(VLOOKUP($O10415,'Customer List'!$A$1:$J$488,10,FALSE),"")</f>
        <v/>
      </c>
    </row>
    <row r="10416" spans="18:23">
      <c r="R10416" s="97">
        <f t="shared" si="377"/>
        <v>0</v>
      </c>
      <c r="W10416" s="66" t="str">
        <f>IFERROR(VLOOKUP($O10416,'Customer List'!$A$1:$J$488,10,FALSE),"")</f>
        <v/>
      </c>
    </row>
    <row r="10417" spans="18:23">
      <c r="R10417" s="97">
        <f t="shared" si="377"/>
        <v>0</v>
      </c>
      <c r="W10417" s="66" t="str">
        <f>IFERROR(VLOOKUP($O10417,'Customer List'!$A$1:$J$488,10,FALSE),"")</f>
        <v/>
      </c>
    </row>
    <row r="10418" spans="18:23">
      <c r="R10418" s="97">
        <f t="shared" si="377"/>
        <v>0</v>
      </c>
      <c r="W10418" s="66" t="str">
        <f>IFERROR(VLOOKUP($O10418,'Customer List'!$A$1:$J$488,10,FALSE),"")</f>
        <v/>
      </c>
    </row>
    <row r="10419" spans="18:23">
      <c r="R10419" s="97">
        <f t="shared" si="377"/>
        <v>0</v>
      </c>
      <c r="W10419" s="66" t="str">
        <f>IFERROR(VLOOKUP($O10419,'Customer List'!$A$1:$J$488,10,FALSE),"")</f>
        <v/>
      </c>
    </row>
    <row r="10420" spans="18:23">
      <c r="R10420" s="97">
        <f t="shared" si="377"/>
        <v>0</v>
      </c>
      <c r="W10420" s="66" t="str">
        <f>IFERROR(VLOOKUP($O10420,'Customer List'!$A$1:$J$488,10,FALSE),"")</f>
        <v/>
      </c>
    </row>
    <row r="10421" spans="18:23">
      <c r="R10421" s="97">
        <f t="shared" si="377"/>
        <v>0</v>
      </c>
      <c r="W10421" s="66" t="str">
        <f>IFERROR(VLOOKUP($O10421,'Customer List'!$A$1:$J$488,10,FALSE),"")</f>
        <v/>
      </c>
    </row>
    <row r="10422" spans="18:23">
      <c r="R10422" s="97">
        <f t="shared" si="377"/>
        <v>0</v>
      </c>
      <c r="W10422" s="66" t="str">
        <f>IFERROR(VLOOKUP($O10422,'Customer List'!$A$1:$J$488,10,FALSE),"")</f>
        <v/>
      </c>
    </row>
    <row r="10423" spans="18:23">
      <c r="R10423" s="97">
        <f t="shared" si="377"/>
        <v>0</v>
      </c>
      <c r="W10423" s="66" t="str">
        <f>IFERROR(VLOOKUP($O10423,'Customer List'!$A$1:$J$488,10,FALSE),"")</f>
        <v/>
      </c>
    </row>
    <row r="10424" spans="18:23">
      <c r="R10424" s="97">
        <f t="shared" si="377"/>
        <v>0</v>
      </c>
      <c r="W10424" s="66" t="str">
        <f>IFERROR(VLOOKUP($O10424,'Customer List'!$A$1:$J$488,10,FALSE),"")</f>
        <v/>
      </c>
    </row>
    <row r="10425" spans="18:23">
      <c r="R10425" s="97">
        <f t="shared" si="377"/>
        <v>0</v>
      </c>
      <c r="W10425" s="66" t="str">
        <f>IFERROR(VLOOKUP($O10425,'Customer List'!$A$1:$J$488,10,FALSE),"")</f>
        <v/>
      </c>
    </row>
    <row r="10426" spans="18:23">
      <c r="R10426" s="97">
        <f t="shared" si="377"/>
        <v>0</v>
      </c>
      <c r="W10426" s="66" t="str">
        <f>IFERROR(VLOOKUP($O10426,'Customer List'!$A$1:$J$488,10,FALSE),"")</f>
        <v/>
      </c>
    </row>
    <row r="10427" spans="18:23">
      <c r="R10427" s="97">
        <f t="shared" si="377"/>
        <v>0</v>
      </c>
      <c r="W10427" s="66" t="str">
        <f>IFERROR(VLOOKUP($O10427,'Customer List'!$A$1:$J$488,10,FALSE),"")</f>
        <v/>
      </c>
    </row>
    <row r="10428" spans="18:23">
      <c r="R10428" s="97">
        <f t="shared" si="377"/>
        <v>0</v>
      </c>
      <c r="W10428" s="66" t="str">
        <f>IFERROR(VLOOKUP($O10428,'Customer List'!$A$1:$J$488,10,FALSE),"")</f>
        <v/>
      </c>
    </row>
    <row r="10429" spans="18:23">
      <c r="R10429" s="97">
        <f t="shared" si="377"/>
        <v>0</v>
      </c>
      <c r="W10429" s="66" t="str">
        <f>IFERROR(VLOOKUP($O10429,'Customer List'!$A$1:$J$488,10,FALSE),"")</f>
        <v/>
      </c>
    </row>
    <row r="10430" spans="18:23">
      <c r="R10430" s="97">
        <f t="shared" si="377"/>
        <v>0</v>
      </c>
      <c r="W10430" s="66" t="str">
        <f>IFERROR(VLOOKUP($O10430,'Customer List'!$A$1:$J$488,10,FALSE),"")</f>
        <v/>
      </c>
    </row>
    <row r="10431" spans="18:23">
      <c r="R10431" s="97">
        <f t="shared" si="377"/>
        <v>0</v>
      </c>
      <c r="W10431" s="66" t="str">
        <f>IFERROR(VLOOKUP($O10431,'Customer List'!$A$1:$J$488,10,FALSE),"")</f>
        <v/>
      </c>
    </row>
    <row r="10432" spans="18:23">
      <c r="R10432" s="97">
        <f t="shared" si="377"/>
        <v>0</v>
      </c>
      <c r="W10432" s="66" t="str">
        <f>IFERROR(VLOOKUP($O10432,'Customer List'!$A$1:$J$488,10,FALSE),"")</f>
        <v/>
      </c>
    </row>
    <row r="10433" spans="18:23">
      <c r="R10433" s="97">
        <f t="shared" si="377"/>
        <v>0</v>
      </c>
      <c r="W10433" s="66" t="str">
        <f>IFERROR(VLOOKUP($O10433,'Customer List'!$A$1:$J$488,10,FALSE),"")</f>
        <v/>
      </c>
    </row>
    <row r="10434" spans="18:23">
      <c r="R10434" s="97">
        <f t="shared" si="377"/>
        <v>0</v>
      </c>
      <c r="W10434" s="66" t="str">
        <f>IFERROR(VLOOKUP($O10434,'Customer List'!$A$1:$J$488,10,FALSE),"")</f>
        <v/>
      </c>
    </row>
    <row r="10435" spans="18:23">
      <c r="R10435" s="97">
        <f t="shared" si="377"/>
        <v>0</v>
      </c>
      <c r="W10435" s="66" t="str">
        <f>IFERROR(VLOOKUP($O10435,'Customer List'!$A$1:$J$488,10,FALSE),"")</f>
        <v/>
      </c>
    </row>
    <row r="10436" spans="18:23">
      <c r="R10436" s="97">
        <f t="shared" si="377"/>
        <v>0</v>
      </c>
      <c r="W10436" s="66" t="str">
        <f>IFERROR(VLOOKUP($O10436,'Customer List'!$A$1:$J$488,10,FALSE),"")</f>
        <v/>
      </c>
    </row>
    <row r="10437" spans="18:23">
      <c r="R10437" s="97">
        <f t="shared" si="377"/>
        <v>0</v>
      </c>
      <c r="W10437" s="66" t="str">
        <f>IFERROR(VLOOKUP($O10437,'Customer List'!$A$1:$J$488,10,FALSE),"")</f>
        <v/>
      </c>
    </row>
    <row r="10438" spans="18:23">
      <c r="R10438" s="97">
        <f t="shared" si="377"/>
        <v>0</v>
      </c>
      <c r="W10438" s="66" t="str">
        <f>IFERROR(VLOOKUP($O10438,'Customer List'!$A$1:$J$488,10,FALSE),"")</f>
        <v/>
      </c>
    </row>
    <row r="10439" spans="18:23">
      <c r="R10439" s="97">
        <f t="shared" si="377"/>
        <v>0</v>
      </c>
      <c r="W10439" s="66" t="str">
        <f>IFERROR(VLOOKUP($O10439,'Customer List'!$A$1:$J$488,10,FALSE),"")</f>
        <v/>
      </c>
    </row>
    <row r="10440" spans="18:23">
      <c r="R10440" s="97">
        <f t="shared" si="377"/>
        <v>0</v>
      </c>
      <c r="W10440" s="66" t="str">
        <f>IFERROR(VLOOKUP($O10440,'Customer List'!$A$1:$J$488,10,FALSE),"")</f>
        <v/>
      </c>
    </row>
    <row r="10441" spans="18:23">
      <c r="R10441" s="97">
        <f t="shared" si="377"/>
        <v>0</v>
      </c>
      <c r="W10441" s="66" t="str">
        <f>IFERROR(VLOOKUP($O10441,'Customer List'!$A$1:$J$488,10,FALSE),"")</f>
        <v/>
      </c>
    </row>
    <row r="10442" spans="18:23">
      <c r="R10442" s="97">
        <f t="shared" si="377"/>
        <v>0</v>
      </c>
      <c r="W10442" s="66" t="str">
        <f>IFERROR(VLOOKUP($O10442,'Customer List'!$A$1:$J$488,10,FALSE),"")</f>
        <v/>
      </c>
    </row>
    <row r="10443" spans="18:23">
      <c r="R10443" s="97">
        <f t="shared" si="377"/>
        <v>0</v>
      </c>
      <c r="W10443" s="66" t="str">
        <f>IFERROR(VLOOKUP($O10443,'Customer List'!$A$1:$J$488,10,FALSE),"")</f>
        <v/>
      </c>
    </row>
    <row r="10444" spans="18:23">
      <c r="R10444" s="97">
        <f t="shared" si="377"/>
        <v>0</v>
      </c>
      <c r="W10444" s="66" t="str">
        <f>IFERROR(VLOOKUP($O10444,'Customer List'!$A$1:$J$488,10,FALSE),"")</f>
        <v/>
      </c>
    </row>
    <row r="10445" spans="18:23">
      <c r="R10445" s="97">
        <f t="shared" si="377"/>
        <v>0</v>
      </c>
      <c r="W10445" s="66" t="str">
        <f>IFERROR(VLOOKUP($O10445,'Customer List'!$A$1:$J$488,10,FALSE),"")</f>
        <v/>
      </c>
    </row>
    <row r="10446" spans="18:23">
      <c r="R10446" s="97">
        <f t="shared" si="377"/>
        <v>0</v>
      </c>
      <c r="W10446" s="66" t="str">
        <f>IFERROR(VLOOKUP($O10446,'Customer List'!$A$1:$J$488,10,FALSE),"")</f>
        <v/>
      </c>
    </row>
    <row r="10447" spans="18:23">
      <c r="R10447" s="97">
        <f t="shared" si="377"/>
        <v>0</v>
      </c>
      <c r="W10447" s="66" t="str">
        <f>IFERROR(VLOOKUP($O10447,'Customer List'!$A$1:$J$488,10,FALSE),"")</f>
        <v/>
      </c>
    </row>
    <row r="10448" spans="18:23">
      <c r="R10448" s="97">
        <f t="shared" si="377"/>
        <v>0</v>
      </c>
      <c r="W10448" s="66" t="str">
        <f>IFERROR(VLOOKUP($O10448,'Customer List'!$A$1:$J$488,10,FALSE),"")</f>
        <v/>
      </c>
    </row>
    <row r="10449" spans="18:23">
      <c r="R10449" s="97">
        <f t="shared" si="377"/>
        <v>0</v>
      </c>
      <c r="W10449" s="66" t="str">
        <f>IFERROR(VLOOKUP($O10449,'Customer List'!$A$1:$J$488,10,FALSE),"")</f>
        <v/>
      </c>
    </row>
    <row r="10450" spans="18:23">
      <c r="R10450" s="97">
        <f t="shared" si="377"/>
        <v>0</v>
      </c>
      <c r="W10450" s="66" t="str">
        <f>IFERROR(VLOOKUP($O10450,'Customer List'!$A$1:$J$488,10,FALSE),"")</f>
        <v/>
      </c>
    </row>
    <row r="10451" spans="18:23">
      <c r="R10451" s="97">
        <f t="shared" si="377"/>
        <v>0</v>
      </c>
      <c r="W10451" s="66" t="str">
        <f>IFERROR(VLOOKUP($O10451,'Customer List'!$A$1:$J$488,10,FALSE),"")</f>
        <v/>
      </c>
    </row>
    <row r="10452" spans="18:23">
      <c r="R10452" s="97">
        <f t="shared" si="377"/>
        <v>0</v>
      </c>
      <c r="W10452" s="66" t="str">
        <f>IFERROR(VLOOKUP($O10452,'Customer List'!$A$1:$J$488,10,FALSE),"")</f>
        <v/>
      </c>
    </row>
    <row r="10453" spans="18:23">
      <c r="R10453" s="97">
        <f t="shared" si="377"/>
        <v>0</v>
      </c>
      <c r="W10453" s="66" t="str">
        <f>IFERROR(VLOOKUP($O10453,'Customer List'!$A$1:$J$488,10,FALSE),"")</f>
        <v/>
      </c>
    </row>
    <row r="10454" spans="18:23">
      <c r="R10454" s="97">
        <f t="shared" si="377"/>
        <v>0</v>
      </c>
      <c r="W10454" s="66" t="str">
        <f>IFERROR(VLOOKUP($O10454,'Customer List'!$A$1:$J$488,10,FALSE),"")</f>
        <v/>
      </c>
    </row>
    <row r="10455" spans="18:23">
      <c r="R10455" s="97">
        <f t="shared" si="377"/>
        <v>0</v>
      </c>
      <c r="W10455" s="66" t="str">
        <f>IFERROR(VLOOKUP($O10455,'Customer List'!$A$1:$J$488,10,FALSE),"")</f>
        <v/>
      </c>
    </row>
    <row r="10456" spans="18:23">
      <c r="R10456" s="97">
        <f t="shared" si="377"/>
        <v>0</v>
      </c>
      <c r="W10456" s="66" t="str">
        <f>IFERROR(VLOOKUP($O10456,'Customer List'!$A$1:$J$488,10,FALSE),"")</f>
        <v/>
      </c>
    </row>
    <row r="10457" spans="18:23">
      <c r="R10457" s="97">
        <f t="shared" si="377"/>
        <v>0</v>
      </c>
      <c r="W10457" s="66" t="str">
        <f>IFERROR(VLOOKUP($O10457,'Customer List'!$A$1:$J$488,10,FALSE),"")</f>
        <v/>
      </c>
    </row>
    <row r="10458" spans="18:23">
      <c r="R10458" s="97">
        <f t="shared" si="377"/>
        <v>0</v>
      </c>
      <c r="W10458" s="66" t="str">
        <f>IFERROR(VLOOKUP($O10458,'Customer List'!$A$1:$J$488,10,FALSE),"")</f>
        <v/>
      </c>
    </row>
    <row r="10459" spans="18:23">
      <c r="R10459" s="97">
        <f t="shared" si="377"/>
        <v>0</v>
      </c>
      <c r="W10459" s="66" t="str">
        <f>IFERROR(VLOOKUP($O10459,'Customer List'!$A$1:$J$488,10,FALSE),"")</f>
        <v/>
      </c>
    </row>
    <row r="10460" spans="18:23">
      <c r="R10460" s="97">
        <f t="shared" si="377"/>
        <v>0</v>
      </c>
      <c r="W10460" s="66" t="str">
        <f>IFERROR(VLOOKUP($O10460,'Customer List'!$A$1:$J$488,10,FALSE),"")</f>
        <v/>
      </c>
    </row>
    <row r="10461" spans="18:23">
      <c r="R10461" s="97">
        <f t="shared" si="377"/>
        <v>0</v>
      </c>
      <c r="W10461" s="66" t="str">
        <f>IFERROR(VLOOKUP($O10461,'Customer List'!$A$1:$J$488,10,FALSE),"")</f>
        <v/>
      </c>
    </row>
    <row r="10462" spans="18:23">
      <c r="R10462" s="97">
        <f t="shared" si="377"/>
        <v>0</v>
      </c>
      <c r="W10462" s="66" t="str">
        <f>IFERROR(VLOOKUP($O10462,'Customer List'!$A$1:$J$488,10,FALSE),"")</f>
        <v/>
      </c>
    </row>
    <row r="10463" spans="18:23">
      <c r="R10463" s="97">
        <f t="shared" si="377"/>
        <v>0</v>
      </c>
      <c r="W10463" s="66" t="str">
        <f>IFERROR(VLOOKUP($O10463,'Customer List'!$A$1:$J$488,10,FALSE),"")</f>
        <v/>
      </c>
    </row>
    <row r="10464" spans="18:23">
      <c r="R10464" s="97">
        <f t="shared" si="377"/>
        <v>0</v>
      </c>
      <c r="W10464" s="66" t="str">
        <f>IFERROR(VLOOKUP($O10464,'Customer List'!$A$1:$J$488,10,FALSE),"")</f>
        <v/>
      </c>
    </row>
    <row r="10465" spans="18:23">
      <c r="R10465" s="97">
        <f t="shared" si="377"/>
        <v>0</v>
      </c>
      <c r="W10465" s="66" t="str">
        <f>IFERROR(VLOOKUP($O10465,'Customer List'!$A$1:$J$488,10,FALSE),"")</f>
        <v/>
      </c>
    </row>
    <row r="10466" spans="18:23">
      <c r="R10466" s="97">
        <f t="shared" si="377"/>
        <v>0</v>
      </c>
      <c r="W10466" s="66" t="str">
        <f>IFERROR(VLOOKUP($O10466,'Customer List'!$A$1:$J$488,10,FALSE),"")</f>
        <v/>
      </c>
    </row>
    <row r="10467" spans="18:23">
      <c r="R10467" s="97">
        <f t="shared" si="377"/>
        <v>0</v>
      </c>
      <c r="W10467" s="66" t="str">
        <f>IFERROR(VLOOKUP($O10467,'Customer List'!$A$1:$J$488,10,FALSE),"")</f>
        <v/>
      </c>
    </row>
    <row r="10468" spans="18:23">
      <c r="R10468" s="97">
        <f t="shared" si="377"/>
        <v>0</v>
      </c>
      <c r="W10468" s="66" t="str">
        <f>IFERROR(VLOOKUP($O10468,'Customer List'!$A$1:$J$488,10,FALSE),"")</f>
        <v/>
      </c>
    </row>
    <row r="10469" spans="18:23">
      <c r="R10469" s="97">
        <f t="shared" si="377"/>
        <v>0</v>
      </c>
      <c r="W10469" s="66" t="str">
        <f>IFERROR(VLOOKUP($O10469,'Customer List'!$A$1:$J$488,10,FALSE),"")</f>
        <v/>
      </c>
    </row>
    <row r="10470" spans="18:23">
      <c r="R10470" s="97">
        <f t="shared" si="377"/>
        <v>0</v>
      </c>
      <c r="W10470" s="66" t="str">
        <f>IFERROR(VLOOKUP($O10470,'Customer List'!$A$1:$J$488,10,FALSE),"")</f>
        <v/>
      </c>
    </row>
    <row r="10471" spans="18:23">
      <c r="R10471" s="97">
        <f t="shared" si="377"/>
        <v>0</v>
      </c>
      <c r="W10471" s="66" t="str">
        <f>IFERROR(VLOOKUP($O10471,'Customer List'!$A$1:$J$488,10,FALSE),"")</f>
        <v/>
      </c>
    </row>
    <row r="10472" spans="18:23">
      <c r="R10472" s="97">
        <f t="shared" ref="R10472:R10535" si="378">L10472-K10472</f>
        <v>0</v>
      </c>
      <c r="W10472" s="66" t="str">
        <f>IFERROR(VLOOKUP($O10472,'Customer List'!$A$1:$J$488,10,FALSE),"")</f>
        <v/>
      </c>
    </row>
    <row r="10473" spans="18:23">
      <c r="R10473" s="97">
        <f t="shared" si="378"/>
        <v>0</v>
      </c>
      <c r="W10473" s="66" t="str">
        <f>IFERROR(VLOOKUP($O10473,'Customer List'!$A$1:$J$488,10,FALSE),"")</f>
        <v/>
      </c>
    </row>
    <row r="10474" spans="18:23">
      <c r="R10474" s="97">
        <f t="shared" si="378"/>
        <v>0</v>
      </c>
      <c r="W10474" s="66" t="str">
        <f>IFERROR(VLOOKUP($O10474,'Customer List'!$A$1:$J$488,10,FALSE),"")</f>
        <v/>
      </c>
    </row>
    <row r="10475" spans="18:23">
      <c r="R10475" s="97">
        <f t="shared" si="378"/>
        <v>0</v>
      </c>
      <c r="W10475" s="66" t="str">
        <f>IFERROR(VLOOKUP($O10475,'Customer List'!$A$1:$J$488,10,FALSE),"")</f>
        <v/>
      </c>
    </row>
    <row r="10476" spans="18:23">
      <c r="R10476" s="97">
        <f t="shared" si="378"/>
        <v>0</v>
      </c>
      <c r="W10476" s="66" t="str">
        <f>IFERROR(VLOOKUP($O10476,'Customer List'!$A$1:$J$488,10,FALSE),"")</f>
        <v/>
      </c>
    </row>
    <row r="10477" spans="18:23">
      <c r="R10477" s="97">
        <f t="shared" si="378"/>
        <v>0</v>
      </c>
      <c r="W10477" s="66" t="str">
        <f>IFERROR(VLOOKUP($O10477,'Customer List'!$A$1:$J$488,10,FALSE),"")</f>
        <v/>
      </c>
    </row>
    <row r="10478" spans="18:23">
      <c r="R10478" s="97">
        <f t="shared" si="378"/>
        <v>0</v>
      </c>
      <c r="W10478" s="66" t="str">
        <f>IFERROR(VLOOKUP($O10478,'Customer List'!$A$1:$J$488,10,FALSE),"")</f>
        <v/>
      </c>
    </row>
    <row r="10479" spans="18:23">
      <c r="R10479" s="97">
        <f t="shared" si="378"/>
        <v>0</v>
      </c>
      <c r="W10479" s="66" t="str">
        <f>IFERROR(VLOOKUP($O10479,'Customer List'!$A$1:$J$488,10,FALSE),"")</f>
        <v/>
      </c>
    </row>
    <row r="10480" spans="18:23">
      <c r="R10480" s="97">
        <f t="shared" si="378"/>
        <v>0</v>
      </c>
      <c r="W10480" s="66" t="str">
        <f>IFERROR(VLOOKUP($O10480,'Customer List'!$A$1:$J$488,10,FALSE),"")</f>
        <v/>
      </c>
    </row>
    <row r="10481" spans="18:23">
      <c r="R10481" s="97">
        <f t="shared" si="378"/>
        <v>0</v>
      </c>
      <c r="W10481" s="66" t="str">
        <f>IFERROR(VLOOKUP($O10481,'Customer List'!$A$1:$J$488,10,FALSE),"")</f>
        <v/>
      </c>
    </row>
    <row r="10482" spans="18:23">
      <c r="R10482" s="97">
        <f t="shared" si="378"/>
        <v>0</v>
      </c>
      <c r="W10482" s="66" t="str">
        <f>IFERROR(VLOOKUP($O10482,'Customer List'!$A$1:$J$488,10,FALSE),"")</f>
        <v/>
      </c>
    </row>
    <row r="10483" spans="18:23">
      <c r="R10483" s="97">
        <f t="shared" si="378"/>
        <v>0</v>
      </c>
      <c r="W10483" s="66" t="str">
        <f>IFERROR(VLOOKUP($O10483,'Customer List'!$A$1:$J$488,10,FALSE),"")</f>
        <v/>
      </c>
    </row>
    <row r="10484" spans="18:23">
      <c r="R10484" s="97">
        <f t="shared" si="378"/>
        <v>0</v>
      </c>
      <c r="W10484" s="66" t="str">
        <f>IFERROR(VLOOKUP($O10484,'Customer List'!$A$1:$J$488,10,FALSE),"")</f>
        <v/>
      </c>
    </row>
    <row r="10485" spans="18:23">
      <c r="R10485" s="97">
        <f t="shared" si="378"/>
        <v>0</v>
      </c>
      <c r="W10485" s="66" t="str">
        <f>IFERROR(VLOOKUP($O10485,'Customer List'!$A$1:$J$488,10,FALSE),"")</f>
        <v/>
      </c>
    </row>
    <row r="10486" spans="18:23">
      <c r="R10486" s="97">
        <f t="shared" si="378"/>
        <v>0</v>
      </c>
      <c r="W10486" s="66" t="str">
        <f>IFERROR(VLOOKUP($O10486,'Customer List'!$A$1:$J$488,10,FALSE),"")</f>
        <v/>
      </c>
    </row>
    <row r="10487" spans="18:23">
      <c r="R10487" s="97">
        <f t="shared" si="378"/>
        <v>0</v>
      </c>
      <c r="W10487" s="66" t="str">
        <f>IFERROR(VLOOKUP($O10487,'Customer List'!$A$1:$J$488,10,FALSE),"")</f>
        <v/>
      </c>
    </row>
    <row r="10488" spans="18:23">
      <c r="R10488" s="97">
        <f t="shared" si="378"/>
        <v>0</v>
      </c>
      <c r="W10488" s="66" t="str">
        <f>IFERROR(VLOOKUP($O10488,'Customer List'!$A$1:$J$488,10,FALSE),"")</f>
        <v/>
      </c>
    </row>
    <row r="10489" spans="18:23">
      <c r="R10489" s="97">
        <f t="shared" si="378"/>
        <v>0</v>
      </c>
      <c r="W10489" s="66" t="str">
        <f>IFERROR(VLOOKUP($O10489,'Customer List'!$A$1:$J$488,10,FALSE),"")</f>
        <v/>
      </c>
    </row>
    <row r="10490" spans="18:23">
      <c r="R10490" s="97">
        <f t="shared" si="378"/>
        <v>0</v>
      </c>
      <c r="W10490" s="66" t="str">
        <f>IFERROR(VLOOKUP($O10490,'Customer List'!$A$1:$J$488,10,FALSE),"")</f>
        <v/>
      </c>
    </row>
    <row r="10491" spans="18:23">
      <c r="R10491" s="97">
        <f t="shared" si="378"/>
        <v>0</v>
      </c>
      <c r="W10491" s="66" t="str">
        <f>IFERROR(VLOOKUP($O10491,'Customer List'!$A$1:$J$488,10,FALSE),"")</f>
        <v/>
      </c>
    </row>
    <row r="10492" spans="18:23">
      <c r="R10492" s="97">
        <f t="shared" si="378"/>
        <v>0</v>
      </c>
      <c r="W10492" s="66" t="str">
        <f>IFERROR(VLOOKUP($O10492,'Customer List'!$A$1:$J$488,10,FALSE),"")</f>
        <v/>
      </c>
    </row>
    <row r="10493" spans="18:23">
      <c r="R10493" s="97">
        <f t="shared" si="378"/>
        <v>0</v>
      </c>
      <c r="W10493" s="66" t="str">
        <f>IFERROR(VLOOKUP($O10493,'Customer List'!$A$1:$J$488,10,FALSE),"")</f>
        <v/>
      </c>
    </row>
    <row r="10494" spans="18:23">
      <c r="R10494" s="97">
        <f t="shared" si="378"/>
        <v>0</v>
      </c>
      <c r="W10494" s="66" t="str">
        <f>IFERROR(VLOOKUP($O10494,'Customer List'!$A$1:$J$488,10,FALSE),"")</f>
        <v/>
      </c>
    </row>
    <row r="10495" spans="18:23">
      <c r="R10495" s="97">
        <f t="shared" si="378"/>
        <v>0</v>
      </c>
      <c r="W10495" s="66" t="str">
        <f>IFERROR(VLOOKUP($O10495,'Customer List'!$A$1:$J$488,10,FALSE),"")</f>
        <v/>
      </c>
    </row>
    <row r="10496" spans="18:23">
      <c r="R10496" s="97">
        <f t="shared" si="378"/>
        <v>0</v>
      </c>
      <c r="W10496" s="66" t="str">
        <f>IFERROR(VLOOKUP($O10496,'Customer List'!$A$1:$J$488,10,FALSE),"")</f>
        <v/>
      </c>
    </row>
    <row r="10497" spans="18:23">
      <c r="R10497" s="97">
        <f t="shared" si="378"/>
        <v>0</v>
      </c>
      <c r="W10497" s="66" t="str">
        <f>IFERROR(VLOOKUP($O10497,'Customer List'!$A$1:$J$488,10,FALSE),"")</f>
        <v/>
      </c>
    </row>
    <row r="10498" spans="18:23">
      <c r="R10498" s="97">
        <f t="shared" si="378"/>
        <v>0</v>
      </c>
      <c r="W10498" s="66" t="str">
        <f>IFERROR(VLOOKUP($O10498,'Customer List'!$A$1:$J$488,10,FALSE),"")</f>
        <v/>
      </c>
    </row>
    <row r="10499" spans="18:23">
      <c r="R10499" s="97">
        <f t="shared" si="378"/>
        <v>0</v>
      </c>
      <c r="W10499" s="66" t="str">
        <f>IFERROR(VLOOKUP($O10499,'Customer List'!$A$1:$J$488,10,FALSE),"")</f>
        <v/>
      </c>
    </row>
    <row r="10500" spans="18:23">
      <c r="R10500" s="97">
        <f t="shared" si="378"/>
        <v>0</v>
      </c>
      <c r="W10500" s="66" t="str">
        <f>IFERROR(VLOOKUP($O10500,'Customer List'!$A$1:$J$488,10,FALSE),"")</f>
        <v/>
      </c>
    </row>
    <row r="10501" spans="18:23">
      <c r="R10501" s="97">
        <f t="shared" si="378"/>
        <v>0</v>
      </c>
      <c r="W10501" s="66" t="str">
        <f>IFERROR(VLOOKUP($O10501,'Customer List'!$A$1:$J$488,10,FALSE),"")</f>
        <v/>
      </c>
    </row>
    <row r="10502" spans="18:23">
      <c r="R10502" s="97">
        <f t="shared" si="378"/>
        <v>0</v>
      </c>
      <c r="W10502" s="66" t="str">
        <f>IFERROR(VLOOKUP($O10502,'Customer List'!$A$1:$J$488,10,FALSE),"")</f>
        <v/>
      </c>
    </row>
    <row r="10503" spans="18:23">
      <c r="R10503" s="97">
        <f t="shared" si="378"/>
        <v>0</v>
      </c>
      <c r="W10503" s="66" t="str">
        <f>IFERROR(VLOOKUP($O10503,'Customer List'!$A$1:$J$488,10,FALSE),"")</f>
        <v/>
      </c>
    </row>
    <row r="10504" spans="18:23">
      <c r="R10504" s="97">
        <f t="shared" si="378"/>
        <v>0</v>
      </c>
      <c r="W10504" s="66" t="str">
        <f>IFERROR(VLOOKUP($O10504,'Customer List'!$A$1:$J$488,10,FALSE),"")</f>
        <v/>
      </c>
    </row>
    <row r="10505" spans="18:23">
      <c r="R10505" s="97">
        <f t="shared" si="378"/>
        <v>0</v>
      </c>
      <c r="W10505" s="66" t="str">
        <f>IFERROR(VLOOKUP($O10505,'Customer List'!$A$1:$J$488,10,FALSE),"")</f>
        <v/>
      </c>
    </row>
    <row r="10506" spans="18:23">
      <c r="R10506" s="97">
        <f t="shared" si="378"/>
        <v>0</v>
      </c>
      <c r="W10506" s="66" t="str">
        <f>IFERROR(VLOOKUP($O10506,'Customer List'!$A$1:$J$488,10,FALSE),"")</f>
        <v/>
      </c>
    </row>
    <row r="10507" spans="18:23">
      <c r="R10507" s="97">
        <f t="shared" si="378"/>
        <v>0</v>
      </c>
      <c r="W10507" s="66" t="str">
        <f>IFERROR(VLOOKUP($O10507,'Customer List'!$A$1:$J$488,10,FALSE),"")</f>
        <v/>
      </c>
    </row>
    <row r="10508" spans="18:23">
      <c r="R10508" s="97">
        <f t="shared" si="378"/>
        <v>0</v>
      </c>
      <c r="W10508" s="66" t="str">
        <f>IFERROR(VLOOKUP($O10508,'Customer List'!$A$1:$J$488,10,FALSE),"")</f>
        <v/>
      </c>
    </row>
    <row r="10509" spans="18:23">
      <c r="R10509" s="97">
        <f t="shared" si="378"/>
        <v>0</v>
      </c>
      <c r="W10509" s="66" t="str">
        <f>IFERROR(VLOOKUP($O10509,'Customer List'!$A$1:$J$488,10,FALSE),"")</f>
        <v/>
      </c>
    </row>
    <row r="10510" spans="18:23">
      <c r="R10510" s="97">
        <f t="shared" si="378"/>
        <v>0</v>
      </c>
      <c r="W10510" s="66" t="str">
        <f>IFERROR(VLOOKUP($O10510,'Customer List'!$A$1:$J$488,10,FALSE),"")</f>
        <v/>
      </c>
    </row>
    <row r="10511" spans="18:23">
      <c r="R10511" s="97">
        <f t="shared" si="378"/>
        <v>0</v>
      </c>
      <c r="W10511" s="66" t="str">
        <f>IFERROR(VLOOKUP($O10511,'Customer List'!$A$1:$J$488,10,FALSE),"")</f>
        <v/>
      </c>
    </row>
    <row r="10512" spans="18:23">
      <c r="R10512" s="97">
        <f t="shared" si="378"/>
        <v>0</v>
      </c>
      <c r="W10512" s="66" t="str">
        <f>IFERROR(VLOOKUP($O10512,'Customer List'!$A$1:$J$488,10,FALSE),"")</f>
        <v/>
      </c>
    </row>
    <row r="10513" spans="18:23">
      <c r="R10513" s="97">
        <f t="shared" si="378"/>
        <v>0</v>
      </c>
      <c r="W10513" s="66" t="str">
        <f>IFERROR(VLOOKUP($O10513,'Customer List'!$A$1:$J$488,10,FALSE),"")</f>
        <v/>
      </c>
    </row>
    <row r="10514" spans="18:23">
      <c r="R10514" s="97">
        <f t="shared" si="378"/>
        <v>0</v>
      </c>
      <c r="W10514" s="66" t="str">
        <f>IFERROR(VLOOKUP($O10514,'Customer List'!$A$1:$J$488,10,FALSE),"")</f>
        <v/>
      </c>
    </row>
    <row r="10515" spans="18:23">
      <c r="R10515" s="97">
        <f t="shared" si="378"/>
        <v>0</v>
      </c>
      <c r="W10515" s="66" t="str">
        <f>IFERROR(VLOOKUP($O10515,'Customer List'!$A$1:$J$488,10,FALSE),"")</f>
        <v/>
      </c>
    </row>
    <row r="10516" spans="18:23">
      <c r="R10516" s="97">
        <f t="shared" si="378"/>
        <v>0</v>
      </c>
      <c r="W10516" s="66" t="str">
        <f>IFERROR(VLOOKUP($O10516,'Customer List'!$A$1:$J$488,10,FALSE),"")</f>
        <v/>
      </c>
    </row>
    <row r="10517" spans="18:23">
      <c r="R10517" s="97">
        <f t="shared" si="378"/>
        <v>0</v>
      </c>
      <c r="W10517" s="66" t="str">
        <f>IFERROR(VLOOKUP($O10517,'Customer List'!$A$1:$J$488,10,FALSE),"")</f>
        <v/>
      </c>
    </row>
    <row r="10518" spans="18:23">
      <c r="R10518" s="97">
        <f t="shared" si="378"/>
        <v>0</v>
      </c>
      <c r="W10518" s="66" t="str">
        <f>IFERROR(VLOOKUP($O10518,'Customer List'!$A$1:$J$488,10,FALSE),"")</f>
        <v/>
      </c>
    </row>
    <row r="10519" spans="18:23">
      <c r="R10519" s="97">
        <f t="shared" si="378"/>
        <v>0</v>
      </c>
      <c r="W10519" s="66" t="str">
        <f>IFERROR(VLOOKUP($O10519,'Customer List'!$A$1:$J$488,10,FALSE),"")</f>
        <v/>
      </c>
    </row>
    <row r="10520" spans="18:23">
      <c r="R10520" s="97">
        <f t="shared" si="378"/>
        <v>0</v>
      </c>
      <c r="W10520" s="66" t="str">
        <f>IFERROR(VLOOKUP($O10520,'Customer List'!$A$1:$J$488,10,FALSE),"")</f>
        <v/>
      </c>
    </row>
    <row r="10521" spans="18:23">
      <c r="R10521" s="97">
        <f t="shared" si="378"/>
        <v>0</v>
      </c>
      <c r="W10521" s="66" t="str">
        <f>IFERROR(VLOOKUP($O10521,'Customer List'!$A$1:$J$488,10,FALSE),"")</f>
        <v/>
      </c>
    </row>
    <row r="10522" spans="18:23">
      <c r="R10522" s="97">
        <f t="shared" si="378"/>
        <v>0</v>
      </c>
      <c r="W10522" s="66" t="str">
        <f>IFERROR(VLOOKUP($O10522,'Customer List'!$A$1:$J$488,10,FALSE),"")</f>
        <v/>
      </c>
    </row>
    <row r="10523" spans="18:23">
      <c r="R10523" s="97">
        <f t="shared" si="378"/>
        <v>0</v>
      </c>
      <c r="W10523" s="66" t="str">
        <f>IFERROR(VLOOKUP($O10523,'Customer List'!$A$1:$J$488,10,FALSE),"")</f>
        <v/>
      </c>
    </row>
    <row r="10524" spans="18:23">
      <c r="R10524" s="97">
        <f t="shared" si="378"/>
        <v>0</v>
      </c>
      <c r="W10524" s="66" t="str">
        <f>IFERROR(VLOOKUP($O10524,'Customer List'!$A$1:$J$488,10,FALSE),"")</f>
        <v/>
      </c>
    </row>
    <row r="10525" spans="18:23">
      <c r="R10525" s="97">
        <f t="shared" si="378"/>
        <v>0</v>
      </c>
      <c r="W10525" s="66" t="str">
        <f>IFERROR(VLOOKUP($O10525,'Customer List'!$A$1:$J$488,10,FALSE),"")</f>
        <v/>
      </c>
    </row>
    <row r="10526" spans="18:23">
      <c r="R10526" s="97">
        <f t="shared" si="378"/>
        <v>0</v>
      </c>
      <c r="W10526" s="66" t="str">
        <f>IFERROR(VLOOKUP($O10526,'Customer List'!$A$1:$J$488,10,FALSE),"")</f>
        <v/>
      </c>
    </row>
    <row r="10527" spans="18:23">
      <c r="R10527" s="97">
        <f t="shared" si="378"/>
        <v>0</v>
      </c>
      <c r="W10527" s="66" t="str">
        <f>IFERROR(VLOOKUP($O10527,'Customer List'!$A$1:$J$488,10,FALSE),"")</f>
        <v/>
      </c>
    </row>
    <row r="10528" spans="18:23">
      <c r="R10528" s="97">
        <f t="shared" si="378"/>
        <v>0</v>
      </c>
      <c r="W10528" s="66" t="str">
        <f>IFERROR(VLOOKUP($O10528,'Customer List'!$A$1:$J$488,10,FALSE),"")</f>
        <v/>
      </c>
    </row>
    <row r="10529" spans="18:23">
      <c r="R10529" s="97">
        <f t="shared" si="378"/>
        <v>0</v>
      </c>
      <c r="W10529" s="66" t="str">
        <f>IFERROR(VLOOKUP($O10529,'Customer List'!$A$1:$J$488,10,FALSE),"")</f>
        <v/>
      </c>
    </row>
    <row r="10530" spans="18:23">
      <c r="R10530" s="97">
        <f t="shared" si="378"/>
        <v>0</v>
      </c>
      <c r="W10530" s="66" t="str">
        <f>IFERROR(VLOOKUP($O10530,'Customer List'!$A$1:$J$488,10,FALSE),"")</f>
        <v/>
      </c>
    </row>
    <row r="10531" spans="18:23">
      <c r="R10531" s="97">
        <f t="shared" si="378"/>
        <v>0</v>
      </c>
      <c r="W10531" s="66" t="str">
        <f>IFERROR(VLOOKUP($O10531,'Customer List'!$A$1:$J$488,10,FALSE),"")</f>
        <v/>
      </c>
    </row>
    <row r="10532" spans="18:23">
      <c r="R10532" s="97">
        <f t="shared" si="378"/>
        <v>0</v>
      </c>
      <c r="W10532" s="66" t="str">
        <f>IFERROR(VLOOKUP($O10532,'Customer List'!$A$1:$J$488,10,FALSE),"")</f>
        <v/>
      </c>
    </row>
    <row r="10533" spans="18:23">
      <c r="R10533" s="97">
        <f t="shared" si="378"/>
        <v>0</v>
      </c>
      <c r="W10533" s="66" t="str">
        <f>IFERROR(VLOOKUP($O10533,'Customer List'!$A$1:$J$488,10,FALSE),"")</f>
        <v/>
      </c>
    </row>
    <row r="10534" spans="18:23">
      <c r="R10534" s="97">
        <f t="shared" si="378"/>
        <v>0</v>
      </c>
      <c r="W10534" s="66" t="str">
        <f>IFERROR(VLOOKUP($O10534,'Customer List'!$A$1:$J$488,10,FALSE),"")</f>
        <v/>
      </c>
    </row>
    <row r="10535" spans="18:23">
      <c r="R10535" s="97">
        <f t="shared" si="378"/>
        <v>0</v>
      </c>
      <c r="W10535" s="66" t="str">
        <f>IFERROR(VLOOKUP($O10535,'Customer List'!$A$1:$J$488,10,FALSE),"")</f>
        <v/>
      </c>
    </row>
    <row r="10536" spans="18:23">
      <c r="R10536" s="97">
        <f t="shared" ref="R10536:R10599" si="379">L10536-K10536</f>
        <v>0</v>
      </c>
      <c r="W10536" s="66" t="str">
        <f>IFERROR(VLOOKUP($O10536,'Customer List'!$A$1:$J$488,10,FALSE),"")</f>
        <v/>
      </c>
    </row>
    <row r="10537" spans="18:23">
      <c r="R10537" s="97">
        <f t="shared" si="379"/>
        <v>0</v>
      </c>
      <c r="W10537" s="66" t="str">
        <f>IFERROR(VLOOKUP($O10537,'Customer List'!$A$1:$J$488,10,FALSE),"")</f>
        <v/>
      </c>
    </row>
    <row r="10538" spans="18:23">
      <c r="R10538" s="97">
        <f t="shared" si="379"/>
        <v>0</v>
      </c>
      <c r="W10538" s="66" t="str">
        <f>IFERROR(VLOOKUP($O10538,'Customer List'!$A$1:$J$488,10,FALSE),"")</f>
        <v/>
      </c>
    </row>
    <row r="10539" spans="18:23">
      <c r="R10539" s="97">
        <f t="shared" si="379"/>
        <v>0</v>
      </c>
      <c r="W10539" s="66" t="str">
        <f>IFERROR(VLOOKUP($O10539,'Customer List'!$A$1:$J$488,10,FALSE),"")</f>
        <v/>
      </c>
    </row>
    <row r="10540" spans="18:23">
      <c r="R10540" s="97">
        <f t="shared" si="379"/>
        <v>0</v>
      </c>
      <c r="W10540" s="66" t="str">
        <f>IFERROR(VLOOKUP($O10540,'Customer List'!$A$1:$J$488,10,FALSE),"")</f>
        <v/>
      </c>
    </row>
    <row r="10541" spans="18:23">
      <c r="R10541" s="97">
        <f t="shared" si="379"/>
        <v>0</v>
      </c>
      <c r="W10541" s="66" t="str">
        <f>IFERROR(VLOOKUP($O10541,'Customer List'!$A$1:$J$488,10,FALSE),"")</f>
        <v/>
      </c>
    </row>
    <row r="10542" spans="18:23">
      <c r="R10542" s="97">
        <f t="shared" si="379"/>
        <v>0</v>
      </c>
      <c r="W10542" s="66" t="str">
        <f>IFERROR(VLOOKUP($O10542,'Customer List'!$A$1:$J$488,10,FALSE),"")</f>
        <v/>
      </c>
    </row>
    <row r="10543" spans="18:23">
      <c r="R10543" s="97">
        <f t="shared" si="379"/>
        <v>0</v>
      </c>
      <c r="W10543" s="66" t="str">
        <f>IFERROR(VLOOKUP($O10543,'Customer List'!$A$1:$J$488,10,FALSE),"")</f>
        <v/>
      </c>
    </row>
    <row r="10544" spans="18:23">
      <c r="R10544" s="97">
        <f t="shared" si="379"/>
        <v>0</v>
      </c>
      <c r="W10544" s="66" t="str">
        <f>IFERROR(VLOOKUP($O10544,'Customer List'!$A$1:$J$488,10,FALSE),"")</f>
        <v/>
      </c>
    </row>
    <row r="10545" spans="18:23">
      <c r="R10545" s="97">
        <f t="shared" si="379"/>
        <v>0</v>
      </c>
      <c r="W10545" s="66" t="str">
        <f>IFERROR(VLOOKUP($O10545,'Customer List'!$A$1:$J$488,10,FALSE),"")</f>
        <v/>
      </c>
    </row>
    <row r="10546" spans="18:23">
      <c r="R10546" s="97">
        <f t="shared" si="379"/>
        <v>0</v>
      </c>
      <c r="W10546" s="66" t="str">
        <f>IFERROR(VLOOKUP($O10546,'Customer List'!$A$1:$J$488,10,FALSE),"")</f>
        <v/>
      </c>
    </row>
    <row r="10547" spans="18:23">
      <c r="R10547" s="97">
        <f t="shared" si="379"/>
        <v>0</v>
      </c>
      <c r="W10547" s="66" t="str">
        <f>IFERROR(VLOOKUP($O10547,'Customer List'!$A$1:$J$488,10,FALSE),"")</f>
        <v/>
      </c>
    </row>
    <row r="10548" spans="18:23">
      <c r="R10548" s="97">
        <f t="shared" si="379"/>
        <v>0</v>
      </c>
      <c r="W10548" s="66" t="str">
        <f>IFERROR(VLOOKUP($O10548,'Customer List'!$A$1:$J$488,10,FALSE),"")</f>
        <v/>
      </c>
    </row>
    <row r="10549" spans="18:23">
      <c r="R10549" s="97">
        <f t="shared" si="379"/>
        <v>0</v>
      </c>
      <c r="W10549" s="66" t="str">
        <f>IFERROR(VLOOKUP($O10549,'Customer List'!$A$1:$J$488,10,FALSE),"")</f>
        <v/>
      </c>
    </row>
    <row r="10550" spans="18:23">
      <c r="R10550" s="97">
        <f t="shared" si="379"/>
        <v>0</v>
      </c>
      <c r="W10550" s="66" t="str">
        <f>IFERROR(VLOOKUP($O10550,'Customer List'!$A$1:$J$488,10,FALSE),"")</f>
        <v/>
      </c>
    </row>
    <row r="10551" spans="18:23">
      <c r="R10551" s="97">
        <f t="shared" si="379"/>
        <v>0</v>
      </c>
      <c r="W10551" s="66" t="str">
        <f>IFERROR(VLOOKUP($O10551,'Customer List'!$A$1:$J$488,10,FALSE),"")</f>
        <v/>
      </c>
    </row>
    <row r="10552" spans="18:23">
      <c r="R10552" s="97">
        <f t="shared" si="379"/>
        <v>0</v>
      </c>
      <c r="W10552" s="66" t="str">
        <f>IFERROR(VLOOKUP($O10552,'Customer List'!$A$1:$J$488,10,FALSE),"")</f>
        <v/>
      </c>
    </row>
    <row r="10553" spans="18:23">
      <c r="R10553" s="97">
        <f t="shared" si="379"/>
        <v>0</v>
      </c>
      <c r="W10553" s="66" t="str">
        <f>IFERROR(VLOOKUP($O10553,'Customer List'!$A$1:$J$488,10,FALSE),"")</f>
        <v/>
      </c>
    </row>
    <row r="10554" spans="18:23">
      <c r="R10554" s="97">
        <f t="shared" si="379"/>
        <v>0</v>
      </c>
      <c r="W10554" s="66" t="str">
        <f>IFERROR(VLOOKUP($O10554,'Customer List'!$A$1:$J$488,10,FALSE),"")</f>
        <v/>
      </c>
    </row>
    <row r="10555" spans="18:23">
      <c r="R10555" s="97">
        <f t="shared" si="379"/>
        <v>0</v>
      </c>
      <c r="W10555" s="66" t="str">
        <f>IFERROR(VLOOKUP($O10555,'Customer List'!$A$1:$J$488,10,FALSE),"")</f>
        <v/>
      </c>
    </row>
    <row r="10556" spans="18:23">
      <c r="R10556" s="97">
        <f t="shared" si="379"/>
        <v>0</v>
      </c>
      <c r="W10556" s="66" t="str">
        <f>IFERROR(VLOOKUP($O10556,'Customer List'!$A$1:$J$488,10,FALSE),"")</f>
        <v/>
      </c>
    </row>
    <row r="10557" spans="18:23">
      <c r="R10557" s="97">
        <f t="shared" si="379"/>
        <v>0</v>
      </c>
      <c r="W10557" s="66" t="str">
        <f>IFERROR(VLOOKUP($O10557,'Customer List'!$A$1:$J$488,10,FALSE),"")</f>
        <v/>
      </c>
    </row>
    <row r="10558" spans="18:23">
      <c r="R10558" s="97">
        <f t="shared" si="379"/>
        <v>0</v>
      </c>
      <c r="W10558" s="66" t="str">
        <f>IFERROR(VLOOKUP($O10558,'Customer List'!$A$1:$J$488,10,FALSE),"")</f>
        <v/>
      </c>
    </row>
    <row r="10559" spans="18:23">
      <c r="R10559" s="97">
        <f t="shared" si="379"/>
        <v>0</v>
      </c>
      <c r="W10559" s="66" t="str">
        <f>IFERROR(VLOOKUP($O10559,'Customer List'!$A$1:$J$488,10,FALSE),"")</f>
        <v/>
      </c>
    </row>
    <row r="10560" spans="18:23">
      <c r="R10560" s="97">
        <f t="shared" si="379"/>
        <v>0</v>
      </c>
      <c r="W10560" s="66" t="str">
        <f>IFERROR(VLOOKUP($O10560,'Customer List'!$A$1:$J$488,10,FALSE),"")</f>
        <v/>
      </c>
    </row>
    <row r="10561" spans="18:23">
      <c r="R10561" s="97">
        <f t="shared" si="379"/>
        <v>0</v>
      </c>
      <c r="W10561" s="66" t="str">
        <f>IFERROR(VLOOKUP($O10561,'Customer List'!$A$1:$J$488,10,FALSE),"")</f>
        <v/>
      </c>
    </row>
    <row r="10562" spans="18:23">
      <c r="R10562" s="97">
        <f t="shared" si="379"/>
        <v>0</v>
      </c>
      <c r="W10562" s="66" t="str">
        <f>IFERROR(VLOOKUP($O10562,'Customer List'!$A$1:$J$488,10,FALSE),"")</f>
        <v/>
      </c>
    </row>
    <row r="10563" spans="18:23">
      <c r="R10563" s="97">
        <f t="shared" si="379"/>
        <v>0</v>
      </c>
      <c r="W10563" s="66" t="str">
        <f>IFERROR(VLOOKUP($O10563,'Customer List'!$A$1:$J$488,10,FALSE),"")</f>
        <v/>
      </c>
    </row>
    <row r="10564" spans="18:23">
      <c r="R10564" s="97">
        <f t="shared" si="379"/>
        <v>0</v>
      </c>
      <c r="W10564" s="66" t="str">
        <f>IFERROR(VLOOKUP($O10564,'Customer List'!$A$1:$J$488,10,FALSE),"")</f>
        <v/>
      </c>
    </row>
    <row r="10565" spans="18:23">
      <c r="R10565" s="97">
        <f t="shared" si="379"/>
        <v>0</v>
      </c>
      <c r="W10565" s="66" t="str">
        <f>IFERROR(VLOOKUP($O10565,'Customer List'!$A$1:$J$488,10,FALSE),"")</f>
        <v/>
      </c>
    </row>
    <row r="10566" spans="18:23">
      <c r="R10566" s="97">
        <f t="shared" si="379"/>
        <v>0</v>
      </c>
      <c r="W10566" s="66" t="str">
        <f>IFERROR(VLOOKUP($O10566,'Customer List'!$A$1:$J$488,10,FALSE),"")</f>
        <v/>
      </c>
    </row>
    <row r="10567" spans="18:23">
      <c r="R10567" s="97">
        <f t="shared" si="379"/>
        <v>0</v>
      </c>
      <c r="W10567" s="66" t="str">
        <f>IFERROR(VLOOKUP($O10567,'Customer List'!$A$1:$J$488,10,FALSE),"")</f>
        <v/>
      </c>
    </row>
    <row r="10568" spans="18:23">
      <c r="R10568" s="97">
        <f t="shared" si="379"/>
        <v>0</v>
      </c>
      <c r="W10568" s="66" t="str">
        <f>IFERROR(VLOOKUP($O10568,'Customer List'!$A$1:$J$488,10,FALSE),"")</f>
        <v/>
      </c>
    </row>
    <row r="10569" spans="18:23">
      <c r="R10569" s="97">
        <f t="shared" si="379"/>
        <v>0</v>
      </c>
      <c r="W10569" s="66" t="str">
        <f>IFERROR(VLOOKUP($O10569,'Customer List'!$A$1:$J$488,10,FALSE),"")</f>
        <v/>
      </c>
    </row>
    <row r="10570" spans="18:23">
      <c r="R10570" s="97">
        <f t="shared" si="379"/>
        <v>0</v>
      </c>
      <c r="W10570" s="66" t="str">
        <f>IFERROR(VLOOKUP($O10570,'Customer List'!$A$1:$J$488,10,FALSE),"")</f>
        <v/>
      </c>
    </row>
    <row r="10571" spans="18:23">
      <c r="R10571" s="97">
        <f t="shared" si="379"/>
        <v>0</v>
      </c>
      <c r="W10571" s="66" t="str">
        <f>IFERROR(VLOOKUP($O10571,'Customer List'!$A$1:$J$488,10,FALSE),"")</f>
        <v/>
      </c>
    </row>
    <row r="10572" spans="18:23">
      <c r="R10572" s="97">
        <f t="shared" si="379"/>
        <v>0</v>
      </c>
      <c r="W10572" s="66" t="str">
        <f>IFERROR(VLOOKUP($O10572,'Customer List'!$A$1:$J$488,10,FALSE),"")</f>
        <v/>
      </c>
    </row>
    <row r="10573" spans="18:23">
      <c r="R10573" s="97">
        <f t="shared" si="379"/>
        <v>0</v>
      </c>
      <c r="W10573" s="66" t="str">
        <f>IFERROR(VLOOKUP($O10573,'Customer List'!$A$1:$J$488,10,FALSE),"")</f>
        <v/>
      </c>
    </row>
    <row r="10574" spans="18:23">
      <c r="R10574" s="97">
        <f t="shared" si="379"/>
        <v>0</v>
      </c>
      <c r="W10574" s="66" t="str">
        <f>IFERROR(VLOOKUP($O10574,'Customer List'!$A$1:$J$488,10,FALSE),"")</f>
        <v/>
      </c>
    </row>
    <row r="10575" spans="18:23">
      <c r="R10575" s="97">
        <f t="shared" si="379"/>
        <v>0</v>
      </c>
      <c r="W10575" s="66" t="str">
        <f>IFERROR(VLOOKUP($O10575,'Customer List'!$A$1:$J$488,10,FALSE),"")</f>
        <v/>
      </c>
    </row>
    <row r="10576" spans="18:23">
      <c r="R10576" s="97">
        <f t="shared" si="379"/>
        <v>0</v>
      </c>
      <c r="W10576" s="66" t="str">
        <f>IFERROR(VLOOKUP($O10576,'Customer List'!$A$1:$J$488,10,FALSE),"")</f>
        <v/>
      </c>
    </row>
    <row r="10577" spans="18:23">
      <c r="R10577" s="97">
        <f t="shared" si="379"/>
        <v>0</v>
      </c>
      <c r="W10577" s="66" t="str">
        <f>IFERROR(VLOOKUP($O10577,'Customer List'!$A$1:$J$488,10,FALSE),"")</f>
        <v/>
      </c>
    </row>
    <row r="10578" spans="18:23">
      <c r="R10578" s="97">
        <f t="shared" si="379"/>
        <v>0</v>
      </c>
      <c r="W10578" s="66" t="str">
        <f>IFERROR(VLOOKUP($O10578,'Customer List'!$A$1:$J$488,10,FALSE),"")</f>
        <v/>
      </c>
    </row>
    <row r="10579" spans="18:23">
      <c r="R10579" s="97">
        <f t="shared" si="379"/>
        <v>0</v>
      </c>
      <c r="W10579" s="66" t="str">
        <f>IFERROR(VLOOKUP($O10579,'Customer List'!$A$1:$J$488,10,FALSE),"")</f>
        <v/>
      </c>
    </row>
    <row r="10580" spans="18:23">
      <c r="R10580" s="97">
        <f t="shared" si="379"/>
        <v>0</v>
      </c>
      <c r="W10580" s="66" t="str">
        <f>IFERROR(VLOOKUP($O10580,'Customer List'!$A$1:$J$488,10,FALSE),"")</f>
        <v/>
      </c>
    </row>
    <row r="10581" spans="18:23">
      <c r="R10581" s="97">
        <f t="shared" si="379"/>
        <v>0</v>
      </c>
      <c r="W10581" s="66" t="str">
        <f>IFERROR(VLOOKUP($O10581,'Customer List'!$A$1:$J$488,10,FALSE),"")</f>
        <v/>
      </c>
    </row>
    <row r="10582" spans="18:23">
      <c r="R10582" s="97">
        <f t="shared" si="379"/>
        <v>0</v>
      </c>
      <c r="W10582" s="66" t="str">
        <f>IFERROR(VLOOKUP($O10582,'Customer List'!$A$1:$J$488,10,FALSE),"")</f>
        <v/>
      </c>
    </row>
    <row r="10583" spans="18:23">
      <c r="R10583" s="97">
        <f t="shared" si="379"/>
        <v>0</v>
      </c>
      <c r="W10583" s="66" t="str">
        <f>IFERROR(VLOOKUP($O10583,'Customer List'!$A$1:$J$488,10,FALSE),"")</f>
        <v/>
      </c>
    </row>
    <row r="10584" spans="18:23">
      <c r="R10584" s="97">
        <f t="shared" si="379"/>
        <v>0</v>
      </c>
      <c r="W10584" s="66" t="str">
        <f>IFERROR(VLOOKUP($O10584,'Customer List'!$A$1:$J$488,10,FALSE),"")</f>
        <v/>
      </c>
    </row>
    <row r="10585" spans="18:23">
      <c r="R10585" s="97">
        <f t="shared" si="379"/>
        <v>0</v>
      </c>
      <c r="W10585" s="66" t="str">
        <f>IFERROR(VLOOKUP($O10585,'Customer List'!$A$1:$J$488,10,FALSE),"")</f>
        <v/>
      </c>
    </row>
    <row r="10586" spans="18:23">
      <c r="R10586" s="97">
        <f t="shared" si="379"/>
        <v>0</v>
      </c>
      <c r="W10586" s="66" t="str">
        <f>IFERROR(VLOOKUP($O10586,'Customer List'!$A$1:$J$488,10,FALSE),"")</f>
        <v/>
      </c>
    </row>
    <row r="10587" spans="18:23">
      <c r="R10587" s="97">
        <f t="shared" si="379"/>
        <v>0</v>
      </c>
      <c r="W10587" s="66" t="str">
        <f>IFERROR(VLOOKUP($O10587,'Customer List'!$A$1:$J$488,10,FALSE),"")</f>
        <v/>
      </c>
    </row>
    <row r="10588" spans="18:23">
      <c r="R10588" s="97">
        <f t="shared" si="379"/>
        <v>0</v>
      </c>
      <c r="W10588" s="66" t="str">
        <f>IFERROR(VLOOKUP($O10588,'Customer List'!$A$1:$J$488,10,FALSE),"")</f>
        <v/>
      </c>
    </row>
    <row r="10589" spans="18:23">
      <c r="R10589" s="97">
        <f t="shared" si="379"/>
        <v>0</v>
      </c>
      <c r="W10589" s="66" t="str">
        <f>IFERROR(VLOOKUP($O10589,'Customer List'!$A$1:$J$488,10,FALSE),"")</f>
        <v/>
      </c>
    </row>
    <row r="10590" spans="18:23">
      <c r="R10590" s="97">
        <f t="shared" si="379"/>
        <v>0</v>
      </c>
      <c r="W10590" s="66" t="str">
        <f>IFERROR(VLOOKUP($O10590,'Customer List'!$A$1:$J$488,10,FALSE),"")</f>
        <v/>
      </c>
    </row>
    <row r="10591" spans="18:23">
      <c r="R10591" s="97">
        <f t="shared" si="379"/>
        <v>0</v>
      </c>
      <c r="W10591" s="66" t="str">
        <f>IFERROR(VLOOKUP($O10591,'Customer List'!$A$1:$J$488,10,FALSE),"")</f>
        <v/>
      </c>
    </row>
    <row r="10592" spans="18:23">
      <c r="R10592" s="97">
        <f t="shared" si="379"/>
        <v>0</v>
      </c>
      <c r="W10592" s="66" t="str">
        <f>IFERROR(VLOOKUP($O10592,'Customer List'!$A$1:$J$488,10,FALSE),"")</f>
        <v/>
      </c>
    </row>
    <row r="10593" spans="18:23">
      <c r="R10593" s="97">
        <f t="shared" si="379"/>
        <v>0</v>
      </c>
      <c r="W10593" s="66" t="str">
        <f>IFERROR(VLOOKUP($O10593,'Customer List'!$A$1:$J$488,10,FALSE),"")</f>
        <v/>
      </c>
    </row>
    <row r="10594" spans="18:23">
      <c r="R10594" s="97">
        <f t="shared" si="379"/>
        <v>0</v>
      </c>
      <c r="W10594" s="66" t="str">
        <f>IFERROR(VLOOKUP($O10594,'Customer List'!$A$1:$J$488,10,FALSE),"")</f>
        <v/>
      </c>
    </row>
    <row r="10595" spans="18:23">
      <c r="R10595" s="97">
        <f t="shared" si="379"/>
        <v>0</v>
      </c>
      <c r="W10595" s="66" t="str">
        <f>IFERROR(VLOOKUP($O10595,'Customer List'!$A$1:$J$488,10,FALSE),"")</f>
        <v/>
      </c>
    </row>
    <row r="10596" spans="18:23">
      <c r="R10596" s="97">
        <f t="shared" si="379"/>
        <v>0</v>
      </c>
      <c r="W10596" s="66" t="str">
        <f>IFERROR(VLOOKUP($O10596,'Customer List'!$A$1:$J$488,10,FALSE),"")</f>
        <v/>
      </c>
    </row>
    <row r="10597" spans="18:23">
      <c r="R10597" s="97">
        <f t="shared" si="379"/>
        <v>0</v>
      </c>
      <c r="W10597" s="66" t="str">
        <f>IFERROR(VLOOKUP($O10597,'Customer List'!$A$1:$J$488,10,FALSE),"")</f>
        <v/>
      </c>
    </row>
    <row r="10598" spans="18:23">
      <c r="R10598" s="97">
        <f t="shared" si="379"/>
        <v>0</v>
      </c>
      <c r="W10598" s="66" t="str">
        <f>IFERROR(VLOOKUP($O10598,'Customer List'!$A$1:$J$488,10,FALSE),"")</f>
        <v/>
      </c>
    </row>
    <row r="10599" spans="18:23">
      <c r="R10599" s="97">
        <f t="shared" si="379"/>
        <v>0</v>
      </c>
      <c r="W10599" s="66" t="str">
        <f>IFERROR(VLOOKUP($O10599,'Customer List'!$A$1:$J$488,10,FALSE),"")</f>
        <v/>
      </c>
    </row>
    <row r="10600" spans="18:23">
      <c r="R10600" s="97">
        <f t="shared" ref="R10600:R10663" si="380">L10600-K10600</f>
        <v>0</v>
      </c>
      <c r="W10600" s="66" t="str">
        <f>IFERROR(VLOOKUP($O10600,'Customer List'!$A$1:$J$488,10,FALSE),"")</f>
        <v/>
      </c>
    </row>
    <row r="10601" spans="18:23">
      <c r="R10601" s="97">
        <f t="shared" si="380"/>
        <v>0</v>
      </c>
      <c r="W10601" s="66" t="str">
        <f>IFERROR(VLOOKUP($O10601,'Customer List'!$A$1:$J$488,10,FALSE),"")</f>
        <v/>
      </c>
    </row>
    <row r="10602" spans="18:23">
      <c r="R10602" s="97">
        <f t="shared" si="380"/>
        <v>0</v>
      </c>
      <c r="W10602" s="66" t="str">
        <f>IFERROR(VLOOKUP($O10602,'Customer List'!$A$1:$J$488,10,FALSE),"")</f>
        <v/>
      </c>
    </row>
    <row r="10603" spans="18:23">
      <c r="R10603" s="97">
        <f t="shared" si="380"/>
        <v>0</v>
      </c>
      <c r="W10603" s="66" t="str">
        <f>IFERROR(VLOOKUP($O10603,'Customer List'!$A$1:$J$488,10,FALSE),"")</f>
        <v/>
      </c>
    </row>
    <row r="10604" spans="18:23">
      <c r="R10604" s="97">
        <f t="shared" si="380"/>
        <v>0</v>
      </c>
      <c r="W10604" s="66" t="str">
        <f>IFERROR(VLOOKUP($O10604,'Customer List'!$A$1:$J$488,10,FALSE),"")</f>
        <v/>
      </c>
    </row>
    <row r="10605" spans="18:23">
      <c r="R10605" s="97">
        <f t="shared" si="380"/>
        <v>0</v>
      </c>
      <c r="W10605" s="66" t="str">
        <f>IFERROR(VLOOKUP($O10605,'Customer List'!$A$1:$J$488,10,FALSE),"")</f>
        <v/>
      </c>
    </row>
    <row r="10606" spans="18:23">
      <c r="R10606" s="97">
        <f t="shared" si="380"/>
        <v>0</v>
      </c>
      <c r="W10606" s="66" t="str">
        <f>IFERROR(VLOOKUP($O10606,'Customer List'!$A$1:$J$488,10,FALSE),"")</f>
        <v/>
      </c>
    </row>
    <row r="10607" spans="18:23">
      <c r="R10607" s="97">
        <f t="shared" si="380"/>
        <v>0</v>
      </c>
      <c r="W10607" s="66" t="str">
        <f>IFERROR(VLOOKUP($O10607,'Customer List'!$A$1:$J$488,10,FALSE),"")</f>
        <v/>
      </c>
    </row>
    <row r="10608" spans="18:23">
      <c r="R10608" s="97">
        <f t="shared" si="380"/>
        <v>0</v>
      </c>
      <c r="W10608" s="66" t="str">
        <f>IFERROR(VLOOKUP($O10608,'Customer List'!$A$1:$J$488,10,FALSE),"")</f>
        <v/>
      </c>
    </row>
    <row r="10609" spans="18:23">
      <c r="R10609" s="97">
        <f t="shared" si="380"/>
        <v>0</v>
      </c>
      <c r="W10609" s="66" t="str">
        <f>IFERROR(VLOOKUP($O10609,'Customer List'!$A$1:$J$488,10,FALSE),"")</f>
        <v/>
      </c>
    </row>
    <row r="10610" spans="18:23">
      <c r="R10610" s="97">
        <f t="shared" si="380"/>
        <v>0</v>
      </c>
      <c r="W10610" s="66" t="str">
        <f>IFERROR(VLOOKUP($O10610,'Customer List'!$A$1:$J$488,10,FALSE),"")</f>
        <v/>
      </c>
    </row>
    <row r="10611" spans="18:23">
      <c r="R10611" s="97">
        <f t="shared" si="380"/>
        <v>0</v>
      </c>
      <c r="W10611" s="66" t="str">
        <f>IFERROR(VLOOKUP($O10611,'Customer List'!$A$1:$J$488,10,FALSE),"")</f>
        <v/>
      </c>
    </row>
    <row r="10612" spans="18:23">
      <c r="R10612" s="97">
        <f t="shared" si="380"/>
        <v>0</v>
      </c>
      <c r="W10612" s="66" t="str">
        <f>IFERROR(VLOOKUP($O10612,'Customer List'!$A$1:$J$488,10,FALSE),"")</f>
        <v/>
      </c>
    </row>
    <row r="10613" spans="18:23">
      <c r="R10613" s="97">
        <f t="shared" si="380"/>
        <v>0</v>
      </c>
      <c r="W10613" s="66" t="str">
        <f>IFERROR(VLOOKUP($O10613,'Customer List'!$A$1:$J$488,10,FALSE),"")</f>
        <v/>
      </c>
    </row>
    <row r="10614" spans="18:23">
      <c r="R10614" s="97">
        <f t="shared" si="380"/>
        <v>0</v>
      </c>
      <c r="W10614" s="66" t="str">
        <f>IFERROR(VLOOKUP($O10614,'Customer List'!$A$1:$J$488,10,FALSE),"")</f>
        <v/>
      </c>
    </row>
    <row r="10615" spans="18:23">
      <c r="R10615" s="97">
        <f t="shared" si="380"/>
        <v>0</v>
      </c>
      <c r="W10615" s="66" t="str">
        <f>IFERROR(VLOOKUP($O10615,'Customer List'!$A$1:$J$488,10,FALSE),"")</f>
        <v/>
      </c>
    </row>
    <row r="10616" spans="18:23">
      <c r="R10616" s="97">
        <f t="shared" si="380"/>
        <v>0</v>
      </c>
      <c r="W10616" s="66" t="str">
        <f>IFERROR(VLOOKUP($O10616,'Customer List'!$A$1:$J$488,10,FALSE),"")</f>
        <v/>
      </c>
    </row>
    <row r="10617" spans="18:23">
      <c r="R10617" s="97">
        <f t="shared" si="380"/>
        <v>0</v>
      </c>
      <c r="W10617" s="66" t="str">
        <f>IFERROR(VLOOKUP($O10617,'Customer List'!$A$1:$J$488,10,FALSE),"")</f>
        <v/>
      </c>
    </row>
    <row r="10618" spans="18:23">
      <c r="R10618" s="97">
        <f t="shared" si="380"/>
        <v>0</v>
      </c>
      <c r="W10618" s="66" t="str">
        <f>IFERROR(VLOOKUP($O10618,'Customer List'!$A$1:$J$488,10,FALSE),"")</f>
        <v/>
      </c>
    </row>
    <row r="10619" spans="18:23">
      <c r="R10619" s="97">
        <f t="shared" si="380"/>
        <v>0</v>
      </c>
      <c r="W10619" s="66" t="str">
        <f>IFERROR(VLOOKUP($O10619,'Customer List'!$A$1:$J$488,10,FALSE),"")</f>
        <v/>
      </c>
    </row>
    <row r="10620" spans="18:23">
      <c r="R10620" s="97">
        <f t="shared" si="380"/>
        <v>0</v>
      </c>
      <c r="W10620" s="66" t="str">
        <f>IFERROR(VLOOKUP($O10620,'Customer List'!$A$1:$J$488,10,FALSE),"")</f>
        <v/>
      </c>
    </row>
    <row r="10621" spans="18:23">
      <c r="R10621" s="97">
        <f t="shared" si="380"/>
        <v>0</v>
      </c>
      <c r="W10621" s="66" t="str">
        <f>IFERROR(VLOOKUP($O10621,'Customer List'!$A$1:$J$488,10,FALSE),"")</f>
        <v/>
      </c>
    </row>
    <row r="10622" spans="18:23">
      <c r="R10622" s="97">
        <f t="shared" si="380"/>
        <v>0</v>
      </c>
      <c r="W10622" s="66" t="str">
        <f>IFERROR(VLOOKUP($O10622,'Customer List'!$A$1:$J$488,10,FALSE),"")</f>
        <v/>
      </c>
    </row>
    <row r="10623" spans="18:23">
      <c r="R10623" s="97">
        <f t="shared" si="380"/>
        <v>0</v>
      </c>
      <c r="W10623" s="66" t="str">
        <f>IFERROR(VLOOKUP($O10623,'Customer List'!$A$1:$J$488,10,FALSE),"")</f>
        <v/>
      </c>
    </row>
    <row r="10624" spans="18:23">
      <c r="R10624" s="97">
        <f t="shared" si="380"/>
        <v>0</v>
      </c>
      <c r="W10624" s="66" t="str">
        <f>IFERROR(VLOOKUP($O10624,'Customer List'!$A$1:$J$488,10,FALSE),"")</f>
        <v/>
      </c>
    </row>
    <row r="10625" spans="18:23">
      <c r="R10625" s="97">
        <f t="shared" si="380"/>
        <v>0</v>
      </c>
      <c r="W10625" s="66" t="str">
        <f>IFERROR(VLOOKUP($O10625,'Customer List'!$A$1:$J$488,10,FALSE),"")</f>
        <v/>
      </c>
    </row>
    <row r="10626" spans="18:23">
      <c r="R10626" s="97">
        <f t="shared" si="380"/>
        <v>0</v>
      </c>
      <c r="W10626" s="66" t="str">
        <f>IFERROR(VLOOKUP($O10626,'Customer List'!$A$1:$J$488,10,FALSE),"")</f>
        <v/>
      </c>
    </row>
    <row r="10627" spans="18:23">
      <c r="R10627" s="97">
        <f t="shared" si="380"/>
        <v>0</v>
      </c>
      <c r="W10627" s="66" t="str">
        <f>IFERROR(VLOOKUP($O10627,'Customer List'!$A$1:$J$488,10,FALSE),"")</f>
        <v/>
      </c>
    </row>
    <row r="10628" spans="18:23">
      <c r="R10628" s="97">
        <f t="shared" si="380"/>
        <v>0</v>
      </c>
      <c r="W10628" s="66" t="str">
        <f>IFERROR(VLOOKUP($O10628,'Customer List'!$A$1:$J$488,10,FALSE),"")</f>
        <v/>
      </c>
    </row>
    <row r="10629" spans="18:23">
      <c r="R10629" s="97">
        <f t="shared" si="380"/>
        <v>0</v>
      </c>
      <c r="W10629" s="66" t="str">
        <f>IFERROR(VLOOKUP($O10629,'Customer List'!$A$1:$J$488,10,FALSE),"")</f>
        <v/>
      </c>
    </row>
    <row r="10630" spans="18:23">
      <c r="R10630" s="97">
        <f t="shared" si="380"/>
        <v>0</v>
      </c>
      <c r="W10630" s="66" t="str">
        <f>IFERROR(VLOOKUP($O10630,'Customer List'!$A$1:$J$488,10,FALSE),"")</f>
        <v/>
      </c>
    </row>
    <row r="10631" spans="18:23">
      <c r="R10631" s="97">
        <f t="shared" si="380"/>
        <v>0</v>
      </c>
      <c r="W10631" s="66" t="str">
        <f>IFERROR(VLOOKUP($O10631,'Customer List'!$A$1:$J$488,10,FALSE),"")</f>
        <v/>
      </c>
    </row>
    <row r="10632" spans="18:23">
      <c r="R10632" s="97">
        <f t="shared" si="380"/>
        <v>0</v>
      </c>
      <c r="W10632" s="66" t="str">
        <f>IFERROR(VLOOKUP($O10632,'Customer List'!$A$1:$J$488,10,FALSE),"")</f>
        <v/>
      </c>
    </row>
    <row r="10633" spans="18:23">
      <c r="R10633" s="97">
        <f t="shared" si="380"/>
        <v>0</v>
      </c>
      <c r="W10633" s="66" t="str">
        <f>IFERROR(VLOOKUP($O10633,'Customer List'!$A$1:$J$488,10,FALSE),"")</f>
        <v/>
      </c>
    </row>
    <row r="10634" spans="18:23">
      <c r="R10634" s="97">
        <f t="shared" si="380"/>
        <v>0</v>
      </c>
      <c r="W10634" s="66" t="str">
        <f>IFERROR(VLOOKUP($O10634,'Customer List'!$A$1:$J$488,10,FALSE),"")</f>
        <v/>
      </c>
    </row>
    <row r="10635" spans="18:23">
      <c r="R10635" s="97">
        <f t="shared" si="380"/>
        <v>0</v>
      </c>
      <c r="W10635" s="66" t="str">
        <f>IFERROR(VLOOKUP($O10635,'Customer List'!$A$1:$J$488,10,FALSE),"")</f>
        <v/>
      </c>
    </row>
    <row r="10636" spans="18:23">
      <c r="R10636" s="97">
        <f t="shared" si="380"/>
        <v>0</v>
      </c>
      <c r="W10636" s="66" t="str">
        <f>IFERROR(VLOOKUP($O10636,'Customer List'!$A$1:$J$488,10,FALSE),"")</f>
        <v/>
      </c>
    </row>
    <row r="10637" spans="18:23">
      <c r="R10637" s="97">
        <f t="shared" si="380"/>
        <v>0</v>
      </c>
      <c r="W10637" s="66" t="str">
        <f>IFERROR(VLOOKUP($O10637,'Customer List'!$A$1:$J$488,10,FALSE),"")</f>
        <v/>
      </c>
    </row>
    <row r="10638" spans="18:23">
      <c r="R10638" s="97">
        <f t="shared" si="380"/>
        <v>0</v>
      </c>
      <c r="W10638" s="66" t="str">
        <f>IFERROR(VLOOKUP($O10638,'Customer List'!$A$1:$J$488,10,FALSE),"")</f>
        <v/>
      </c>
    </row>
    <row r="10639" spans="18:23">
      <c r="R10639" s="97">
        <f t="shared" si="380"/>
        <v>0</v>
      </c>
      <c r="W10639" s="66" t="str">
        <f>IFERROR(VLOOKUP($O10639,'Customer List'!$A$1:$J$488,10,FALSE),"")</f>
        <v/>
      </c>
    </row>
    <row r="10640" spans="18:23">
      <c r="R10640" s="97">
        <f t="shared" si="380"/>
        <v>0</v>
      </c>
      <c r="W10640" s="66" t="str">
        <f>IFERROR(VLOOKUP($O10640,'Customer List'!$A$1:$J$488,10,FALSE),"")</f>
        <v/>
      </c>
    </row>
    <row r="10641" spans="18:23">
      <c r="R10641" s="97">
        <f t="shared" si="380"/>
        <v>0</v>
      </c>
      <c r="W10641" s="66" t="str">
        <f>IFERROR(VLOOKUP($O10641,'Customer List'!$A$1:$J$488,10,FALSE),"")</f>
        <v/>
      </c>
    </row>
    <row r="10642" spans="18:23">
      <c r="R10642" s="97">
        <f t="shared" si="380"/>
        <v>0</v>
      </c>
      <c r="W10642" s="66" t="str">
        <f>IFERROR(VLOOKUP($O10642,'Customer List'!$A$1:$J$488,10,FALSE),"")</f>
        <v/>
      </c>
    </row>
    <row r="10643" spans="18:23">
      <c r="R10643" s="97">
        <f t="shared" si="380"/>
        <v>0</v>
      </c>
      <c r="W10643" s="66" t="str">
        <f>IFERROR(VLOOKUP($O10643,'Customer List'!$A$1:$J$488,10,FALSE),"")</f>
        <v/>
      </c>
    </row>
    <row r="10644" spans="18:23">
      <c r="R10644" s="97">
        <f t="shared" si="380"/>
        <v>0</v>
      </c>
      <c r="W10644" s="66" t="str">
        <f>IFERROR(VLOOKUP($O10644,'Customer List'!$A$1:$J$488,10,FALSE),"")</f>
        <v/>
      </c>
    </row>
    <row r="10645" spans="18:23">
      <c r="R10645" s="97">
        <f t="shared" si="380"/>
        <v>0</v>
      </c>
      <c r="W10645" s="66" t="str">
        <f>IFERROR(VLOOKUP($O10645,'Customer List'!$A$1:$J$488,10,FALSE),"")</f>
        <v/>
      </c>
    </row>
    <row r="10646" spans="18:23">
      <c r="R10646" s="97">
        <f t="shared" si="380"/>
        <v>0</v>
      </c>
      <c r="W10646" s="66" t="str">
        <f>IFERROR(VLOOKUP($O10646,'Customer List'!$A$1:$J$488,10,FALSE),"")</f>
        <v/>
      </c>
    </row>
    <row r="10647" spans="18:23">
      <c r="R10647" s="97">
        <f t="shared" si="380"/>
        <v>0</v>
      </c>
      <c r="W10647" s="66" t="str">
        <f>IFERROR(VLOOKUP($O10647,'Customer List'!$A$1:$J$488,10,FALSE),"")</f>
        <v/>
      </c>
    </row>
    <row r="10648" spans="18:23">
      <c r="R10648" s="97">
        <f t="shared" si="380"/>
        <v>0</v>
      </c>
      <c r="W10648" s="66" t="str">
        <f>IFERROR(VLOOKUP($O10648,'Customer List'!$A$1:$J$488,10,FALSE),"")</f>
        <v/>
      </c>
    </row>
    <row r="10649" spans="18:23">
      <c r="R10649" s="97">
        <f t="shared" si="380"/>
        <v>0</v>
      </c>
      <c r="W10649" s="66" t="str">
        <f>IFERROR(VLOOKUP($O10649,'Customer List'!$A$1:$J$488,10,FALSE),"")</f>
        <v/>
      </c>
    </row>
    <row r="10650" spans="18:23">
      <c r="R10650" s="97">
        <f t="shared" si="380"/>
        <v>0</v>
      </c>
      <c r="W10650" s="66" t="str">
        <f>IFERROR(VLOOKUP($O10650,'Customer List'!$A$1:$J$488,10,FALSE),"")</f>
        <v/>
      </c>
    </row>
    <row r="10651" spans="18:23">
      <c r="R10651" s="97">
        <f t="shared" si="380"/>
        <v>0</v>
      </c>
      <c r="W10651" s="66" t="str">
        <f>IFERROR(VLOOKUP($O10651,'Customer List'!$A$1:$J$488,10,FALSE),"")</f>
        <v/>
      </c>
    </row>
    <row r="10652" spans="18:23">
      <c r="R10652" s="97">
        <f t="shared" si="380"/>
        <v>0</v>
      </c>
      <c r="W10652" s="66" t="str">
        <f>IFERROR(VLOOKUP($O10652,'Customer List'!$A$1:$J$488,10,FALSE),"")</f>
        <v/>
      </c>
    </row>
    <row r="10653" spans="18:23">
      <c r="R10653" s="97">
        <f t="shared" si="380"/>
        <v>0</v>
      </c>
      <c r="W10653" s="66" t="str">
        <f>IFERROR(VLOOKUP($O10653,'Customer List'!$A$1:$J$488,10,FALSE),"")</f>
        <v/>
      </c>
    </row>
    <row r="10654" spans="18:23">
      <c r="R10654" s="97">
        <f t="shared" si="380"/>
        <v>0</v>
      </c>
      <c r="W10654" s="66" t="str">
        <f>IFERROR(VLOOKUP($O10654,'Customer List'!$A$1:$J$488,10,FALSE),"")</f>
        <v/>
      </c>
    </row>
    <row r="10655" spans="18:23">
      <c r="R10655" s="97">
        <f t="shared" si="380"/>
        <v>0</v>
      </c>
      <c r="W10655" s="66" t="str">
        <f>IFERROR(VLOOKUP($O10655,'Customer List'!$A$1:$J$488,10,FALSE),"")</f>
        <v/>
      </c>
    </row>
    <row r="10656" spans="18:23">
      <c r="R10656" s="97">
        <f t="shared" si="380"/>
        <v>0</v>
      </c>
      <c r="W10656" s="66" t="str">
        <f>IFERROR(VLOOKUP($O10656,'Customer List'!$A$1:$J$488,10,FALSE),"")</f>
        <v/>
      </c>
    </row>
    <row r="10657" spans="18:23">
      <c r="R10657" s="97">
        <f t="shared" si="380"/>
        <v>0</v>
      </c>
      <c r="W10657" s="66" t="str">
        <f>IFERROR(VLOOKUP($O10657,'Customer List'!$A$1:$J$488,10,FALSE),"")</f>
        <v/>
      </c>
    </row>
    <row r="10658" spans="18:23">
      <c r="R10658" s="97">
        <f t="shared" si="380"/>
        <v>0</v>
      </c>
      <c r="W10658" s="66" t="str">
        <f>IFERROR(VLOOKUP($O10658,'Customer List'!$A$1:$J$488,10,FALSE),"")</f>
        <v/>
      </c>
    </row>
    <row r="10659" spans="18:23">
      <c r="R10659" s="97">
        <f t="shared" si="380"/>
        <v>0</v>
      </c>
      <c r="W10659" s="66" t="str">
        <f>IFERROR(VLOOKUP($O10659,'Customer List'!$A$1:$J$488,10,FALSE),"")</f>
        <v/>
      </c>
    </row>
    <row r="10660" spans="18:23">
      <c r="R10660" s="97">
        <f t="shared" si="380"/>
        <v>0</v>
      </c>
      <c r="W10660" s="66" t="str">
        <f>IFERROR(VLOOKUP($O10660,'Customer List'!$A$1:$J$488,10,FALSE),"")</f>
        <v/>
      </c>
    </row>
    <row r="10661" spans="18:23">
      <c r="R10661" s="97">
        <f t="shared" si="380"/>
        <v>0</v>
      </c>
      <c r="W10661" s="66" t="str">
        <f>IFERROR(VLOOKUP($O10661,'Customer List'!$A$1:$J$488,10,FALSE),"")</f>
        <v/>
      </c>
    </row>
    <row r="10662" spans="18:23">
      <c r="R10662" s="97">
        <f t="shared" si="380"/>
        <v>0</v>
      </c>
      <c r="W10662" s="66" t="str">
        <f>IFERROR(VLOOKUP($O10662,'Customer List'!$A$1:$J$488,10,FALSE),"")</f>
        <v/>
      </c>
    </row>
    <row r="10663" spans="18:23">
      <c r="R10663" s="97">
        <f t="shared" si="380"/>
        <v>0</v>
      </c>
      <c r="W10663" s="66" t="str">
        <f>IFERROR(VLOOKUP($O10663,'Customer List'!$A$1:$J$488,10,FALSE),"")</f>
        <v/>
      </c>
    </row>
    <row r="10664" spans="18:23">
      <c r="R10664" s="97">
        <f t="shared" ref="R10664:R10727" si="381">L10664-K10664</f>
        <v>0</v>
      </c>
      <c r="W10664" s="66" t="str">
        <f>IFERROR(VLOOKUP($O10664,'Customer List'!$A$1:$J$488,10,FALSE),"")</f>
        <v/>
      </c>
    </row>
    <row r="10665" spans="18:23">
      <c r="R10665" s="97">
        <f t="shared" si="381"/>
        <v>0</v>
      </c>
      <c r="W10665" s="66" t="str">
        <f>IFERROR(VLOOKUP($O10665,'Customer List'!$A$1:$J$488,10,FALSE),"")</f>
        <v/>
      </c>
    </row>
    <row r="10666" spans="18:23">
      <c r="R10666" s="97">
        <f t="shared" si="381"/>
        <v>0</v>
      </c>
      <c r="W10666" s="66" t="str">
        <f>IFERROR(VLOOKUP($O10666,'Customer List'!$A$1:$J$488,10,FALSE),"")</f>
        <v/>
      </c>
    </row>
    <row r="10667" spans="18:23">
      <c r="R10667" s="97">
        <f t="shared" si="381"/>
        <v>0</v>
      </c>
      <c r="W10667" s="66" t="str">
        <f>IFERROR(VLOOKUP($O10667,'Customer List'!$A$1:$J$488,10,FALSE),"")</f>
        <v/>
      </c>
    </row>
    <row r="10668" spans="18:23">
      <c r="R10668" s="97">
        <f t="shared" si="381"/>
        <v>0</v>
      </c>
      <c r="W10668" s="66" t="str">
        <f>IFERROR(VLOOKUP($O10668,'Customer List'!$A$1:$J$488,10,FALSE),"")</f>
        <v/>
      </c>
    </row>
    <row r="10669" spans="18:23">
      <c r="R10669" s="97">
        <f t="shared" si="381"/>
        <v>0</v>
      </c>
      <c r="W10669" s="66" t="str">
        <f>IFERROR(VLOOKUP($O10669,'Customer List'!$A$1:$J$488,10,FALSE),"")</f>
        <v/>
      </c>
    </row>
    <row r="10670" spans="18:23">
      <c r="R10670" s="97">
        <f t="shared" si="381"/>
        <v>0</v>
      </c>
      <c r="W10670" s="66" t="str">
        <f>IFERROR(VLOOKUP($O10670,'Customer List'!$A$1:$J$488,10,FALSE),"")</f>
        <v/>
      </c>
    </row>
    <row r="10671" spans="18:23">
      <c r="R10671" s="97">
        <f t="shared" si="381"/>
        <v>0</v>
      </c>
      <c r="W10671" s="66" t="str">
        <f>IFERROR(VLOOKUP($O10671,'Customer List'!$A$1:$J$488,10,FALSE),"")</f>
        <v/>
      </c>
    </row>
    <row r="10672" spans="18:23">
      <c r="R10672" s="97">
        <f t="shared" si="381"/>
        <v>0</v>
      </c>
      <c r="W10672" s="66" t="str">
        <f>IFERROR(VLOOKUP($O10672,'Customer List'!$A$1:$J$488,10,FALSE),"")</f>
        <v/>
      </c>
    </row>
    <row r="10673" spans="18:23">
      <c r="R10673" s="97">
        <f t="shared" si="381"/>
        <v>0</v>
      </c>
      <c r="W10673" s="66" t="str">
        <f>IFERROR(VLOOKUP($O10673,'Customer List'!$A$1:$J$488,10,FALSE),"")</f>
        <v/>
      </c>
    </row>
    <row r="10674" spans="18:23">
      <c r="R10674" s="97">
        <f t="shared" si="381"/>
        <v>0</v>
      </c>
      <c r="W10674" s="66" t="str">
        <f>IFERROR(VLOOKUP($O10674,'Customer List'!$A$1:$J$488,10,FALSE),"")</f>
        <v/>
      </c>
    </row>
    <row r="10675" spans="18:23">
      <c r="R10675" s="97">
        <f t="shared" si="381"/>
        <v>0</v>
      </c>
      <c r="W10675" s="66" t="str">
        <f>IFERROR(VLOOKUP($O10675,'Customer List'!$A$1:$J$488,10,FALSE),"")</f>
        <v/>
      </c>
    </row>
    <row r="10676" spans="18:23">
      <c r="R10676" s="97">
        <f t="shared" si="381"/>
        <v>0</v>
      </c>
      <c r="W10676" s="66" t="str">
        <f>IFERROR(VLOOKUP($O10676,'Customer List'!$A$1:$J$488,10,FALSE),"")</f>
        <v/>
      </c>
    </row>
    <row r="10677" spans="18:23">
      <c r="R10677" s="97">
        <f t="shared" si="381"/>
        <v>0</v>
      </c>
      <c r="W10677" s="66" t="str">
        <f>IFERROR(VLOOKUP($O10677,'Customer List'!$A$1:$J$488,10,FALSE),"")</f>
        <v/>
      </c>
    </row>
    <row r="10678" spans="18:23">
      <c r="R10678" s="97">
        <f t="shared" si="381"/>
        <v>0</v>
      </c>
      <c r="W10678" s="66" t="str">
        <f>IFERROR(VLOOKUP($O10678,'Customer List'!$A$1:$J$488,10,FALSE),"")</f>
        <v/>
      </c>
    </row>
    <row r="10679" spans="18:23">
      <c r="R10679" s="97">
        <f t="shared" si="381"/>
        <v>0</v>
      </c>
      <c r="W10679" s="66" t="str">
        <f>IFERROR(VLOOKUP($O10679,'Customer List'!$A$1:$J$488,10,FALSE),"")</f>
        <v/>
      </c>
    </row>
    <row r="10680" spans="18:23">
      <c r="R10680" s="97">
        <f t="shared" si="381"/>
        <v>0</v>
      </c>
      <c r="W10680" s="66" t="str">
        <f>IFERROR(VLOOKUP($O10680,'Customer List'!$A$1:$J$488,10,FALSE),"")</f>
        <v/>
      </c>
    </row>
    <row r="10681" spans="18:23">
      <c r="R10681" s="97">
        <f t="shared" si="381"/>
        <v>0</v>
      </c>
      <c r="W10681" s="66" t="str">
        <f>IFERROR(VLOOKUP($O10681,'Customer List'!$A$1:$J$488,10,FALSE),"")</f>
        <v/>
      </c>
    </row>
    <row r="10682" spans="18:23">
      <c r="R10682" s="97">
        <f t="shared" si="381"/>
        <v>0</v>
      </c>
      <c r="W10682" s="66" t="str">
        <f>IFERROR(VLOOKUP($O10682,'Customer List'!$A$1:$J$488,10,FALSE),"")</f>
        <v/>
      </c>
    </row>
    <row r="10683" spans="18:23">
      <c r="R10683" s="97">
        <f t="shared" si="381"/>
        <v>0</v>
      </c>
      <c r="W10683" s="66" t="str">
        <f>IFERROR(VLOOKUP($O10683,'Customer List'!$A$1:$J$488,10,FALSE),"")</f>
        <v/>
      </c>
    </row>
    <row r="10684" spans="18:23">
      <c r="R10684" s="97">
        <f t="shared" si="381"/>
        <v>0</v>
      </c>
      <c r="W10684" s="66" t="str">
        <f>IFERROR(VLOOKUP($O10684,'Customer List'!$A$1:$J$488,10,FALSE),"")</f>
        <v/>
      </c>
    </row>
    <row r="10685" spans="18:23">
      <c r="R10685" s="97">
        <f t="shared" si="381"/>
        <v>0</v>
      </c>
      <c r="W10685" s="66" t="str">
        <f>IFERROR(VLOOKUP($O10685,'Customer List'!$A$1:$J$488,10,FALSE),"")</f>
        <v/>
      </c>
    </row>
    <row r="10686" spans="18:23">
      <c r="R10686" s="97">
        <f t="shared" si="381"/>
        <v>0</v>
      </c>
      <c r="W10686" s="66" t="str">
        <f>IFERROR(VLOOKUP($O10686,'Customer List'!$A$1:$J$488,10,FALSE),"")</f>
        <v/>
      </c>
    </row>
    <row r="10687" spans="18:23">
      <c r="R10687" s="97">
        <f t="shared" si="381"/>
        <v>0</v>
      </c>
      <c r="W10687" s="66" t="str">
        <f>IFERROR(VLOOKUP($O10687,'Customer List'!$A$1:$J$488,10,FALSE),"")</f>
        <v/>
      </c>
    </row>
    <row r="10688" spans="18:23">
      <c r="R10688" s="97">
        <f t="shared" si="381"/>
        <v>0</v>
      </c>
      <c r="W10688" s="66" t="str">
        <f>IFERROR(VLOOKUP($O10688,'Customer List'!$A$1:$J$488,10,FALSE),"")</f>
        <v/>
      </c>
    </row>
    <row r="10689" spans="18:23">
      <c r="R10689" s="97">
        <f t="shared" si="381"/>
        <v>0</v>
      </c>
      <c r="W10689" s="66" t="str">
        <f>IFERROR(VLOOKUP($O10689,'Customer List'!$A$1:$J$488,10,FALSE),"")</f>
        <v/>
      </c>
    </row>
    <row r="10690" spans="18:23">
      <c r="R10690" s="97">
        <f t="shared" si="381"/>
        <v>0</v>
      </c>
      <c r="W10690" s="66" t="str">
        <f>IFERROR(VLOOKUP($O10690,'Customer List'!$A$1:$J$488,10,FALSE),"")</f>
        <v/>
      </c>
    </row>
    <row r="10691" spans="18:23">
      <c r="R10691" s="97">
        <f t="shared" si="381"/>
        <v>0</v>
      </c>
      <c r="W10691" s="66" t="str">
        <f>IFERROR(VLOOKUP($O10691,'Customer List'!$A$1:$J$488,10,FALSE),"")</f>
        <v/>
      </c>
    </row>
    <row r="10692" spans="18:23">
      <c r="R10692" s="97">
        <f t="shared" si="381"/>
        <v>0</v>
      </c>
      <c r="W10692" s="66" t="str">
        <f>IFERROR(VLOOKUP($O10692,'Customer List'!$A$1:$J$488,10,FALSE),"")</f>
        <v/>
      </c>
    </row>
    <row r="10693" spans="18:23">
      <c r="R10693" s="97">
        <f t="shared" si="381"/>
        <v>0</v>
      </c>
      <c r="W10693" s="66" t="str">
        <f>IFERROR(VLOOKUP($O10693,'Customer List'!$A$1:$J$488,10,FALSE),"")</f>
        <v/>
      </c>
    </row>
    <row r="10694" spans="18:23">
      <c r="R10694" s="97">
        <f t="shared" si="381"/>
        <v>0</v>
      </c>
      <c r="W10694" s="66" t="str">
        <f>IFERROR(VLOOKUP($O10694,'Customer List'!$A$1:$J$488,10,FALSE),"")</f>
        <v/>
      </c>
    </row>
    <row r="10695" spans="18:23">
      <c r="R10695" s="97">
        <f t="shared" si="381"/>
        <v>0</v>
      </c>
      <c r="W10695" s="66" t="str">
        <f>IFERROR(VLOOKUP($O10695,'Customer List'!$A$1:$J$488,10,FALSE),"")</f>
        <v/>
      </c>
    </row>
    <row r="10696" spans="18:23">
      <c r="R10696" s="97">
        <f t="shared" si="381"/>
        <v>0</v>
      </c>
      <c r="W10696" s="66" t="str">
        <f>IFERROR(VLOOKUP($O10696,'Customer List'!$A$1:$J$488,10,FALSE),"")</f>
        <v/>
      </c>
    </row>
    <row r="10697" spans="18:23">
      <c r="R10697" s="97">
        <f t="shared" si="381"/>
        <v>0</v>
      </c>
      <c r="W10697" s="66" t="str">
        <f>IFERROR(VLOOKUP($O10697,'Customer List'!$A$1:$J$488,10,FALSE),"")</f>
        <v/>
      </c>
    </row>
    <row r="10698" spans="18:23">
      <c r="R10698" s="97">
        <f t="shared" si="381"/>
        <v>0</v>
      </c>
      <c r="W10698" s="66" t="str">
        <f>IFERROR(VLOOKUP($O10698,'Customer List'!$A$1:$J$488,10,FALSE),"")</f>
        <v/>
      </c>
    </row>
    <row r="10699" spans="18:23">
      <c r="R10699" s="97">
        <f t="shared" si="381"/>
        <v>0</v>
      </c>
      <c r="W10699" s="66" t="str">
        <f>IFERROR(VLOOKUP($O10699,'Customer List'!$A$1:$J$488,10,FALSE),"")</f>
        <v/>
      </c>
    </row>
    <row r="10700" spans="18:23">
      <c r="R10700" s="97">
        <f t="shared" si="381"/>
        <v>0</v>
      </c>
      <c r="W10700" s="66" t="str">
        <f>IFERROR(VLOOKUP($O10700,'Customer List'!$A$1:$J$488,10,FALSE),"")</f>
        <v/>
      </c>
    </row>
    <row r="10701" spans="18:23">
      <c r="R10701" s="97">
        <f t="shared" si="381"/>
        <v>0</v>
      </c>
      <c r="W10701" s="66" t="str">
        <f>IFERROR(VLOOKUP($O10701,'Customer List'!$A$1:$J$488,10,FALSE),"")</f>
        <v/>
      </c>
    </row>
    <row r="10702" spans="18:23">
      <c r="R10702" s="97">
        <f t="shared" si="381"/>
        <v>0</v>
      </c>
      <c r="W10702" s="66" t="str">
        <f>IFERROR(VLOOKUP($O10702,'Customer List'!$A$1:$J$488,10,FALSE),"")</f>
        <v/>
      </c>
    </row>
    <row r="10703" spans="18:23">
      <c r="R10703" s="97">
        <f t="shared" si="381"/>
        <v>0</v>
      </c>
      <c r="W10703" s="66" t="str">
        <f>IFERROR(VLOOKUP($O10703,'Customer List'!$A$1:$J$488,10,FALSE),"")</f>
        <v/>
      </c>
    </row>
    <row r="10704" spans="18:23">
      <c r="R10704" s="97">
        <f t="shared" si="381"/>
        <v>0</v>
      </c>
      <c r="W10704" s="66" t="str">
        <f>IFERROR(VLOOKUP($O10704,'Customer List'!$A$1:$J$488,10,FALSE),"")</f>
        <v/>
      </c>
    </row>
    <row r="10705" spans="18:23">
      <c r="R10705" s="97">
        <f t="shared" si="381"/>
        <v>0</v>
      </c>
      <c r="W10705" s="66" t="str">
        <f>IFERROR(VLOOKUP($O10705,'Customer List'!$A$1:$J$488,10,FALSE),"")</f>
        <v/>
      </c>
    </row>
    <row r="10706" spans="18:23">
      <c r="R10706" s="97">
        <f t="shared" si="381"/>
        <v>0</v>
      </c>
      <c r="W10706" s="66" t="str">
        <f>IFERROR(VLOOKUP($O10706,'Customer List'!$A$1:$J$488,10,FALSE),"")</f>
        <v/>
      </c>
    </row>
    <row r="10707" spans="18:23">
      <c r="R10707" s="97">
        <f t="shared" si="381"/>
        <v>0</v>
      </c>
      <c r="W10707" s="66" t="str">
        <f>IFERROR(VLOOKUP($O10707,'Customer List'!$A$1:$J$488,10,FALSE),"")</f>
        <v/>
      </c>
    </row>
    <row r="10708" spans="18:23">
      <c r="R10708" s="97">
        <f t="shared" si="381"/>
        <v>0</v>
      </c>
      <c r="W10708" s="66" t="str">
        <f>IFERROR(VLOOKUP($O10708,'Customer List'!$A$1:$J$488,10,FALSE),"")</f>
        <v/>
      </c>
    </row>
    <row r="10709" spans="18:23">
      <c r="R10709" s="97">
        <f t="shared" si="381"/>
        <v>0</v>
      </c>
      <c r="W10709" s="66" t="str">
        <f>IFERROR(VLOOKUP($O10709,'Customer List'!$A$1:$J$488,10,FALSE),"")</f>
        <v/>
      </c>
    </row>
    <row r="10710" spans="18:23">
      <c r="R10710" s="97">
        <f t="shared" si="381"/>
        <v>0</v>
      </c>
      <c r="W10710" s="66" t="str">
        <f>IFERROR(VLOOKUP($O10710,'Customer List'!$A$1:$J$488,10,FALSE),"")</f>
        <v/>
      </c>
    </row>
    <row r="10711" spans="18:23">
      <c r="R10711" s="97">
        <f t="shared" si="381"/>
        <v>0</v>
      </c>
      <c r="W10711" s="66" t="str">
        <f>IFERROR(VLOOKUP($O10711,'Customer List'!$A$1:$J$488,10,FALSE),"")</f>
        <v/>
      </c>
    </row>
    <row r="10712" spans="18:23">
      <c r="R10712" s="97">
        <f t="shared" si="381"/>
        <v>0</v>
      </c>
      <c r="W10712" s="66" t="str">
        <f>IFERROR(VLOOKUP($O10712,'Customer List'!$A$1:$J$488,10,FALSE),"")</f>
        <v/>
      </c>
    </row>
    <row r="10713" spans="18:23">
      <c r="R10713" s="97">
        <f t="shared" si="381"/>
        <v>0</v>
      </c>
      <c r="W10713" s="66" t="str">
        <f>IFERROR(VLOOKUP($O10713,'Customer List'!$A$1:$J$488,10,FALSE),"")</f>
        <v/>
      </c>
    </row>
    <row r="10714" spans="18:23">
      <c r="R10714" s="97">
        <f t="shared" si="381"/>
        <v>0</v>
      </c>
      <c r="W10714" s="66" t="str">
        <f>IFERROR(VLOOKUP($O10714,'Customer List'!$A$1:$J$488,10,FALSE),"")</f>
        <v/>
      </c>
    </row>
    <row r="10715" spans="18:23">
      <c r="R10715" s="97">
        <f t="shared" si="381"/>
        <v>0</v>
      </c>
      <c r="W10715" s="66" t="str">
        <f>IFERROR(VLOOKUP($O10715,'Customer List'!$A$1:$J$488,10,FALSE),"")</f>
        <v/>
      </c>
    </row>
    <row r="10716" spans="18:23">
      <c r="R10716" s="97">
        <f t="shared" si="381"/>
        <v>0</v>
      </c>
      <c r="W10716" s="66" t="str">
        <f>IFERROR(VLOOKUP($O10716,'Customer List'!$A$1:$J$488,10,FALSE),"")</f>
        <v/>
      </c>
    </row>
    <row r="10717" spans="18:23">
      <c r="R10717" s="97">
        <f t="shared" si="381"/>
        <v>0</v>
      </c>
      <c r="W10717" s="66" t="str">
        <f>IFERROR(VLOOKUP($O10717,'Customer List'!$A$1:$J$488,10,FALSE),"")</f>
        <v/>
      </c>
    </row>
    <row r="10718" spans="18:23">
      <c r="R10718" s="97">
        <f t="shared" si="381"/>
        <v>0</v>
      </c>
      <c r="W10718" s="66" t="str">
        <f>IFERROR(VLOOKUP($O10718,'Customer List'!$A$1:$J$488,10,FALSE),"")</f>
        <v/>
      </c>
    </row>
    <row r="10719" spans="18:23">
      <c r="R10719" s="97">
        <f t="shared" si="381"/>
        <v>0</v>
      </c>
      <c r="W10719" s="66" t="str">
        <f>IFERROR(VLOOKUP($O10719,'Customer List'!$A$1:$J$488,10,FALSE),"")</f>
        <v/>
      </c>
    </row>
    <row r="10720" spans="18:23">
      <c r="R10720" s="97">
        <f t="shared" si="381"/>
        <v>0</v>
      </c>
      <c r="W10720" s="66" t="str">
        <f>IFERROR(VLOOKUP($O10720,'Customer List'!$A$1:$J$488,10,FALSE),"")</f>
        <v/>
      </c>
    </row>
    <row r="10721" spans="18:23">
      <c r="R10721" s="97">
        <f t="shared" si="381"/>
        <v>0</v>
      </c>
      <c r="W10721" s="66" t="str">
        <f>IFERROR(VLOOKUP($O10721,'Customer List'!$A$1:$J$488,10,FALSE),"")</f>
        <v/>
      </c>
    </row>
    <row r="10722" spans="18:23">
      <c r="R10722" s="97">
        <f t="shared" si="381"/>
        <v>0</v>
      </c>
      <c r="W10722" s="66" t="str">
        <f>IFERROR(VLOOKUP($O10722,'Customer List'!$A$1:$J$488,10,FALSE),"")</f>
        <v/>
      </c>
    </row>
    <row r="10723" spans="18:23">
      <c r="R10723" s="97">
        <f t="shared" si="381"/>
        <v>0</v>
      </c>
      <c r="W10723" s="66" t="str">
        <f>IFERROR(VLOOKUP($O10723,'Customer List'!$A$1:$J$488,10,FALSE),"")</f>
        <v/>
      </c>
    </row>
    <row r="10724" spans="18:23">
      <c r="R10724" s="97">
        <f t="shared" si="381"/>
        <v>0</v>
      </c>
      <c r="W10724" s="66" t="str">
        <f>IFERROR(VLOOKUP($O10724,'Customer List'!$A$1:$J$488,10,FALSE),"")</f>
        <v/>
      </c>
    </row>
    <row r="10725" spans="18:23">
      <c r="R10725" s="97">
        <f t="shared" si="381"/>
        <v>0</v>
      </c>
      <c r="W10725" s="66" t="str">
        <f>IFERROR(VLOOKUP($O10725,'Customer List'!$A$1:$J$488,10,FALSE),"")</f>
        <v/>
      </c>
    </row>
    <row r="10726" spans="18:23">
      <c r="R10726" s="97">
        <f t="shared" si="381"/>
        <v>0</v>
      </c>
      <c r="W10726" s="66" t="str">
        <f>IFERROR(VLOOKUP($O10726,'Customer List'!$A$1:$J$488,10,FALSE),"")</f>
        <v/>
      </c>
    </row>
    <row r="10727" spans="18:23">
      <c r="R10727" s="97">
        <f t="shared" si="381"/>
        <v>0</v>
      </c>
      <c r="W10727" s="66" t="str">
        <f>IFERROR(VLOOKUP($O10727,'Customer List'!$A$1:$J$488,10,FALSE),"")</f>
        <v/>
      </c>
    </row>
    <row r="10728" spans="18:23">
      <c r="R10728" s="97">
        <f t="shared" ref="R10728:R10791" si="382">L10728-K10728</f>
        <v>0</v>
      </c>
      <c r="W10728" s="66" t="str">
        <f>IFERROR(VLOOKUP($O10728,'Customer List'!$A$1:$J$488,10,FALSE),"")</f>
        <v/>
      </c>
    </row>
    <row r="10729" spans="18:23">
      <c r="R10729" s="97">
        <f t="shared" si="382"/>
        <v>0</v>
      </c>
      <c r="W10729" s="66" t="str">
        <f>IFERROR(VLOOKUP($O10729,'Customer List'!$A$1:$J$488,10,FALSE),"")</f>
        <v/>
      </c>
    </row>
    <row r="10730" spans="18:23">
      <c r="R10730" s="97">
        <f t="shared" si="382"/>
        <v>0</v>
      </c>
      <c r="W10730" s="66" t="str">
        <f>IFERROR(VLOOKUP($O10730,'Customer List'!$A$1:$J$488,10,FALSE),"")</f>
        <v/>
      </c>
    </row>
    <row r="10731" spans="18:23">
      <c r="R10731" s="97">
        <f t="shared" si="382"/>
        <v>0</v>
      </c>
      <c r="W10731" s="66" t="str">
        <f>IFERROR(VLOOKUP($O10731,'Customer List'!$A$1:$J$488,10,FALSE),"")</f>
        <v/>
      </c>
    </row>
    <row r="10732" spans="18:23">
      <c r="R10732" s="97">
        <f t="shared" si="382"/>
        <v>0</v>
      </c>
      <c r="W10732" s="66" t="str">
        <f>IFERROR(VLOOKUP($O10732,'Customer List'!$A$1:$J$488,10,FALSE),"")</f>
        <v/>
      </c>
    </row>
    <row r="10733" spans="18:23">
      <c r="R10733" s="97">
        <f t="shared" si="382"/>
        <v>0</v>
      </c>
      <c r="W10733" s="66" t="str">
        <f>IFERROR(VLOOKUP($O10733,'Customer List'!$A$1:$J$488,10,FALSE),"")</f>
        <v/>
      </c>
    </row>
    <row r="10734" spans="18:23">
      <c r="R10734" s="97">
        <f t="shared" si="382"/>
        <v>0</v>
      </c>
      <c r="W10734" s="66" t="str">
        <f>IFERROR(VLOOKUP($O10734,'Customer List'!$A$1:$J$488,10,FALSE),"")</f>
        <v/>
      </c>
    </row>
    <row r="10735" spans="18:23">
      <c r="R10735" s="97">
        <f t="shared" si="382"/>
        <v>0</v>
      </c>
      <c r="W10735" s="66" t="str">
        <f>IFERROR(VLOOKUP($O10735,'Customer List'!$A$1:$J$488,10,FALSE),"")</f>
        <v/>
      </c>
    </row>
    <row r="10736" spans="18:23">
      <c r="R10736" s="97">
        <f t="shared" si="382"/>
        <v>0</v>
      </c>
      <c r="W10736" s="66" t="str">
        <f>IFERROR(VLOOKUP($O10736,'Customer List'!$A$1:$J$488,10,FALSE),"")</f>
        <v/>
      </c>
    </row>
    <row r="10737" spans="18:23">
      <c r="R10737" s="97">
        <f t="shared" si="382"/>
        <v>0</v>
      </c>
      <c r="W10737" s="66" t="str">
        <f>IFERROR(VLOOKUP($O10737,'Customer List'!$A$1:$J$488,10,FALSE),"")</f>
        <v/>
      </c>
    </row>
    <row r="10738" spans="18:23">
      <c r="R10738" s="97">
        <f t="shared" si="382"/>
        <v>0</v>
      </c>
      <c r="W10738" s="66" t="str">
        <f>IFERROR(VLOOKUP($O10738,'Customer List'!$A$1:$J$488,10,FALSE),"")</f>
        <v/>
      </c>
    </row>
    <row r="10739" spans="18:23">
      <c r="R10739" s="97">
        <f t="shared" si="382"/>
        <v>0</v>
      </c>
      <c r="W10739" s="66" t="str">
        <f>IFERROR(VLOOKUP($O10739,'Customer List'!$A$1:$J$488,10,FALSE),"")</f>
        <v/>
      </c>
    </row>
    <row r="10740" spans="18:23">
      <c r="R10740" s="97">
        <f t="shared" si="382"/>
        <v>0</v>
      </c>
      <c r="W10740" s="66" t="str">
        <f>IFERROR(VLOOKUP($O10740,'Customer List'!$A$1:$J$488,10,FALSE),"")</f>
        <v/>
      </c>
    </row>
    <row r="10741" spans="18:23">
      <c r="R10741" s="97">
        <f t="shared" si="382"/>
        <v>0</v>
      </c>
      <c r="W10741" s="66" t="str">
        <f>IFERROR(VLOOKUP($O10741,'Customer List'!$A$1:$J$488,10,FALSE),"")</f>
        <v/>
      </c>
    </row>
    <row r="10742" spans="18:23">
      <c r="R10742" s="97">
        <f t="shared" si="382"/>
        <v>0</v>
      </c>
      <c r="W10742" s="66" t="str">
        <f>IFERROR(VLOOKUP($O10742,'Customer List'!$A$1:$J$488,10,FALSE),"")</f>
        <v/>
      </c>
    </row>
    <row r="10743" spans="18:23">
      <c r="R10743" s="97">
        <f t="shared" si="382"/>
        <v>0</v>
      </c>
      <c r="W10743" s="66" t="str">
        <f>IFERROR(VLOOKUP($O10743,'Customer List'!$A$1:$J$488,10,FALSE),"")</f>
        <v/>
      </c>
    </row>
    <row r="10744" spans="18:23">
      <c r="R10744" s="97">
        <f t="shared" si="382"/>
        <v>0</v>
      </c>
      <c r="W10744" s="66" t="str">
        <f>IFERROR(VLOOKUP($O10744,'Customer List'!$A$1:$J$488,10,FALSE),"")</f>
        <v/>
      </c>
    </row>
    <row r="10745" spans="18:23">
      <c r="R10745" s="97">
        <f t="shared" si="382"/>
        <v>0</v>
      </c>
      <c r="W10745" s="66" t="str">
        <f>IFERROR(VLOOKUP($O10745,'Customer List'!$A$1:$J$488,10,FALSE),"")</f>
        <v/>
      </c>
    </row>
    <row r="10746" spans="18:23">
      <c r="R10746" s="97">
        <f t="shared" si="382"/>
        <v>0</v>
      </c>
      <c r="W10746" s="66" t="str">
        <f>IFERROR(VLOOKUP($O10746,'Customer List'!$A$1:$J$488,10,FALSE),"")</f>
        <v/>
      </c>
    </row>
    <row r="10747" spans="18:23">
      <c r="R10747" s="97">
        <f t="shared" si="382"/>
        <v>0</v>
      </c>
      <c r="W10747" s="66" t="str">
        <f>IFERROR(VLOOKUP($O10747,'Customer List'!$A$1:$J$488,10,FALSE),"")</f>
        <v/>
      </c>
    </row>
    <row r="10748" spans="18:23">
      <c r="R10748" s="97">
        <f t="shared" si="382"/>
        <v>0</v>
      </c>
      <c r="W10748" s="66" t="str">
        <f>IFERROR(VLOOKUP($O10748,'Customer List'!$A$1:$J$488,10,FALSE),"")</f>
        <v/>
      </c>
    </row>
    <row r="10749" spans="18:23">
      <c r="R10749" s="97">
        <f t="shared" si="382"/>
        <v>0</v>
      </c>
      <c r="W10749" s="66" t="str">
        <f>IFERROR(VLOOKUP($O10749,'Customer List'!$A$1:$J$488,10,FALSE),"")</f>
        <v/>
      </c>
    </row>
    <row r="10750" spans="18:23">
      <c r="R10750" s="97">
        <f t="shared" si="382"/>
        <v>0</v>
      </c>
      <c r="W10750" s="66" t="str">
        <f>IFERROR(VLOOKUP($O10750,'Customer List'!$A$1:$J$488,10,FALSE),"")</f>
        <v/>
      </c>
    </row>
    <row r="10751" spans="18:23">
      <c r="R10751" s="97">
        <f t="shared" si="382"/>
        <v>0</v>
      </c>
      <c r="W10751" s="66" t="str">
        <f>IFERROR(VLOOKUP($O10751,'Customer List'!$A$1:$J$488,10,FALSE),"")</f>
        <v/>
      </c>
    </row>
    <row r="10752" spans="18:23">
      <c r="R10752" s="97">
        <f t="shared" si="382"/>
        <v>0</v>
      </c>
      <c r="W10752" s="66" t="str">
        <f>IFERROR(VLOOKUP($O10752,'Customer List'!$A$1:$J$488,10,FALSE),"")</f>
        <v/>
      </c>
    </row>
    <row r="10753" spans="18:23">
      <c r="R10753" s="97">
        <f t="shared" si="382"/>
        <v>0</v>
      </c>
      <c r="W10753" s="66" t="str">
        <f>IFERROR(VLOOKUP($O10753,'Customer List'!$A$1:$J$488,10,FALSE),"")</f>
        <v/>
      </c>
    </row>
    <row r="10754" spans="18:23">
      <c r="R10754" s="97">
        <f t="shared" si="382"/>
        <v>0</v>
      </c>
      <c r="W10754" s="66" t="str">
        <f>IFERROR(VLOOKUP($O10754,'Customer List'!$A$1:$J$488,10,FALSE),"")</f>
        <v/>
      </c>
    </row>
    <row r="10755" spans="18:23">
      <c r="R10755" s="97">
        <f t="shared" si="382"/>
        <v>0</v>
      </c>
      <c r="W10755" s="66" t="str">
        <f>IFERROR(VLOOKUP($O10755,'Customer List'!$A$1:$J$488,10,FALSE),"")</f>
        <v/>
      </c>
    </row>
    <row r="10756" spans="18:23">
      <c r="R10756" s="97">
        <f t="shared" si="382"/>
        <v>0</v>
      </c>
      <c r="W10756" s="66" t="str">
        <f>IFERROR(VLOOKUP($O10756,'Customer List'!$A$1:$J$488,10,FALSE),"")</f>
        <v/>
      </c>
    </row>
    <row r="10757" spans="18:23">
      <c r="R10757" s="97">
        <f t="shared" si="382"/>
        <v>0</v>
      </c>
      <c r="W10757" s="66" t="str">
        <f>IFERROR(VLOOKUP($O10757,'Customer List'!$A$1:$J$488,10,FALSE),"")</f>
        <v/>
      </c>
    </row>
    <row r="10758" spans="18:23">
      <c r="R10758" s="97">
        <f t="shared" si="382"/>
        <v>0</v>
      </c>
      <c r="W10758" s="66" t="str">
        <f>IFERROR(VLOOKUP($O10758,'Customer List'!$A$1:$J$488,10,FALSE),"")</f>
        <v/>
      </c>
    </row>
    <row r="10759" spans="18:23">
      <c r="R10759" s="97">
        <f t="shared" si="382"/>
        <v>0</v>
      </c>
      <c r="W10759" s="66" t="str">
        <f>IFERROR(VLOOKUP($O10759,'Customer List'!$A$1:$J$488,10,FALSE),"")</f>
        <v/>
      </c>
    </row>
    <row r="10760" spans="18:23">
      <c r="R10760" s="97">
        <f t="shared" si="382"/>
        <v>0</v>
      </c>
      <c r="W10760" s="66" t="str">
        <f>IFERROR(VLOOKUP($O10760,'Customer List'!$A$1:$J$488,10,FALSE),"")</f>
        <v/>
      </c>
    </row>
    <row r="10761" spans="18:23">
      <c r="R10761" s="97">
        <f t="shared" si="382"/>
        <v>0</v>
      </c>
      <c r="W10761" s="66" t="str">
        <f>IFERROR(VLOOKUP($O10761,'Customer List'!$A$1:$J$488,10,FALSE),"")</f>
        <v/>
      </c>
    </row>
    <row r="10762" spans="18:23">
      <c r="R10762" s="97">
        <f t="shared" si="382"/>
        <v>0</v>
      </c>
      <c r="W10762" s="66" t="str">
        <f>IFERROR(VLOOKUP($O10762,'Customer List'!$A$1:$J$488,10,FALSE),"")</f>
        <v/>
      </c>
    </row>
    <row r="10763" spans="18:23">
      <c r="R10763" s="97">
        <f t="shared" si="382"/>
        <v>0</v>
      </c>
      <c r="W10763" s="66" t="str">
        <f>IFERROR(VLOOKUP($O10763,'Customer List'!$A$1:$J$488,10,FALSE),"")</f>
        <v/>
      </c>
    </row>
    <row r="10764" spans="18:23">
      <c r="R10764" s="97">
        <f t="shared" si="382"/>
        <v>0</v>
      </c>
      <c r="W10764" s="66" t="str">
        <f>IFERROR(VLOOKUP($O10764,'Customer List'!$A$1:$J$488,10,FALSE),"")</f>
        <v/>
      </c>
    </row>
    <row r="10765" spans="18:23">
      <c r="R10765" s="97">
        <f t="shared" si="382"/>
        <v>0</v>
      </c>
      <c r="W10765" s="66" t="str">
        <f>IFERROR(VLOOKUP($O10765,'Customer List'!$A$1:$J$488,10,FALSE),"")</f>
        <v/>
      </c>
    </row>
    <row r="10766" spans="18:23">
      <c r="R10766" s="97">
        <f t="shared" si="382"/>
        <v>0</v>
      </c>
      <c r="W10766" s="66" t="str">
        <f>IFERROR(VLOOKUP($O10766,'Customer List'!$A$1:$J$488,10,FALSE),"")</f>
        <v/>
      </c>
    </row>
    <row r="10767" spans="18:23">
      <c r="R10767" s="97">
        <f t="shared" si="382"/>
        <v>0</v>
      </c>
      <c r="W10767" s="66" t="str">
        <f>IFERROR(VLOOKUP($O10767,'Customer List'!$A$1:$J$488,10,FALSE),"")</f>
        <v/>
      </c>
    </row>
    <row r="10768" spans="18:23">
      <c r="R10768" s="97">
        <f t="shared" si="382"/>
        <v>0</v>
      </c>
      <c r="W10768" s="66" t="str">
        <f>IFERROR(VLOOKUP($O10768,'Customer List'!$A$1:$J$488,10,FALSE),"")</f>
        <v/>
      </c>
    </row>
    <row r="10769" spans="18:23">
      <c r="R10769" s="97">
        <f t="shared" si="382"/>
        <v>0</v>
      </c>
      <c r="W10769" s="66" t="str">
        <f>IFERROR(VLOOKUP($O10769,'Customer List'!$A$1:$J$488,10,FALSE),"")</f>
        <v/>
      </c>
    </row>
    <row r="10770" spans="18:23">
      <c r="R10770" s="97">
        <f t="shared" si="382"/>
        <v>0</v>
      </c>
      <c r="W10770" s="66" t="str">
        <f>IFERROR(VLOOKUP($O10770,'Customer List'!$A$1:$J$488,10,FALSE),"")</f>
        <v/>
      </c>
    </row>
    <row r="10771" spans="18:23">
      <c r="R10771" s="97">
        <f t="shared" si="382"/>
        <v>0</v>
      </c>
      <c r="W10771" s="66" t="str">
        <f>IFERROR(VLOOKUP($O10771,'Customer List'!$A$1:$J$488,10,FALSE),"")</f>
        <v/>
      </c>
    </row>
    <row r="10772" spans="18:23">
      <c r="R10772" s="97">
        <f t="shared" si="382"/>
        <v>0</v>
      </c>
      <c r="W10772" s="66" t="str">
        <f>IFERROR(VLOOKUP($O10772,'Customer List'!$A$1:$J$488,10,FALSE),"")</f>
        <v/>
      </c>
    </row>
    <row r="10773" spans="18:23">
      <c r="R10773" s="97">
        <f t="shared" si="382"/>
        <v>0</v>
      </c>
      <c r="W10773" s="66" t="str">
        <f>IFERROR(VLOOKUP($O10773,'Customer List'!$A$1:$J$488,10,FALSE),"")</f>
        <v/>
      </c>
    </row>
    <row r="10774" spans="18:23">
      <c r="R10774" s="97">
        <f t="shared" si="382"/>
        <v>0</v>
      </c>
      <c r="W10774" s="66" t="str">
        <f>IFERROR(VLOOKUP($O10774,'Customer List'!$A$1:$J$488,10,FALSE),"")</f>
        <v/>
      </c>
    </row>
    <row r="10775" spans="18:23">
      <c r="R10775" s="97">
        <f t="shared" si="382"/>
        <v>0</v>
      </c>
      <c r="W10775" s="66" t="str">
        <f>IFERROR(VLOOKUP($O10775,'Customer List'!$A$1:$J$488,10,FALSE),"")</f>
        <v/>
      </c>
    </row>
    <row r="10776" spans="18:23">
      <c r="R10776" s="97">
        <f t="shared" si="382"/>
        <v>0</v>
      </c>
      <c r="W10776" s="66" t="str">
        <f>IFERROR(VLOOKUP($O10776,'Customer List'!$A$1:$J$488,10,FALSE),"")</f>
        <v/>
      </c>
    </row>
    <row r="10777" spans="18:23">
      <c r="R10777" s="97">
        <f t="shared" si="382"/>
        <v>0</v>
      </c>
      <c r="W10777" s="66" t="str">
        <f>IFERROR(VLOOKUP($O10777,'Customer List'!$A$1:$J$488,10,FALSE),"")</f>
        <v/>
      </c>
    </row>
    <row r="10778" spans="18:23">
      <c r="R10778" s="97">
        <f t="shared" si="382"/>
        <v>0</v>
      </c>
      <c r="W10778" s="66" t="str">
        <f>IFERROR(VLOOKUP($O10778,'Customer List'!$A$1:$J$488,10,FALSE),"")</f>
        <v/>
      </c>
    </row>
    <row r="10779" spans="18:23">
      <c r="R10779" s="97">
        <f t="shared" si="382"/>
        <v>0</v>
      </c>
      <c r="W10779" s="66" t="str">
        <f>IFERROR(VLOOKUP($O10779,'Customer List'!$A$1:$J$488,10,FALSE),"")</f>
        <v/>
      </c>
    </row>
    <row r="10780" spans="18:23">
      <c r="R10780" s="97">
        <f t="shared" si="382"/>
        <v>0</v>
      </c>
      <c r="W10780" s="66" t="str">
        <f>IFERROR(VLOOKUP($O10780,'Customer List'!$A$1:$J$488,10,FALSE),"")</f>
        <v/>
      </c>
    </row>
    <row r="10781" spans="18:23">
      <c r="R10781" s="97">
        <f t="shared" si="382"/>
        <v>0</v>
      </c>
      <c r="W10781" s="66" t="str">
        <f>IFERROR(VLOOKUP($O10781,'Customer List'!$A$1:$J$488,10,FALSE),"")</f>
        <v/>
      </c>
    </row>
    <row r="10782" spans="18:23">
      <c r="R10782" s="97">
        <f t="shared" si="382"/>
        <v>0</v>
      </c>
      <c r="W10782" s="66" t="str">
        <f>IFERROR(VLOOKUP($O10782,'Customer List'!$A$1:$J$488,10,FALSE),"")</f>
        <v/>
      </c>
    </row>
    <row r="10783" spans="18:23">
      <c r="R10783" s="97">
        <f t="shared" si="382"/>
        <v>0</v>
      </c>
      <c r="W10783" s="66" t="str">
        <f>IFERROR(VLOOKUP($O10783,'Customer List'!$A$1:$J$488,10,FALSE),"")</f>
        <v/>
      </c>
    </row>
    <row r="10784" spans="18:23">
      <c r="R10784" s="97">
        <f t="shared" si="382"/>
        <v>0</v>
      </c>
      <c r="W10784" s="66" t="str">
        <f>IFERROR(VLOOKUP($O10784,'Customer List'!$A$1:$J$488,10,FALSE),"")</f>
        <v/>
      </c>
    </row>
    <row r="10785" spans="18:23">
      <c r="R10785" s="97">
        <f t="shared" si="382"/>
        <v>0</v>
      </c>
      <c r="W10785" s="66" t="str">
        <f>IFERROR(VLOOKUP($O10785,'Customer List'!$A$1:$J$488,10,FALSE),"")</f>
        <v/>
      </c>
    </row>
    <row r="10786" spans="18:23">
      <c r="R10786" s="97">
        <f t="shared" si="382"/>
        <v>0</v>
      </c>
      <c r="W10786" s="66" t="str">
        <f>IFERROR(VLOOKUP($O10786,'Customer List'!$A$1:$J$488,10,FALSE),"")</f>
        <v/>
      </c>
    </row>
    <row r="10787" spans="18:23">
      <c r="R10787" s="97">
        <f t="shared" si="382"/>
        <v>0</v>
      </c>
      <c r="W10787" s="66" t="str">
        <f>IFERROR(VLOOKUP($O10787,'Customer List'!$A$1:$J$488,10,FALSE),"")</f>
        <v/>
      </c>
    </row>
    <row r="10788" spans="18:23">
      <c r="R10788" s="97">
        <f t="shared" si="382"/>
        <v>0</v>
      </c>
      <c r="W10788" s="66" t="str">
        <f>IFERROR(VLOOKUP($O10788,'Customer List'!$A$1:$J$488,10,FALSE),"")</f>
        <v/>
      </c>
    </row>
    <row r="10789" spans="18:23">
      <c r="R10789" s="97">
        <f t="shared" si="382"/>
        <v>0</v>
      </c>
      <c r="W10789" s="66" t="str">
        <f>IFERROR(VLOOKUP($O10789,'Customer List'!$A$1:$J$488,10,FALSE),"")</f>
        <v/>
      </c>
    </row>
    <row r="10790" spans="18:23">
      <c r="R10790" s="97">
        <f t="shared" si="382"/>
        <v>0</v>
      </c>
      <c r="W10790" s="66" t="str">
        <f>IFERROR(VLOOKUP($O10790,'Customer List'!$A$1:$J$488,10,FALSE),"")</f>
        <v/>
      </c>
    </row>
    <row r="10791" spans="18:23">
      <c r="R10791" s="97">
        <f t="shared" si="382"/>
        <v>0</v>
      </c>
      <c r="W10791" s="66" t="str">
        <f>IFERROR(VLOOKUP($O10791,'Customer List'!$A$1:$J$488,10,FALSE),"")</f>
        <v/>
      </c>
    </row>
    <row r="10792" spans="18:23">
      <c r="R10792" s="97">
        <f t="shared" ref="R10792:R10855" si="383">L10792-K10792</f>
        <v>0</v>
      </c>
      <c r="W10792" s="66" t="str">
        <f>IFERROR(VLOOKUP($O10792,'Customer List'!$A$1:$J$488,10,FALSE),"")</f>
        <v/>
      </c>
    </row>
    <row r="10793" spans="18:23">
      <c r="R10793" s="97">
        <f t="shared" si="383"/>
        <v>0</v>
      </c>
      <c r="W10793" s="66" t="str">
        <f>IFERROR(VLOOKUP($O10793,'Customer List'!$A$1:$J$488,10,FALSE),"")</f>
        <v/>
      </c>
    </row>
    <row r="10794" spans="18:23">
      <c r="R10794" s="97">
        <f t="shared" si="383"/>
        <v>0</v>
      </c>
      <c r="W10794" s="66" t="str">
        <f>IFERROR(VLOOKUP($O10794,'Customer List'!$A$1:$J$488,10,FALSE),"")</f>
        <v/>
      </c>
    </row>
    <row r="10795" spans="18:23">
      <c r="R10795" s="97">
        <f t="shared" si="383"/>
        <v>0</v>
      </c>
      <c r="W10795" s="66" t="str">
        <f>IFERROR(VLOOKUP($O10795,'Customer List'!$A$1:$J$488,10,FALSE),"")</f>
        <v/>
      </c>
    </row>
    <row r="10796" spans="18:23">
      <c r="R10796" s="97">
        <f t="shared" si="383"/>
        <v>0</v>
      </c>
      <c r="W10796" s="66" t="str">
        <f>IFERROR(VLOOKUP($O10796,'Customer List'!$A$1:$J$488,10,FALSE),"")</f>
        <v/>
      </c>
    </row>
    <row r="10797" spans="18:23">
      <c r="R10797" s="97">
        <f t="shared" si="383"/>
        <v>0</v>
      </c>
      <c r="W10797" s="66" t="str">
        <f>IFERROR(VLOOKUP($O10797,'Customer List'!$A$1:$J$488,10,FALSE),"")</f>
        <v/>
      </c>
    </row>
    <row r="10798" spans="18:23">
      <c r="R10798" s="97">
        <f t="shared" si="383"/>
        <v>0</v>
      </c>
      <c r="W10798" s="66" t="str">
        <f>IFERROR(VLOOKUP($O10798,'Customer List'!$A$1:$J$488,10,FALSE),"")</f>
        <v/>
      </c>
    </row>
    <row r="10799" spans="18:23">
      <c r="R10799" s="97">
        <f t="shared" si="383"/>
        <v>0</v>
      </c>
      <c r="W10799" s="66" t="str">
        <f>IFERROR(VLOOKUP($O10799,'Customer List'!$A$1:$J$488,10,FALSE),"")</f>
        <v/>
      </c>
    </row>
    <row r="10800" spans="18:23">
      <c r="R10800" s="97">
        <f t="shared" si="383"/>
        <v>0</v>
      </c>
      <c r="W10800" s="66" t="str">
        <f>IFERROR(VLOOKUP($O10800,'Customer List'!$A$1:$J$488,10,FALSE),"")</f>
        <v/>
      </c>
    </row>
    <row r="10801" spans="18:23">
      <c r="R10801" s="97">
        <f t="shared" si="383"/>
        <v>0</v>
      </c>
      <c r="W10801" s="66" t="str">
        <f>IFERROR(VLOOKUP($O10801,'Customer List'!$A$1:$J$488,10,FALSE),"")</f>
        <v/>
      </c>
    </row>
    <row r="10802" spans="18:23">
      <c r="R10802" s="97">
        <f t="shared" si="383"/>
        <v>0</v>
      </c>
      <c r="W10802" s="66" t="str">
        <f>IFERROR(VLOOKUP($O10802,'Customer List'!$A$1:$J$488,10,FALSE),"")</f>
        <v/>
      </c>
    </row>
    <row r="10803" spans="18:23">
      <c r="R10803" s="97">
        <f t="shared" si="383"/>
        <v>0</v>
      </c>
      <c r="W10803" s="66" t="str">
        <f>IFERROR(VLOOKUP($O10803,'Customer List'!$A$1:$J$488,10,FALSE),"")</f>
        <v/>
      </c>
    </row>
    <row r="10804" spans="18:23">
      <c r="R10804" s="97">
        <f t="shared" si="383"/>
        <v>0</v>
      </c>
      <c r="W10804" s="66" t="str">
        <f>IFERROR(VLOOKUP($O10804,'Customer List'!$A$1:$J$488,10,FALSE),"")</f>
        <v/>
      </c>
    </row>
    <row r="10805" spans="18:23">
      <c r="R10805" s="97">
        <f t="shared" si="383"/>
        <v>0</v>
      </c>
      <c r="W10805" s="66" t="str">
        <f>IFERROR(VLOOKUP($O10805,'Customer List'!$A$1:$J$488,10,FALSE),"")</f>
        <v/>
      </c>
    </row>
    <row r="10806" spans="18:23">
      <c r="R10806" s="97">
        <f t="shared" si="383"/>
        <v>0</v>
      </c>
      <c r="W10806" s="66" t="str">
        <f>IFERROR(VLOOKUP($O10806,'Customer List'!$A$1:$J$488,10,FALSE),"")</f>
        <v/>
      </c>
    </row>
    <row r="10807" spans="18:23">
      <c r="R10807" s="97">
        <f t="shared" si="383"/>
        <v>0</v>
      </c>
      <c r="W10807" s="66" t="str">
        <f>IFERROR(VLOOKUP($O10807,'Customer List'!$A$1:$J$488,10,FALSE),"")</f>
        <v/>
      </c>
    </row>
    <row r="10808" spans="18:23">
      <c r="R10808" s="97">
        <f t="shared" si="383"/>
        <v>0</v>
      </c>
      <c r="W10808" s="66" t="str">
        <f>IFERROR(VLOOKUP($O10808,'Customer List'!$A$1:$J$488,10,FALSE),"")</f>
        <v/>
      </c>
    </row>
    <row r="10809" spans="18:23">
      <c r="R10809" s="97">
        <f t="shared" si="383"/>
        <v>0</v>
      </c>
      <c r="W10809" s="66" t="str">
        <f>IFERROR(VLOOKUP($O10809,'Customer List'!$A$1:$J$488,10,FALSE),"")</f>
        <v/>
      </c>
    </row>
    <row r="10810" spans="18:23">
      <c r="R10810" s="97">
        <f t="shared" si="383"/>
        <v>0</v>
      </c>
      <c r="W10810" s="66" t="str">
        <f>IFERROR(VLOOKUP($O10810,'Customer List'!$A$1:$J$488,10,FALSE),"")</f>
        <v/>
      </c>
    </row>
    <row r="10811" spans="18:23">
      <c r="R10811" s="97">
        <f t="shared" si="383"/>
        <v>0</v>
      </c>
      <c r="W10811" s="66" t="str">
        <f>IFERROR(VLOOKUP($O10811,'Customer List'!$A$1:$J$488,10,FALSE),"")</f>
        <v/>
      </c>
    </row>
    <row r="10812" spans="18:23">
      <c r="R10812" s="97">
        <f t="shared" si="383"/>
        <v>0</v>
      </c>
      <c r="W10812" s="66" t="str">
        <f>IFERROR(VLOOKUP($O10812,'Customer List'!$A$1:$J$488,10,FALSE),"")</f>
        <v/>
      </c>
    </row>
    <row r="10813" spans="18:23">
      <c r="R10813" s="97">
        <f t="shared" si="383"/>
        <v>0</v>
      </c>
      <c r="W10813" s="66" t="str">
        <f>IFERROR(VLOOKUP($O10813,'Customer List'!$A$1:$J$488,10,FALSE),"")</f>
        <v/>
      </c>
    </row>
    <row r="10814" spans="18:23">
      <c r="R10814" s="97">
        <f t="shared" si="383"/>
        <v>0</v>
      </c>
      <c r="W10814" s="66" t="str">
        <f>IFERROR(VLOOKUP($O10814,'Customer List'!$A$1:$J$488,10,FALSE),"")</f>
        <v/>
      </c>
    </row>
    <row r="10815" spans="18:23">
      <c r="R10815" s="97">
        <f t="shared" si="383"/>
        <v>0</v>
      </c>
      <c r="W10815" s="66" t="str">
        <f>IFERROR(VLOOKUP($O10815,'Customer List'!$A$1:$J$488,10,FALSE),"")</f>
        <v/>
      </c>
    </row>
    <row r="10816" spans="18:23">
      <c r="R10816" s="97">
        <f t="shared" si="383"/>
        <v>0</v>
      </c>
      <c r="W10816" s="66" t="str">
        <f>IFERROR(VLOOKUP($O10816,'Customer List'!$A$1:$J$488,10,FALSE),"")</f>
        <v/>
      </c>
    </row>
    <row r="10817" spans="18:23">
      <c r="R10817" s="97">
        <f t="shared" si="383"/>
        <v>0</v>
      </c>
      <c r="W10817" s="66" t="str">
        <f>IFERROR(VLOOKUP($O10817,'Customer List'!$A$1:$J$488,10,FALSE),"")</f>
        <v/>
      </c>
    </row>
    <row r="10818" spans="18:23">
      <c r="R10818" s="97">
        <f t="shared" si="383"/>
        <v>0</v>
      </c>
      <c r="W10818" s="66" t="str">
        <f>IFERROR(VLOOKUP($O10818,'Customer List'!$A$1:$J$488,10,FALSE),"")</f>
        <v/>
      </c>
    </row>
    <row r="10819" spans="18:23">
      <c r="R10819" s="97">
        <f t="shared" si="383"/>
        <v>0</v>
      </c>
      <c r="W10819" s="66" t="str">
        <f>IFERROR(VLOOKUP($O10819,'Customer List'!$A$1:$J$488,10,FALSE),"")</f>
        <v/>
      </c>
    </row>
    <row r="10820" spans="18:23">
      <c r="R10820" s="97">
        <f t="shared" si="383"/>
        <v>0</v>
      </c>
      <c r="W10820" s="66" t="str">
        <f>IFERROR(VLOOKUP($O10820,'Customer List'!$A$1:$J$488,10,FALSE),"")</f>
        <v/>
      </c>
    </row>
    <row r="10821" spans="18:23">
      <c r="R10821" s="97">
        <f t="shared" si="383"/>
        <v>0</v>
      </c>
      <c r="W10821" s="66" t="str">
        <f>IFERROR(VLOOKUP($O10821,'Customer List'!$A$1:$J$488,10,FALSE),"")</f>
        <v/>
      </c>
    </row>
    <row r="10822" spans="18:23">
      <c r="R10822" s="97">
        <f t="shared" si="383"/>
        <v>0</v>
      </c>
      <c r="W10822" s="66" t="str">
        <f>IFERROR(VLOOKUP($O10822,'Customer List'!$A$1:$J$488,10,FALSE),"")</f>
        <v/>
      </c>
    </row>
    <row r="10823" spans="18:23">
      <c r="R10823" s="97">
        <f t="shared" si="383"/>
        <v>0</v>
      </c>
      <c r="W10823" s="66" t="str">
        <f>IFERROR(VLOOKUP($O10823,'Customer List'!$A$1:$J$488,10,FALSE),"")</f>
        <v/>
      </c>
    </row>
    <row r="10824" spans="18:23">
      <c r="R10824" s="97">
        <f t="shared" si="383"/>
        <v>0</v>
      </c>
      <c r="W10824" s="66" t="str">
        <f>IFERROR(VLOOKUP($O10824,'Customer List'!$A$1:$J$488,10,FALSE),"")</f>
        <v/>
      </c>
    </row>
    <row r="10825" spans="18:23">
      <c r="R10825" s="97">
        <f t="shared" si="383"/>
        <v>0</v>
      </c>
      <c r="W10825" s="66" t="str">
        <f>IFERROR(VLOOKUP($O10825,'Customer List'!$A$1:$J$488,10,FALSE),"")</f>
        <v/>
      </c>
    </row>
    <row r="10826" spans="18:23">
      <c r="R10826" s="97">
        <f t="shared" si="383"/>
        <v>0</v>
      </c>
      <c r="W10826" s="66" t="str">
        <f>IFERROR(VLOOKUP($O10826,'Customer List'!$A$1:$J$488,10,FALSE),"")</f>
        <v/>
      </c>
    </row>
    <row r="10827" spans="18:23">
      <c r="R10827" s="97">
        <f t="shared" si="383"/>
        <v>0</v>
      </c>
      <c r="W10827" s="66" t="str">
        <f>IFERROR(VLOOKUP($O10827,'Customer List'!$A$1:$J$488,10,FALSE),"")</f>
        <v/>
      </c>
    </row>
    <row r="10828" spans="18:23">
      <c r="R10828" s="97">
        <f t="shared" si="383"/>
        <v>0</v>
      </c>
      <c r="W10828" s="66" t="str">
        <f>IFERROR(VLOOKUP($O10828,'Customer List'!$A$1:$J$488,10,FALSE),"")</f>
        <v/>
      </c>
    </row>
    <row r="10829" spans="18:23">
      <c r="R10829" s="97">
        <f t="shared" si="383"/>
        <v>0</v>
      </c>
      <c r="W10829" s="66" t="str">
        <f>IFERROR(VLOOKUP($O10829,'Customer List'!$A$1:$J$488,10,FALSE),"")</f>
        <v/>
      </c>
    </row>
    <row r="10830" spans="18:23">
      <c r="R10830" s="97">
        <f t="shared" si="383"/>
        <v>0</v>
      </c>
      <c r="W10830" s="66" t="str">
        <f>IFERROR(VLOOKUP($O10830,'Customer List'!$A$1:$J$488,10,FALSE),"")</f>
        <v/>
      </c>
    </row>
    <row r="10831" spans="18:23">
      <c r="R10831" s="97">
        <f t="shared" si="383"/>
        <v>0</v>
      </c>
      <c r="W10831" s="66" t="str">
        <f>IFERROR(VLOOKUP($O10831,'Customer List'!$A$1:$J$488,10,FALSE),"")</f>
        <v/>
      </c>
    </row>
    <row r="10832" spans="18:23">
      <c r="R10832" s="97">
        <f t="shared" si="383"/>
        <v>0</v>
      </c>
      <c r="W10832" s="66" t="str">
        <f>IFERROR(VLOOKUP($O10832,'Customer List'!$A$1:$J$488,10,FALSE),"")</f>
        <v/>
      </c>
    </row>
    <row r="10833" spans="18:23">
      <c r="R10833" s="97">
        <f t="shared" si="383"/>
        <v>0</v>
      </c>
      <c r="W10833" s="66" t="str">
        <f>IFERROR(VLOOKUP($O10833,'Customer List'!$A$1:$J$488,10,FALSE),"")</f>
        <v/>
      </c>
    </row>
    <row r="10834" spans="18:23">
      <c r="R10834" s="97">
        <f t="shared" si="383"/>
        <v>0</v>
      </c>
      <c r="W10834" s="66" t="str">
        <f>IFERROR(VLOOKUP($O10834,'Customer List'!$A$1:$J$488,10,FALSE),"")</f>
        <v/>
      </c>
    </row>
    <row r="10835" spans="18:23">
      <c r="R10835" s="97">
        <f t="shared" si="383"/>
        <v>0</v>
      </c>
      <c r="W10835" s="66" t="str">
        <f>IFERROR(VLOOKUP($O10835,'Customer List'!$A$1:$J$488,10,FALSE),"")</f>
        <v/>
      </c>
    </row>
    <row r="10836" spans="18:23">
      <c r="R10836" s="97">
        <f t="shared" si="383"/>
        <v>0</v>
      </c>
      <c r="W10836" s="66" t="str">
        <f>IFERROR(VLOOKUP($O10836,'Customer List'!$A$1:$J$488,10,FALSE),"")</f>
        <v/>
      </c>
    </row>
    <row r="10837" spans="18:23">
      <c r="R10837" s="97">
        <f t="shared" si="383"/>
        <v>0</v>
      </c>
      <c r="W10837" s="66" t="str">
        <f>IFERROR(VLOOKUP($O10837,'Customer List'!$A$1:$J$488,10,FALSE),"")</f>
        <v/>
      </c>
    </row>
    <row r="10838" spans="18:23">
      <c r="R10838" s="97">
        <f t="shared" si="383"/>
        <v>0</v>
      </c>
      <c r="W10838" s="66" t="str">
        <f>IFERROR(VLOOKUP($O10838,'Customer List'!$A$1:$J$488,10,FALSE),"")</f>
        <v/>
      </c>
    </row>
    <row r="10839" spans="18:23">
      <c r="R10839" s="97">
        <f t="shared" si="383"/>
        <v>0</v>
      </c>
      <c r="W10839" s="66" t="str">
        <f>IFERROR(VLOOKUP($O10839,'Customer List'!$A$1:$J$488,10,FALSE),"")</f>
        <v/>
      </c>
    </row>
    <row r="10840" spans="18:23">
      <c r="R10840" s="97">
        <f t="shared" si="383"/>
        <v>0</v>
      </c>
      <c r="W10840" s="66" t="str">
        <f>IFERROR(VLOOKUP($O10840,'Customer List'!$A$1:$J$488,10,FALSE),"")</f>
        <v/>
      </c>
    </row>
    <row r="10841" spans="18:23">
      <c r="R10841" s="97">
        <f t="shared" si="383"/>
        <v>0</v>
      </c>
      <c r="W10841" s="66" t="str">
        <f>IFERROR(VLOOKUP($O10841,'Customer List'!$A$1:$J$488,10,FALSE),"")</f>
        <v/>
      </c>
    </row>
    <row r="10842" spans="18:23">
      <c r="R10842" s="97">
        <f t="shared" si="383"/>
        <v>0</v>
      </c>
      <c r="W10842" s="66" t="str">
        <f>IFERROR(VLOOKUP($O10842,'Customer List'!$A$1:$J$488,10,FALSE),"")</f>
        <v/>
      </c>
    </row>
    <row r="10843" spans="18:23">
      <c r="R10843" s="97">
        <f t="shared" si="383"/>
        <v>0</v>
      </c>
      <c r="W10843" s="66" t="str">
        <f>IFERROR(VLOOKUP($O10843,'Customer List'!$A$1:$J$488,10,FALSE),"")</f>
        <v/>
      </c>
    </row>
    <row r="10844" spans="18:23">
      <c r="R10844" s="97">
        <f t="shared" si="383"/>
        <v>0</v>
      </c>
      <c r="W10844" s="66" t="str">
        <f>IFERROR(VLOOKUP($O10844,'Customer List'!$A$1:$J$488,10,FALSE),"")</f>
        <v/>
      </c>
    </row>
    <row r="10845" spans="18:23">
      <c r="R10845" s="97">
        <f t="shared" si="383"/>
        <v>0</v>
      </c>
      <c r="W10845" s="66" t="str">
        <f>IFERROR(VLOOKUP($O10845,'Customer List'!$A$1:$J$488,10,FALSE),"")</f>
        <v/>
      </c>
    </row>
    <row r="10846" spans="18:23">
      <c r="R10846" s="97">
        <f t="shared" si="383"/>
        <v>0</v>
      </c>
      <c r="W10846" s="66" t="str">
        <f>IFERROR(VLOOKUP($O10846,'Customer List'!$A$1:$J$488,10,FALSE),"")</f>
        <v/>
      </c>
    </row>
    <row r="10847" spans="18:23">
      <c r="R10847" s="97">
        <f t="shared" si="383"/>
        <v>0</v>
      </c>
      <c r="W10847" s="66" t="str">
        <f>IFERROR(VLOOKUP($O10847,'Customer List'!$A$1:$J$488,10,FALSE),"")</f>
        <v/>
      </c>
    </row>
    <row r="10848" spans="18:23">
      <c r="R10848" s="97">
        <f t="shared" si="383"/>
        <v>0</v>
      </c>
      <c r="W10848" s="66" t="str">
        <f>IFERROR(VLOOKUP($O10848,'Customer List'!$A$1:$J$488,10,FALSE),"")</f>
        <v/>
      </c>
    </row>
    <row r="10849" spans="18:23">
      <c r="R10849" s="97">
        <f t="shared" si="383"/>
        <v>0</v>
      </c>
      <c r="W10849" s="66" t="str">
        <f>IFERROR(VLOOKUP($O10849,'Customer List'!$A$1:$J$488,10,FALSE),"")</f>
        <v/>
      </c>
    </row>
    <row r="10850" spans="18:23">
      <c r="R10850" s="97">
        <f t="shared" si="383"/>
        <v>0</v>
      </c>
      <c r="W10850" s="66" t="str">
        <f>IFERROR(VLOOKUP($O10850,'Customer List'!$A$1:$J$488,10,FALSE),"")</f>
        <v/>
      </c>
    </row>
    <row r="10851" spans="18:23">
      <c r="R10851" s="97">
        <f t="shared" si="383"/>
        <v>0</v>
      </c>
      <c r="W10851" s="66" t="str">
        <f>IFERROR(VLOOKUP($O10851,'Customer List'!$A$1:$J$488,10,FALSE),"")</f>
        <v/>
      </c>
    </row>
    <row r="10852" spans="18:23">
      <c r="R10852" s="97">
        <f t="shared" si="383"/>
        <v>0</v>
      </c>
      <c r="W10852" s="66" t="str">
        <f>IFERROR(VLOOKUP($O10852,'Customer List'!$A$1:$J$488,10,FALSE),"")</f>
        <v/>
      </c>
    </row>
    <row r="10853" spans="18:23">
      <c r="R10853" s="97">
        <f t="shared" si="383"/>
        <v>0</v>
      </c>
      <c r="W10853" s="66" t="str">
        <f>IFERROR(VLOOKUP($O10853,'Customer List'!$A$1:$J$488,10,FALSE),"")</f>
        <v/>
      </c>
    </row>
    <row r="10854" spans="18:23">
      <c r="R10854" s="97">
        <f t="shared" si="383"/>
        <v>0</v>
      </c>
      <c r="W10854" s="66" t="str">
        <f>IFERROR(VLOOKUP($O10854,'Customer List'!$A$1:$J$488,10,FALSE),"")</f>
        <v/>
      </c>
    </row>
    <row r="10855" spans="18:23">
      <c r="R10855" s="97">
        <f t="shared" si="383"/>
        <v>0</v>
      </c>
      <c r="W10855" s="66" t="str">
        <f>IFERROR(VLOOKUP($O10855,'Customer List'!$A$1:$J$488,10,FALSE),"")</f>
        <v/>
      </c>
    </row>
    <row r="10856" spans="18:23">
      <c r="R10856" s="97">
        <f t="shared" ref="R10856:R10919" si="384">L10856-K10856</f>
        <v>0</v>
      </c>
      <c r="W10856" s="66" t="str">
        <f>IFERROR(VLOOKUP($O10856,'Customer List'!$A$1:$J$488,10,FALSE),"")</f>
        <v/>
      </c>
    </row>
    <row r="10857" spans="18:23">
      <c r="R10857" s="97">
        <f t="shared" si="384"/>
        <v>0</v>
      </c>
      <c r="W10857" s="66" t="str">
        <f>IFERROR(VLOOKUP($O10857,'Customer List'!$A$1:$J$488,10,FALSE),"")</f>
        <v/>
      </c>
    </row>
    <row r="10858" spans="18:23">
      <c r="R10858" s="97">
        <f t="shared" si="384"/>
        <v>0</v>
      </c>
      <c r="W10858" s="66" t="str">
        <f>IFERROR(VLOOKUP($O10858,'Customer List'!$A$1:$J$488,10,FALSE),"")</f>
        <v/>
      </c>
    </row>
    <row r="10859" spans="18:23">
      <c r="R10859" s="97">
        <f t="shared" si="384"/>
        <v>0</v>
      </c>
      <c r="W10859" s="66" t="str">
        <f>IFERROR(VLOOKUP($O10859,'Customer List'!$A$1:$J$488,10,FALSE),"")</f>
        <v/>
      </c>
    </row>
    <row r="10860" spans="18:23">
      <c r="R10860" s="97">
        <f t="shared" si="384"/>
        <v>0</v>
      </c>
      <c r="W10860" s="66" t="str">
        <f>IFERROR(VLOOKUP($O10860,'Customer List'!$A$1:$J$488,10,FALSE),"")</f>
        <v/>
      </c>
    </row>
    <row r="10861" spans="18:23">
      <c r="R10861" s="97">
        <f t="shared" si="384"/>
        <v>0</v>
      </c>
      <c r="W10861" s="66" t="str">
        <f>IFERROR(VLOOKUP($O10861,'Customer List'!$A$1:$J$488,10,FALSE),"")</f>
        <v/>
      </c>
    </row>
    <row r="10862" spans="18:23">
      <c r="R10862" s="97">
        <f t="shared" si="384"/>
        <v>0</v>
      </c>
      <c r="W10862" s="66" t="str">
        <f>IFERROR(VLOOKUP($O10862,'Customer List'!$A$1:$J$488,10,FALSE),"")</f>
        <v/>
      </c>
    </row>
    <row r="10863" spans="18:23">
      <c r="R10863" s="97">
        <f t="shared" si="384"/>
        <v>0</v>
      </c>
      <c r="W10863" s="66" t="str">
        <f>IFERROR(VLOOKUP($O10863,'Customer List'!$A$1:$J$488,10,FALSE),"")</f>
        <v/>
      </c>
    </row>
    <row r="10864" spans="18:23">
      <c r="R10864" s="97">
        <f t="shared" si="384"/>
        <v>0</v>
      </c>
      <c r="W10864" s="66" t="str">
        <f>IFERROR(VLOOKUP($O10864,'Customer List'!$A$1:$J$488,10,FALSE),"")</f>
        <v/>
      </c>
    </row>
    <row r="10865" spans="18:23">
      <c r="R10865" s="97">
        <f t="shared" si="384"/>
        <v>0</v>
      </c>
      <c r="W10865" s="66" t="str">
        <f>IFERROR(VLOOKUP($O10865,'Customer List'!$A$1:$J$488,10,FALSE),"")</f>
        <v/>
      </c>
    </row>
    <row r="10866" spans="18:23">
      <c r="R10866" s="97">
        <f t="shared" si="384"/>
        <v>0</v>
      </c>
      <c r="W10866" s="66" t="str">
        <f>IFERROR(VLOOKUP($O10866,'Customer List'!$A$1:$J$488,10,FALSE),"")</f>
        <v/>
      </c>
    </row>
    <row r="10867" spans="18:23">
      <c r="R10867" s="97">
        <f t="shared" si="384"/>
        <v>0</v>
      </c>
      <c r="W10867" s="66" t="str">
        <f>IFERROR(VLOOKUP($O10867,'Customer List'!$A$1:$J$488,10,FALSE),"")</f>
        <v/>
      </c>
    </row>
    <row r="10868" spans="18:23">
      <c r="R10868" s="97">
        <f t="shared" si="384"/>
        <v>0</v>
      </c>
      <c r="W10868" s="66" t="str">
        <f>IFERROR(VLOOKUP($O10868,'Customer List'!$A$1:$J$488,10,FALSE),"")</f>
        <v/>
      </c>
    </row>
    <row r="10869" spans="18:23">
      <c r="R10869" s="97">
        <f t="shared" si="384"/>
        <v>0</v>
      </c>
      <c r="W10869" s="66" t="str">
        <f>IFERROR(VLOOKUP($O10869,'Customer List'!$A$1:$J$488,10,FALSE),"")</f>
        <v/>
      </c>
    </row>
    <row r="10870" spans="18:23">
      <c r="R10870" s="97">
        <f t="shared" si="384"/>
        <v>0</v>
      </c>
      <c r="W10870" s="66" t="str">
        <f>IFERROR(VLOOKUP($O10870,'Customer List'!$A$1:$J$488,10,FALSE),"")</f>
        <v/>
      </c>
    </row>
    <row r="10871" spans="18:23">
      <c r="R10871" s="97">
        <f t="shared" si="384"/>
        <v>0</v>
      </c>
      <c r="W10871" s="66" t="str">
        <f>IFERROR(VLOOKUP($O10871,'Customer List'!$A$1:$J$488,10,FALSE),"")</f>
        <v/>
      </c>
    </row>
    <row r="10872" spans="18:23">
      <c r="R10872" s="97">
        <f t="shared" si="384"/>
        <v>0</v>
      </c>
      <c r="W10872" s="66" t="str">
        <f>IFERROR(VLOOKUP($O10872,'Customer List'!$A$1:$J$488,10,FALSE),"")</f>
        <v/>
      </c>
    </row>
    <row r="10873" spans="18:23">
      <c r="R10873" s="97">
        <f t="shared" si="384"/>
        <v>0</v>
      </c>
      <c r="W10873" s="66" t="str">
        <f>IFERROR(VLOOKUP($O10873,'Customer List'!$A$1:$J$488,10,FALSE),"")</f>
        <v/>
      </c>
    </row>
    <row r="10874" spans="18:23">
      <c r="R10874" s="97">
        <f t="shared" si="384"/>
        <v>0</v>
      </c>
      <c r="W10874" s="66" t="str">
        <f>IFERROR(VLOOKUP($O10874,'Customer List'!$A$1:$J$488,10,FALSE),"")</f>
        <v/>
      </c>
    </row>
    <row r="10875" spans="18:23">
      <c r="R10875" s="97">
        <f t="shared" si="384"/>
        <v>0</v>
      </c>
      <c r="W10875" s="66" t="str">
        <f>IFERROR(VLOOKUP($O10875,'Customer List'!$A$1:$J$488,10,FALSE),"")</f>
        <v/>
      </c>
    </row>
    <row r="10876" spans="18:23">
      <c r="R10876" s="97">
        <f t="shared" si="384"/>
        <v>0</v>
      </c>
      <c r="W10876" s="66" t="str">
        <f>IFERROR(VLOOKUP($O10876,'Customer List'!$A$1:$J$488,10,FALSE),"")</f>
        <v/>
      </c>
    </row>
    <row r="10877" spans="18:23">
      <c r="R10877" s="97">
        <f t="shared" si="384"/>
        <v>0</v>
      </c>
      <c r="W10877" s="66" t="str">
        <f>IFERROR(VLOOKUP($O10877,'Customer List'!$A$1:$J$488,10,FALSE),"")</f>
        <v/>
      </c>
    </row>
    <row r="10878" spans="18:23">
      <c r="R10878" s="97">
        <f t="shared" si="384"/>
        <v>0</v>
      </c>
      <c r="W10878" s="66" t="str">
        <f>IFERROR(VLOOKUP($O10878,'Customer List'!$A$1:$J$488,10,FALSE),"")</f>
        <v/>
      </c>
    </row>
    <row r="10879" spans="18:23">
      <c r="R10879" s="97">
        <f t="shared" si="384"/>
        <v>0</v>
      </c>
      <c r="W10879" s="66" t="str">
        <f>IFERROR(VLOOKUP($O10879,'Customer List'!$A$1:$J$488,10,FALSE),"")</f>
        <v/>
      </c>
    </row>
    <row r="10880" spans="18:23">
      <c r="R10880" s="97">
        <f t="shared" si="384"/>
        <v>0</v>
      </c>
      <c r="W10880" s="66" t="str">
        <f>IFERROR(VLOOKUP($O10880,'Customer List'!$A$1:$J$488,10,FALSE),"")</f>
        <v/>
      </c>
    </row>
    <row r="10881" spans="18:23">
      <c r="R10881" s="97">
        <f t="shared" si="384"/>
        <v>0</v>
      </c>
      <c r="W10881" s="66" t="str">
        <f>IFERROR(VLOOKUP($O10881,'Customer List'!$A$1:$J$488,10,FALSE),"")</f>
        <v/>
      </c>
    </row>
    <row r="10882" spans="18:23">
      <c r="R10882" s="97">
        <f t="shared" si="384"/>
        <v>0</v>
      </c>
      <c r="W10882" s="66" t="str">
        <f>IFERROR(VLOOKUP($O10882,'Customer List'!$A$1:$J$488,10,FALSE),"")</f>
        <v/>
      </c>
    </row>
    <row r="10883" spans="18:23">
      <c r="R10883" s="97">
        <f t="shared" si="384"/>
        <v>0</v>
      </c>
      <c r="W10883" s="66" t="str">
        <f>IFERROR(VLOOKUP($O10883,'Customer List'!$A$1:$J$488,10,FALSE),"")</f>
        <v/>
      </c>
    </row>
    <row r="10884" spans="18:23">
      <c r="R10884" s="97">
        <f t="shared" si="384"/>
        <v>0</v>
      </c>
      <c r="W10884" s="66" t="str">
        <f>IFERROR(VLOOKUP($O10884,'Customer List'!$A$1:$J$488,10,FALSE),"")</f>
        <v/>
      </c>
    </row>
    <row r="10885" spans="18:23">
      <c r="R10885" s="97">
        <f t="shared" si="384"/>
        <v>0</v>
      </c>
      <c r="W10885" s="66" t="str">
        <f>IFERROR(VLOOKUP($O10885,'Customer List'!$A$1:$J$488,10,FALSE),"")</f>
        <v/>
      </c>
    </row>
    <row r="10886" spans="18:23">
      <c r="R10886" s="97">
        <f t="shared" si="384"/>
        <v>0</v>
      </c>
      <c r="W10886" s="66" t="str">
        <f>IFERROR(VLOOKUP($O10886,'Customer List'!$A$1:$J$488,10,FALSE),"")</f>
        <v/>
      </c>
    </row>
    <row r="10887" spans="18:23">
      <c r="R10887" s="97">
        <f t="shared" si="384"/>
        <v>0</v>
      </c>
      <c r="W10887" s="66" t="str">
        <f>IFERROR(VLOOKUP($O10887,'Customer List'!$A$1:$J$488,10,FALSE),"")</f>
        <v/>
      </c>
    </row>
    <row r="10888" spans="18:23">
      <c r="R10888" s="97">
        <f t="shared" si="384"/>
        <v>0</v>
      </c>
      <c r="W10888" s="66" t="str">
        <f>IFERROR(VLOOKUP($O10888,'Customer List'!$A$1:$J$488,10,FALSE),"")</f>
        <v/>
      </c>
    </row>
    <row r="10889" spans="18:23">
      <c r="R10889" s="97">
        <f t="shared" si="384"/>
        <v>0</v>
      </c>
      <c r="W10889" s="66" t="str">
        <f>IFERROR(VLOOKUP($O10889,'Customer List'!$A$1:$J$488,10,FALSE),"")</f>
        <v/>
      </c>
    </row>
    <row r="10890" spans="18:23">
      <c r="R10890" s="97">
        <f t="shared" si="384"/>
        <v>0</v>
      </c>
      <c r="W10890" s="66" t="str">
        <f>IFERROR(VLOOKUP($O10890,'Customer List'!$A$1:$J$488,10,FALSE),"")</f>
        <v/>
      </c>
    </row>
    <row r="10891" spans="18:23">
      <c r="R10891" s="97">
        <f t="shared" si="384"/>
        <v>0</v>
      </c>
      <c r="W10891" s="66" t="str">
        <f>IFERROR(VLOOKUP($O10891,'Customer List'!$A$1:$J$488,10,FALSE),"")</f>
        <v/>
      </c>
    </row>
    <row r="10892" spans="18:23">
      <c r="R10892" s="97">
        <f t="shared" si="384"/>
        <v>0</v>
      </c>
      <c r="W10892" s="66" t="str">
        <f>IFERROR(VLOOKUP($O10892,'Customer List'!$A$1:$J$488,10,FALSE),"")</f>
        <v/>
      </c>
    </row>
    <row r="10893" spans="18:23">
      <c r="R10893" s="97">
        <f t="shared" si="384"/>
        <v>0</v>
      </c>
      <c r="W10893" s="66" t="str">
        <f>IFERROR(VLOOKUP($O10893,'Customer List'!$A$1:$J$488,10,FALSE),"")</f>
        <v/>
      </c>
    </row>
    <row r="10894" spans="18:23">
      <c r="R10894" s="97">
        <f t="shared" si="384"/>
        <v>0</v>
      </c>
      <c r="W10894" s="66" t="str">
        <f>IFERROR(VLOOKUP($O10894,'Customer List'!$A$1:$J$488,10,FALSE),"")</f>
        <v/>
      </c>
    </row>
    <row r="10895" spans="18:23">
      <c r="R10895" s="97">
        <f t="shared" si="384"/>
        <v>0</v>
      </c>
      <c r="W10895" s="66" t="str">
        <f>IFERROR(VLOOKUP($O10895,'Customer List'!$A$1:$J$488,10,FALSE),"")</f>
        <v/>
      </c>
    </row>
    <row r="10896" spans="18:23">
      <c r="R10896" s="97">
        <f t="shared" si="384"/>
        <v>0</v>
      </c>
      <c r="W10896" s="66" t="str">
        <f>IFERROR(VLOOKUP($O10896,'Customer List'!$A$1:$J$488,10,FALSE),"")</f>
        <v/>
      </c>
    </row>
    <row r="10897" spans="18:23">
      <c r="R10897" s="97">
        <f t="shared" si="384"/>
        <v>0</v>
      </c>
      <c r="W10897" s="66" t="str">
        <f>IFERROR(VLOOKUP($O10897,'Customer List'!$A$1:$J$488,10,FALSE),"")</f>
        <v/>
      </c>
    </row>
    <row r="10898" spans="18:23">
      <c r="R10898" s="97">
        <f t="shared" si="384"/>
        <v>0</v>
      </c>
      <c r="W10898" s="66" t="str">
        <f>IFERROR(VLOOKUP($O10898,'Customer List'!$A$1:$J$488,10,FALSE),"")</f>
        <v/>
      </c>
    </row>
    <row r="10899" spans="18:23">
      <c r="R10899" s="97">
        <f t="shared" si="384"/>
        <v>0</v>
      </c>
      <c r="W10899" s="66" t="str">
        <f>IFERROR(VLOOKUP($O10899,'Customer List'!$A$1:$J$488,10,FALSE),"")</f>
        <v/>
      </c>
    </row>
    <row r="10900" spans="18:23">
      <c r="R10900" s="97">
        <f t="shared" si="384"/>
        <v>0</v>
      </c>
      <c r="W10900" s="66" t="str">
        <f>IFERROR(VLOOKUP($O10900,'Customer List'!$A$1:$J$488,10,FALSE),"")</f>
        <v/>
      </c>
    </row>
    <row r="10901" spans="18:23">
      <c r="R10901" s="97">
        <f t="shared" si="384"/>
        <v>0</v>
      </c>
      <c r="W10901" s="66" t="str">
        <f>IFERROR(VLOOKUP($O10901,'Customer List'!$A$1:$J$488,10,FALSE),"")</f>
        <v/>
      </c>
    </row>
    <row r="10902" spans="18:23">
      <c r="R10902" s="97">
        <f t="shared" si="384"/>
        <v>0</v>
      </c>
      <c r="W10902" s="66" t="str">
        <f>IFERROR(VLOOKUP($O10902,'Customer List'!$A$1:$J$488,10,FALSE),"")</f>
        <v/>
      </c>
    </row>
    <row r="10903" spans="18:23">
      <c r="R10903" s="97">
        <f t="shared" si="384"/>
        <v>0</v>
      </c>
      <c r="W10903" s="66" t="str">
        <f>IFERROR(VLOOKUP($O10903,'Customer List'!$A$1:$J$488,10,FALSE),"")</f>
        <v/>
      </c>
    </row>
    <row r="10904" spans="18:23">
      <c r="R10904" s="97">
        <f t="shared" si="384"/>
        <v>0</v>
      </c>
      <c r="W10904" s="66" t="str">
        <f>IFERROR(VLOOKUP($O10904,'Customer List'!$A$1:$J$488,10,FALSE),"")</f>
        <v/>
      </c>
    </row>
    <row r="10905" spans="18:23">
      <c r="R10905" s="97">
        <f t="shared" si="384"/>
        <v>0</v>
      </c>
      <c r="W10905" s="66" t="str">
        <f>IFERROR(VLOOKUP($O10905,'Customer List'!$A$1:$J$488,10,FALSE),"")</f>
        <v/>
      </c>
    </row>
    <row r="10906" spans="18:23">
      <c r="R10906" s="97">
        <f t="shared" si="384"/>
        <v>0</v>
      </c>
      <c r="W10906" s="66" t="str">
        <f>IFERROR(VLOOKUP($O10906,'Customer List'!$A$1:$J$488,10,FALSE),"")</f>
        <v/>
      </c>
    </row>
    <row r="10907" spans="18:23">
      <c r="R10907" s="97">
        <f t="shared" si="384"/>
        <v>0</v>
      </c>
      <c r="W10907" s="66" t="str">
        <f>IFERROR(VLOOKUP($O10907,'Customer List'!$A$1:$J$488,10,FALSE),"")</f>
        <v/>
      </c>
    </row>
    <row r="10908" spans="18:23">
      <c r="R10908" s="97">
        <f t="shared" si="384"/>
        <v>0</v>
      </c>
      <c r="W10908" s="66" t="str">
        <f>IFERROR(VLOOKUP($O10908,'Customer List'!$A$1:$J$488,10,FALSE),"")</f>
        <v/>
      </c>
    </row>
    <row r="10909" spans="18:23">
      <c r="R10909" s="97">
        <f t="shared" si="384"/>
        <v>0</v>
      </c>
      <c r="W10909" s="66" t="str">
        <f>IFERROR(VLOOKUP($O10909,'Customer List'!$A$1:$J$488,10,FALSE),"")</f>
        <v/>
      </c>
    </row>
    <row r="10910" spans="18:23">
      <c r="R10910" s="97">
        <f t="shared" si="384"/>
        <v>0</v>
      </c>
      <c r="W10910" s="66" t="str">
        <f>IFERROR(VLOOKUP($O10910,'Customer List'!$A$1:$J$488,10,FALSE),"")</f>
        <v/>
      </c>
    </row>
    <row r="10911" spans="18:23">
      <c r="R10911" s="97">
        <f t="shared" si="384"/>
        <v>0</v>
      </c>
      <c r="W10911" s="66" t="str">
        <f>IFERROR(VLOOKUP($O10911,'Customer List'!$A$1:$J$488,10,FALSE),"")</f>
        <v/>
      </c>
    </row>
    <row r="10912" spans="18:23">
      <c r="R10912" s="97">
        <f t="shared" si="384"/>
        <v>0</v>
      </c>
      <c r="W10912" s="66" t="str">
        <f>IFERROR(VLOOKUP($O10912,'Customer List'!$A$1:$J$488,10,FALSE),"")</f>
        <v/>
      </c>
    </row>
    <row r="10913" spans="18:23">
      <c r="R10913" s="97">
        <f t="shared" si="384"/>
        <v>0</v>
      </c>
      <c r="W10913" s="66" t="str">
        <f>IFERROR(VLOOKUP($O10913,'Customer List'!$A$1:$J$488,10,FALSE),"")</f>
        <v/>
      </c>
    </row>
    <row r="10914" spans="18:23">
      <c r="R10914" s="97">
        <f t="shared" si="384"/>
        <v>0</v>
      </c>
      <c r="W10914" s="66" t="str">
        <f>IFERROR(VLOOKUP($O10914,'Customer List'!$A$1:$J$488,10,FALSE),"")</f>
        <v/>
      </c>
    </row>
    <row r="10915" spans="18:23">
      <c r="R10915" s="97">
        <f t="shared" si="384"/>
        <v>0</v>
      </c>
      <c r="W10915" s="66" t="str">
        <f>IFERROR(VLOOKUP($O10915,'Customer List'!$A$1:$J$488,10,FALSE),"")</f>
        <v/>
      </c>
    </row>
    <row r="10916" spans="18:23">
      <c r="R10916" s="97">
        <f t="shared" si="384"/>
        <v>0</v>
      </c>
      <c r="W10916" s="66" t="str">
        <f>IFERROR(VLOOKUP($O10916,'Customer List'!$A$1:$J$488,10,FALSE),"")</f>
        <v/>
      </c>
    </row>
    <row r="10917" spans="18:23">
      <c r="R10917" s="97">
        <f t="shared" si="384"/>
        <v>0</v>
      </c>
      <c r="W10917" s="66" t="str">
        <f>IFERROR(VLOOKUP($O10917,'Customer List'!$A$1:$J$488,10,FALSE),"")</f>
        <v/>
      </c>
    </row>
    <row r="10918" spans="18:23">
      <c r="R10918" s="97">
        <f t="shared" si="384"/>
        <v>0</v>
      </c>
      <c r="W10918" s="66" t="str">
        <f>IFERROR(VLOOKUP($O10918,'Customer List'!$A$1:$J$488,10,FALSE),"")</f>
        <v/>
      </c>
    </row>
    <row r="10919" spans="18:23">
      <c r="R10919" s="97">
        <f t="shared" si="384"/>
        <v>0</v>
      </c>
      <c r="W10919" s="66" t="str">
        <f>IFERROR(VLOOKUP($O10919,'Customer List'!$A$1:$J$488,10,FALSE),"")</f>
        <v/>
      </c>
    </row>
    <row r="10920" spans="18:23">
      <c r="R10920" s="97">
        <f t="shared" ref="R10920:R10983" si="385">L10920-K10920</f>
        <v>0</v>
      </c>
      <c r="W10920" s="66" t="str">
        <f>IFERROR(VLOOKUP($O10920,'Customer List'!$A$1:$J$488,10,FALSE),"")</f>
        <v/>
      </c>
    </row>
    <row r="10921" spans="18:23">
      <c r="R10921" s="97">
        <f t="shared" si="385"/>
        <v>0</v>
      </c>
      <c r="W10921" s="66" t="str">
        <f>IFERROR(VLOOKUP($O10921,'Customer List'!$A$1:$J$488,10,FALSE),"")</f>
        <v/>
      </c>
    </row>
    <row r="10922" spans="18:23">
      <c r="R10922" s="97">
        <f t="shared" si="385"/>
        <v>0</v>
      </c>
      <c r="W10922" s="66" t="str">
        <f>IFERROR(VLOOKUP($O10922,'Customer List'!$A$1:$J$488,10,FALSE),"")</f>
        <v/>
      </c>
    </row>
    <row r="10923" spans="18:23">
      <c r="R10923" s="97">
        <f t="shared" si="385"/>
        <v>0</v>
      </c>
      <c r="W10923" s="66" t="str">
        <f>IFERROR(VLOOKUP($O10923,'Customer List'!$A$1:$J$488,10,FALSE),"")</f>
        <v/>
      </c>
    </row>
    <row r="10924" spans="18:23">
      <c r="R10924" s="97">
        <f t="shared" si="385"/>
        <v>0</v>
      </c>
      <c r="W10924" s="66" t="str">
        <f>IFERROR(VLOOKUP($O10924,'Customer List'!$A$1:$J$488,10,FALSE),"")</f>
        <v/>
      </c>
    </row>
    <row r="10925" spans="18:23">
      <c r="R10925" s="97">
        <f t="shared" si="385"/>
        <v>0</v>
      </c>
      <c r="W10925" s="66" t="str">
        <f>IFERROR(VLOOKUP($O10925,'Customer List'!$A$1:$J$488,10,FALSE),"")</f>
        <v/>
      </c>
    </row>
    <row r="10926" spans="18:23">
      <c r="R10926" s="97">
        <f t="shared" si="385"/>
        <v>0</v>
      </c>
      <c r="W10926" s="66" t="str">
        <f>IFERROR(VLOOKUP($O10926,'Customer List'!$A$1:$J$488,10,FALSE),"")</f>
        <v/>
      </c>
    </row>
    <row r="10927" spans="18:23">
      <c r="R10927" s="97">
        <f t="shared" si="385"/>
        <v>0</v>
      </c>
      <c r="W10927" s="66" t="str">
        <f>IFERROR(VLOOKUP($O10927,'Customer List'!$A$1:$J$488,10,FALSE),"")</f>
        <v/>
      </c>
    </row>
    <row r="10928" spans="18:23">
      <c r="R10928" s="97">
        <f t="shared" si="385"/>
        <v>0</v>
      </c>
      <c r="W10928" s="66" t="str">
        <f>IFERROR(VLOOKUP($O10928,'Customer List'!$A$1:$J$488,10,FALSE),"")</f>
        <v/>
      </c>
    </row>
    <row r="10929" spans="18:23">
      <c r="R10929" s="97">
        <f t="shared" si="385"/>
        <v>0</v>
      </c>
      <c r="W10929" s="66" t="str">
        <f>IFERROR(VLOOKUP($O10929,'Customer List'!$A$1:$J$488,10,FALSE),"")</f>
        <v/>
      </c>
    </row>
    <row r="10930" spans="18:23">
      <c r="R10930" s="97">
        <f t="shared" si="385"/>
        <v>0</v>
      </c>
      <c r="W10930" s="66" t="str">
        <f>IFERROR(VLOOKUP($O10930,'Customer List'!$A$1:$J$488,10,FALSE),"")</f>
        <v/>
      </c>
    </row>
    <row r="10931" spans="18:23">
      <c r="R10931" s="97">
        <f t="shared" si="385"/>
        <v>0</v>
      </c>
      <c r="W10931" s="66" t="str">
        <f>IFERROR(VLOOKUP($O10931,'Customer List'!$A$1:$J$488,10,FALSE),"")</f>
        <v/>
      </c>
    </row>
    <row r="10932" spans="18:23">
      <c r="R10932" s="97">
        <f t="shared" si="385"/>
        <v>0</v>
      </c>
      <c r="W10932" s="66" t="str">
        <f>IFERROR(VLOOKUP($O10932,'Customer List'!$A$1:$J$488,10,FALSE),"")</f>
        <v/>
      </c>
    </row>
    <row r="10933" spans="18:23">
      <c r="R10933" s="97">
        <f t="shared" si="385"/>
        <v>0</v>
      </c>
      <c r="W10933" s="66" t="str">
        <f>IFERROR(VLOOKUP($O10933,'Customer List'!$A$1:$J$488,10,FALSE),"")</f>
        <v/>
      </c>
    </row>
    <row r="10934" spans="18:23">
      <c r="R10934" s="97">
        <f t="shared" si="385"/>
        <v>0</v>
      </c>
      <c r="W10934" s="66" t="str">
        <f>IFERROR(VLOOKUP($O10934,'Customer List'!$A$1:$J$488,10,FALSE),"")</f>
        <v/>
      </c>
    </row>
    <row r="10935" spans="18:23">
      <c r="R10935" s="97">
        <f t="shared" si="385"/>
        <v>0</v>
      </c>
      <c r="W10935" s="66" t="str">
        <f>IFERROR(VLOOKUP($O10935,'Customer List'!$A$1:$J$488,10,FALSE),"")</f>
        <v/>
      </c>
    </row>
    <row r="10936" spans="18:23">
      <c r="R10936" s="97">
        <f t="shared" si="385"/>
        <v>0</v>
      </c>
      <c r="W10936" s="66" t="str">
        <f>IFERROR(VLOOKUP($O10936,'Customer List'!$A$1:$J$488,10,FALSE),"")</f>
        <v/>
      </c>
    </row>
    <row r="10937" spans="18:23">
      <c r="R10937" s="97">
        <f t="shared" si="385"/>
        <v>0</v>
      </c>
      <c r="W10937" s="66" t="str">
        <f>IFERROR(VLOOKUP($O10937,'Customer List'!$A$1:$J$488,10,FALSE),"")</f>
        <v/>
      </c>
    </row>
    <row r="10938" spans="18:23">
      <c r="R10938" s="97">
        <f t="shared" si="385"/>
        <v>0</v>
      </c>
      <c r="W10938" s="66" t="str">
        <f>IFERROR(VLOOKUP($O10938,'Customer List'!$A$1:$J$488,10,FALSE),"")</f>
        <v/>
      </c>
    </row>
    <row r="10939" spans="18:23">
      <c r="R10939" s="97">
        <f t="shared" si="385"/>
        <v>0</v>
      </c>
      <c r="W10939" s="66" t="str">
        <f>IFERROR(VLOOKUP($O10939,'Customer List'!$A$1:$J$488,10,FALSE),"")</f>
        <v/>
      </c>
    </row>
    <row r="10940" spans="18:23">
      <c r="R10940" s="97">
        <f t="shared" si="385"/>
        <v>0</v>
      </c>
      <c r="W10940" s="66" t="str">
        <f>IFERROR(VLOOKUP($O10940,'Customer List'!$A$1:$J$488,10,FALSE),"")</f>
        <v/>
      </c>
    </row>
    <row r="10941" spans="18:23">
      <c r="R10941" s="97">
        <f t="shared" si="385"/>
        <v>0</v>
      </c>
      <c r="W10941" s="66" t="str">
        <f>IFERROR(VLOOKUP($O10941,'Customer List'!$A$1:$J$488,10,FALSE),"")</f>
        <v/>
      </c>
    </row>
    <row r="10942" spans="18:23">
      <c r="R10942" s="97">
        <f t="shared" si="385"/>
        <v>0</v>
      </c>
      <c r="W10942" s="66" t="str">
        <f>IFERROR(VLOOKUP($O10942,'Customer List'!$A$1:$J$488,10,FALSE),"")</f>
        <v/>
      </c>
    </row>
    <row r="10943" spans="18:23">
      <c r="R10943" s="97">
        <f t="shared" si="385"/>
        <v>0</v>
      </c>
      <c r="W10943" s="66" t="str">
        <f>IFERROR(VLOOKUP($O10943,'Customer List'!$A$1:$J$488,10,FALSE),"")</f>
        <v/>
      </c>
    </row>
    <row r="10944" spans="18:23">
      <c r="R10944" s="97">
        <f t="shared" si="385"/>
        <v>0</v>
      </c>
      <c r="W10944" s="66" t="str">
        <f>IFERROR(VLOOKUP($O10944,'Customer List'!$A$1:$J$488,10,FALSE),"")</f>
        <v/>
      </c>
    </row>
    <row r="10945" spans="18:23">
      <c r="R10945" s="97">
        <f t="shared" si="385"/>
        <v>0</v>
      </c>
      <c r="W10945" s="66" t="str">
        <f>IFERROR(VLOOKUP($O10945,'Customer List'!$A$1:$J$488,10,FALSE),"")</f>
        <v/>
      </c>
    </row>
    <row r="10946" spans="18:23">
      <c r="R10946" s="97">
        <f t="shared" si="385"/>
        <v>0</v>
      </c>
      <c r="W10946" s="66" t="str">
        <f>IFERROR(VLOOKUP($O10946,'Customer List'!$A$1:$J$488,10,FALSE),"")</f>
        <v/>
      </c>
    </row>
    <row r="10947" spans="18:23">
      <c r="R10947" s="97">
        <f t="shared" si="385"/>
        <v>0</v>
      </c>
      <c r="W10947" s="66" t="str">
        <f>IFERROR(VLOOKUP($O10947,'Customer List'!$A$1:$J$488,10,FALSE),"")</f>
        <v/>
      </c>
    </row>
    <row r="10948" spans="18:23">
      <c r="R10948" s="97">
        <f t="shared" si="385"/>
        <v>0</v>
      </c>
      <c r="W10948" s="66" t="str">
        <f>IFERROR(VLOOKUP($O10948,'Customer List'!$A$1:$J$488,10,FALSE),"")</f>
        <v/>
      </c>
    </row>
    <row r="10949" spans="18:23">
      <c r="R10949" s="97">
        <f t="shared" si="385"/>
        <v>0</v>
      </c>
      <c r="W10949" s="66" t="str">
        <f>IFERROR(VLOOKUP($O10949,'Customer List'!$A$1:$J$488,10,FALSE),"")</f>
        <v/>
      </c>
    </row>
    <row r="10950" spans="18:23">
      <c r="R10950" s="97">
        <f t="shared" si="385"/>
        <v>0</v>
      </c>
      <c r="W10950" s="66" t="str">
        <f>IFERROR(VLOOKUP($O10950,'Customer List'!$A$1:$J$488,10,FALSE),"")</f>
        <v/>
      </c>
    </row>
    <row r="10951" spans="18:23">
      <c r="R10951" s="97">
        <f t="shared" si="385"/>
        <v>0</v>
      </c>
      <c r="W10951" s="66" t="str">
        <f>IFERROR(VLOOKUP($O10951,'Customer List'!$A$1:$J$488,10,FALSE),"")</f>
        <v/>
      </c>
    </row>
    <row r="10952" spans="18:23">
      <c r="R10952" s="97">
        <f t="shared" si="385"/>
        <v>0</v>
      </c>
      <c r="W10952" s="66" t="str">
        <f>IFERROR(VLOOKUP($O10952,'Customer List'!$A$1:$J$488,10,FALSE),"")</f>
        <v/>
      </c>
    </row>
    <row r="10953" spans="18:23">
      <c r="R10953" s="97">
        <f t="shared" si="385"/>
        <v>0</v>
      </c>
      <c r="W10953" s="66" t="str">
        <f>IFERROR(VLOOKUP($O10953,'Customer List'!$A$1:$J$488,10,FALSE),"")</f>
        <v/>
      </c>
    </row>
    <row r="10954" spans="18:23">
      <c r="R10954" s="97">
        <f t="shared" si="385"/>
        <v>0</v>
      </c>
      <c r="W10954" s="66" t="str">
        <f>IFERROR(VLOOKUP($O10954,'Customer List'!$A$1:$J$488,10,FALSE),"")</f>
        <v/>
      </c>
    </row>
    <row r="10955" spans="18:23">
      <c r="R10955" s="97">
        <f t="shared" si="385"/>
        <v>0</v>
      </c>
      <c r="W10955" s="66" t="str">
        <f>IFERROR(VLOOKUP($O10955,'Customer List'!$A$1:$J$488,10,FALSE),"")</f>
        <v/>
      </c>
    </row>
    <row r="10956" spans="18:23">
      <c r="R10956" s="97">
        <f t="shared" si="385"/>
        <v>0</v>
      </c>
      <c r="W10956" s="66" t="str">
        <f>IFERROR(VLOOKUP($O10956,'Customer List'!$A$1:$J$488,10,FALSE),"")</f>
        <v/>
      </c>
    </row>
    <row r="10957" spans="18:23">
      <c r="R10957" s="97">
        <f t="shared" si="385"/>
        <v>0</v>
      </c>
      <c r="W10957" s="66" t="str">
        <f>IFERROR(VLOOKUP($O10957,'Customer List'!$A$1:$J$488,10,FALSE),"")</f>
        <v/>
      </c>
    </row>
    <row r="10958" spans="18:23">
      <c r="R10958" s="97">
        <f t="shared" si="385"/>
        <v>0</v>
      </c>
      <c r="W10958" s="66" t="str">
        <f>IFERROR(VLOOKUP($O10958,'Customer List'!$A$1:$J$488,10,FALSE),"")</f>
        <v/>
      </c>
    </row>
    <row r="10959" spans="18:23">
      <c r="R10959" s="97">
        <f t="shared" si="385"/>
        <v>0</v>
      </c>
      <c r="W10959" s="66" t="str">
        <f>IFERROR(VLOOKUP($O10959,'Customer List'!$A$1:$J$488,10,FALSE),"")</f>
        <v/>
      </c>
    </row>
    <row r="10960" spans="18:23">
      <c r="R10960" s="97">
        <f t="shared" si="385"/>
        <v>0</v>
      </c>
      <c r="W10960" s="66" t="str">
        <f>IFERROR(VLOOKUP($O10960,'Customer List'!$A$1:$J$488,10,FALSE),"")</f>
        <v/>
      </c>
    </row>
    <row r="10961" spans="18:23">
      <c r="R10961" s="97">
        <f t="shared" si="385"/>
        <v>0</v>
      </c>
      <c r="W10961" s="66" t="str">
        <f>IFERROR(VLOOKUP($O10961,'Customer List'!$A$1:$J$488,10,FALSE),"")</f>
        <v/>
      </c>
    </row>
    <row r="10962" spans="18:23">
      <c r="R10962" s="97">
        <f t="shared" si="385"/>
        <v>0</v>
      </c>
      <c r="W10962" s="66" t="str">
        <f>IFERROR(VLOOKUP($O10962,'Customer List'!$A$1:$J$488,10,FALSE),"")</f>
        <v/>
      </c>
    </row>
    <row r="10963" spans="18:23">
      <c r="R10963" s="97">
        <f t="shared" si="385"/>
        <v>0</v>
      </c>
      <c r="W10963" s="66" t="str">
        <f>IFERROR(VLOOKUP($O10963,'Customer List'!$A$1:$J$488,10,FALSE),"")</f>
        <v/>
      </c>
    </row>
    <row r="10964" spans="18:23">
      <c r="R10964" s="97">
        <f t="shared" si="385"/>
        <v>0</v>
      </c>
      <c r="W10964" s="66" t="str">
        <f>IFERROR(VLOOKUP($O10964,'Customer List'!$A$1:$J$488,10,FALSE),"")</f>
        <v/>
      </c>
    </row>
    <row r="10965" spans="18:23">
      <c r="R10965" s="97">
        <f t="shared" si="385"/>
        <v>0</v>
      </c>
      <c r="W10965" s="66" t="str">
        <f>IFERROR(VLOOKUP($O10965,'Customer List'!$A$1:$J$488,10,FALSE),"")</f>
        <v/>
      </c>
    </row>
    <row r="10966" spans="18:23">
      <c r="R10966" s="97">
        <f t="shared" si="385"/>
        <v>0</v>
      </c>
      <c r="W10966" s="66" t="str">
        <f>IFERROR(VLOOKUP($O10966,'Customer List'!$A$1:$J$488,10,FALSE),"")</f>
        <v/>
      </c>
    </row>
    <row r="10967" spans="18:23">
      <c r="R10967" s="97">
        <f t="shared" si="385"/>
        <v>0</v>
      </c>
      <c r="W10967" s="66" t="str">
        <f>IFERROR(VLOOKUP($O10967,'Customer List'!$A$1:$J$488,10,FALSE),"")</f>
        <v/>
      </c>
    </row>
    <row r="10968" spans="18:23">
      <c r="R10968" s="97">
        <f t="shared" si="385"/>
        <v>0</v>
      </c>
      <c r="W10968" s="66" t="str">
        <f>IFERROR(VLOOKUP($O10968,'Customer List'!$A$1:$J$488,10,FALSE),"")</f>
        <v/>
      </c>
    </row>
    <row r="10969" spans="18:23">
      <c r="R10969" s="97">
        <f t="shared" si="385"/>
        <v>0</v>
      </c>
      <c r="W10969" s="66" t="str">
        <f>IFERROR(VLOOKUP($O10969,'Customer List'!$A$1:$J$488,10,FALSE),"")</f>
        <v/>
      </c>
    </row>
    <row r="10970" spans="18:23">
      <c r="R10970" s="97">
        <f t="shared" si="385"/>
        <v>0</v>
      </c>
      <c r="W10970" s="66" t="str">
        <f>IFERROR(VLOOKUP($O10970,'Customer List'!$A$1:$J$488,10,FALSE),"")</f>
        <v/>
      </c>
    </row>
    <row r="10971" spans="18:23">
      <c r="R10971" s="97">
        <f t="shared" si="385"/>
        <v>0</v>
      </c>
      <c r="W10971" s="66" t="str">
        <f>IFERROR(VLOOKUP($O10971,'Customer List'!$A$1:$J$488,10,FALSE),"")</f>
        <v/>
      </c>
    </row>
    <row r="10972" spans="18:23">
      <c r="R10972" s="97">
        <f t="shared" si="385"/>
        <v>0</v>
      </c>
      <c r="W10972" s="66" t="str">
        <f>IFERROR(VLOOKUP($O10972,'Customer List'!$A$1:$J$488,10,FALSE),"")</f>
        <v/>
      </c>
    </row>
    <row r="10973" spans="18:23">
      <c r="R10973" s="97">
        <f t="shared" si="385"/>
        <v>0</v>
      </c>
      <c r="W10973" s="66" t="str">
        <f>IFERROR(VLOOKUP($O10973,'Customer List'!$A$1:$J$488,10,FALSE),"")</f>
        <v/>
      </c>
    </row>
    <row r="10974" spans="18:23">
      <c r="R10974" s="97">
        <f t="shared" si="385"/>
        <v>0</v>
      </c>
      <c r="W10974" s="66" t="str">
        <f>IFERROR(VLOOKUP($O10974,'Customer List'!$A$1:$J$488,10,FALSE),"")</f>
        <v/>
      </c>
    </row>
    <row r="10975" spans="18:23">
      <c r="R10975" s="97">
        <f t="shared" si="385"/>
        <v>0</v>
      </c>
      <c r="W10975" s="66" t="str">
        <f>IFERROR(VLOOKUP($O10975,'Customer List'!$A$1:$J$488,10,FALSE),"")</f>
        <v/>
      </c>
    </row>
    <row r="10976" spans="18:23">
      <c r="R10976" s="97">
        <f t="shared" si="385"/>
        <v>0</v>
      </c>
      <c r="W10976" s="66" t="str">
        <f>IFERROR(VLOOKUP($O10976,'Customer List'!$A$1:$J$488,10,FALSE),"")</f>
        <v/>
      </c>
    </row>
    <row r="10977" spans="18:23">
      <c r="R10977" s="97">
        <f t="shared" si="385"/>
        <v>0</v>
      </c>
      <c r="W10977" s="66" t="str">
        <f>IFERROR(VLOOKUP($O10977,'Customer List'!$A$1:$J$488,10,FALSE),"")</f>
        <v/>
      </c>
    </row>
    <row r="10978" spans="18:23">
      <c r="R10978" s="97">
        <f t="shared" si="385"/>
        <v>0</v>
      </c>
      <c r="W10978" s="66" t="str">
        <f>IFERROR(VLOOKUP($O10978,'Customer List'!$A$1:$J$488,10,FALSE),"")</f>
        <v/>
      </c>
    </row>
    <row r="10979" spans="18:23">
      <c r="R10979" s="97">
        <f t="shared" si="385"/>
        <v>0</v>
      </c>
      <c r="W10979" s="66" t="str">
        <f>IFERROR(VLOOKUP($O10979,'Customer List'!$A$1:$J$488,10,FALSE),"")</f>
        <v/>
      </c>
    </row>
    <row r="10980" spans="18:23">
      <c r="R10980" s="97">
        <f t="shared" si="385"/>
        <v>0</v>
      </c>
      <c r="W10980" s="66" t="str">
        <f>IFERROR(VLOOKUP($O10980,'Customer List'!$A$1:$J$488,10,FALSE),"")</f>
        <v/>
      </c>
    </row>
    <row r="10981" spans="18:23">
      <c r="R10981" s="97">
        <f t="shared" si="385"/>
        <v>0</v>
      </c>
      <c r="W10981" s="66" t="str">
        <f>IFERROR(VLOOKUP($O10981,'Customer List'!$A$1:$J$488,10,FALSE),"")</f>
        <v/>
      </c>
    </row>
    <row r="10982" spans="18:23">
      <c r="R10982" s="97">
        <f t="shared" si="385"/>
        <v>0</v>
      </c>
      <c r="W10982" s="66" t="str">
        <f>IFERROR(VLOOKUP($O10982,'Customer List'!$A$1:$J$488,10,FALSE),"")</f>
        <v/>
      </c>
    </row>
    <row r="10983" spans="18:23">
      <c r="R10983" s="97">
        <f t="shared" si="385"/>
        <v>0</v>
      </c>
      <c r="W10983" s="66" t="str">
        <f>IFERROR(VLOOKUP($O10983,'Customer List'!$A$1:$J$488,10,FALSE),"")</f>
        <v/>
      </c>
    </row>
    <row r="10984" spans="18:23">
      <c r="R10984" s="97">
        <f t="shared" ref="R10984:R11047" si="386">L10984-K10984</f>
        <v>0</v>
      </c>
      <c r="W10984" s="66" t="str">
        <f>IFERROR(VLOOKUP($O10984,'Customer List'!$A$1:$J$488,10,FALSE),"")</f>
        <v/>
      </c>
    </row>
    <row r="10985" spans="18:23">
      <c r="R10985" s="97">
        <f t="shared" si="386"/>
        <v>0</v>
      </c>
      <c r="W10985" s="66" t="str">
        <f>IFERROR(VLOOKUP($O10985,'Customer List'!$A$1:$J$488,10,FALSE),"")</f>
        <v/>
      </c>
    </row>
    <row r="10986" spans="18:23">
      <c r="R10986" s="97">
        <f t="shared" si="386"/>
        <v>0</v>
      </c>
      <c r="W10986" s="66" t="str">
        <f>IFERROR(VLOOKUP($O10986,'Customer List'!$A$1:$J$488,10,FALSE),"")</f>
        <v/>
      </c>
    </row>
    <row r="10987" spans="18:23">
      <c r="R10987" s="97">
        <f t="shared" si="386"/>
        <v>0</v>
      </c>
      <c r="W10987" s="66" t="str">
        <f>IFERROR(VLOOKUP($O10987,'Customer List'!$A$1:$J$488,10,FALSE),"")</f>
        <v/>
      </c>
    </row>
    <row r="10988" spans="18:23">
      <c r="R10988" s="97">
        <f t="shared" si="386"/>
        <v>0</v>
      </c>
      <c r="W10988" s="66" t="str">
        <f>IFERROR(VLOOKUP($O10988,'Customer List'!$A$1:$J$488,10,FALSE),"")</f>
        <v/>
      </c>
    </row>
    <row r="10989" spans="18:23">
      <c r="R10989" s="97">
        <f t="shared" si="386"/>
        <v>0</v>
      </c>
      <c r="W10989" s="66" t="str">
        <f>IFERROR(VLOOKUP($O10989,'Customer List'!$A$1:$J$488,10,FALSE),"")</f>
        <v/>
      </c>
    </row>
    <row r="10990" spans="18:23">
      <c r="R10990" s="97">
        <f t="shared" si="386"/>
        <v>0</v>
      </c>
      <c r="W10990" s="66" t="str">
        <f>IFERROR(VLOOKUP($O10990,'Customer List'!$A$1:$J$488,10,FALSE),"")</f>
        <v/>
      </c>
    </row>
    <row r="10991" spans="18:23">
      <c r="R10991" s="97">
        <f t="shared" si="386"/>
        <v>0</v>
      </c>
      <c r="W10991" s="66" t="str">
        <f>IFERROR(VLOOKUP($O10991,'Customer List'!$A$1:$J$488,10,FALSE),"")</f>
        <v/>
      </c>
    </row>
    <row r="10992" spans="18:23">
      <c r="R10992" s="97">
        <f t="shared" si="386"/>
        <v>0</v>
      </c>
      <c r="W10992" s="66" t="str">
        <f>IFERROR(VLOOKUP($O10992,'Customer List'!$A$1:$J$488,10,FALSE),"")</f>
        <v/>
      </c>
    </row>
    <row r="10993" spans="18:23">
      <c r="R10993" s="97">
        <f t="shared" si="386"/>
        <v>0</v>
      </c>
      <c r="W10993" s="66" t="str">
        <f>IFERROR(VLOOKUP($O10993,'Customer List'!$A$1:$J$488,10,FALSE),"")</f>
        <v/>
      </c>
    </row>
    <row r="10994" spans="18:23">
      <c r="R10994" s="97">
        <f t="shared" si="386"/>
        <v>0</v>
      </c>
      <c r="W10994" s="66" t="str">
        <f>IFERROR(VLOOKUP($O10994,'Customer List'!$A$1:$J$488,10,FALSE),"")</f>
        <v/>
      </c>
    </row>
    <row r="10995" spans="18:23">
      <c r="R10995" s="97">
        <f t="shared" si="386"/>
        <v>0</v>
      </c>
      <c r="W10995" s="66" t="str">
        <f>IFERROR(VLOOKUP($O10995,'Customer List'!$A$1:$J$488,10,FALSE),"")</f>
        <v/>
      </c>
    </row>
    <row r="10996" spans="18:23">
      <c r="R10996" s="97">
        <f t="shared" si="386"/>
        <v>0</v>
      </c>
      <c r="W10996" s="66" t="str">
        <f>IFERROR(VLOOKUP($O10996,'Customer List'!$A$1:$J$488,10,FALSE),"")</f>
        <v/>
      </c>
    </row>
    <row r="10997" spans="18:23">
      <c r="R10997" s="97">
        <f t="shared" si="386"/>
        <v>0</v>
      </c>
      <c r="W10997" s="66" t="str">
        <f>IFERROR(VLOOKUP($O10997,'Customer List'!$A$1:$J$488,10,FALSE),"")</f>
        <v/>
      </c>
    </row>
    <row r="10998" spans="18:23">
      <c r="R10998" s="97">
        <f t="shared" si="386"/>
        <v>0</v>
      </c>
      <c r="W10998" s="66" t="str">
        <f>IFERROR(VLOOKUP($O10998,'Customer List'!$A$1:$J$488,10,FALSE),"")</f>
        <v/>
      </c>
    </row>
    <row r="10999" spans="18:23">
      <c r="R10999" s="97">
        <f t="shared" si="386"/>
        <v>0</v>
      </c>
      <c r="W10999" s="66" t="str">
        <f>IFERROR(VLOOKUP($O10999,'Customer List'!$A$1:$J$488,10,FALSE),"")</f>
        <v/>
      </c>
    </row>
    <row r="11000" spans="18:23">
      <c r="R11000" s="97">
        <f t="shared" si="386"/>
        <v>0</v>
      </c>
      <c r="W11000" s="66" t="str">
        <f>IFERROR(VLOOKUP($O11000,'Customer List'!$A$1:$J$488,10,FALSE),"")</f>
        <v/>
      </c>
    </row>
    <row r="11001" spans="18:23">
      <c r="R11001" s="97">
        <f t="shared" si="386"/>
        <v>0</v>
      </c>
      <c r="W11001" s="66" t="str">
        <f>IFERROR(VLOOKUP($O11001,'Customer List'!$A$1:$J$488,10,FALSE),"")</f>
        <v/>
      </c>
    </row>
    <row r="11002" spans="18:23">
      <c r="R11002" s="97">
        <f t="shared" si="386"/>
        <v>0</v>
      </c>
      <c r="W11002" s="66" t="str">
        <f>IFERROR(VLOOKUP($O11002,'Customer List'!$A$1:$J$488,10,FALSE),"")</f>
        <v/>
      </c>
    </row>
    <row r="11003" spans="18:23">
      <c r="R11003" s="97">
        <f t="shared" si="386"/>
        <v>0</v>
      </c>
      <c r="W11003" s="66" t="str">
        <f>IFERROR(VLOOKUP($O11003,'Customer List'!$A$1:$J$488,10,FALSE),"")</f>
        <v/>
      </c>
    </row>
    <row r="11004" spans="18:23">
      <c r="R11004" s="97">
        <f t="shared" si="386"/>
        <v>0</v>
      </c>
      <c r="W11004" s="66" t="str">
        <f>IFERROR(VLOOKUP($O11004,'Customer List'!$A$1:$J$488,10,FALSE),"")</f>
        <v/>
      </c>
    </row>
    <row r="11005" spans="18:23">
      <c r="R11005" s="97">
        <f t="shared" si="386"/>
        <v>0</v>
      </c>
      <c r="W11005" s="66" t="str">
        <f>IFERROR(VLOOKUP($O11005,'Customer List'!$A$1:$J$488,10,FALSE),"")</f>
        <v/>
      </c>
    </row>
    <row r="11006" spans="18:23">
      <c r="R11006" s="97">
        <f t="shared" si="386"/>
        <v>0</v>
      </c>
      <c r="W11006" s="66" t="str">
        <f>IFERROR(VLOOKUP($O11006,'Customer List'!$A$1:$J$488,10,FALSE),"")</f>
        <v/>
      </c>
    </row>
    <row r="11007" spans="18:23">
      <c r="R11007" s="97">
        <f t="shared" si="386"/>
        <v>0</v>
      </c>
      <c r="W11007" s="66" t="str">
        <f>IFERROR(VLOOKUP($O11007,'Customer List'!$A$1:$J$488,10,FALSE),"")</f>
        <v/>
      </c>
    </row>
    <row r="11008" spans="18:23">
      <c r="R11008" s="97">
        <f t="shared" si="386"/>
        <v>0</v>
      </c>
      <c r="W11008" s="66" t="str">
        <f>IFERROR(VLOOKUP($O11008,'Customer List'!$A$1:$J$488,10,FALSE),"")</f>
        <v/>
      </c>
    </row>
    <row r="11009" spans="18:23">
      <c r="R11009" s="97">
        <f t="shared" si="386"/>
        <v>0</v>
      </c>
      <c r="W11009" s="66" t="str">
        <f>IFERROR(VLOOKUP($O11009,'Customer List'!$A$1:$J$488,10,FALSE),"")</f>
        <v/>
      </c>
    </row>
    <row r="11010" spans="18:23">
      <c r="R11010" s="97">
        <f t="shared" si="386"/>
        <v>0</v>
      </c>
      <c r="W11010" s="66" t="str">
        <f>IFERROR(VLOOKUP($O11010,'Customer List'!$A$1:$J$488,10,FALSE),"")</f>
        <v/>
      </c>
    </row>
    <row r="11011" spans="18:23">
      <c r="R11011" s="97">
        <f t="shared" si="386"/>
        <v>0</v>
      </c>
      <c r="W11011" s="66" t="str">
        <f>IFERROR(VLOOKUP($O11011,'Customer List'!$A$1:$J$488,10,FALSE),"")</f>
        <v/>
      </c>
    </row>
    <row r="11012" spans="18:23">
      <c r="R11012" s="97">
        <f t="shared" si="386"/>
        <v>0</v>
      </c>
      <c r="W11012" s="66" t="str">
        <f>IFERROR(VLOOKUP($O11012,'Customer List'!$A$1:$J$488,10,FALSE),"")</f>
        <v/>
      </c>
    </row>
    <row r="11013" spans="18:23">
      <c r="R11013" s="97">
        <f t="shared" si="386"/>
        <v>0</v>
      </c>
      <c r="W11013" s="66" t="str">
        <f>IFERROR(VLOOKUP($O11013,'Customer List'!$A$1:$J$488,10,FALSE),"")</f>
        <v/>
      </c>
    </row>
    <row r="11014" spans="18:23">
      <c r="R11014" s="97">
        <f t="shared" si="386"/>
        <v>0</v>
      </c>
      <c r="W11014" s="66" t="str">
        <f>IFERROR(VLOOKUP($O11014,'Customer List'!$A$1:$J$488,10,FALSE),"")</f>
        <v/>
      </c>
    </row>
    <row r="11015" spans="18:23">
      <c r="R11015" s="97">
        <f t="shared" si="386"/>
        <v>0</v>
      </c>
      <c r="W11015" s="66" t="str">
        <f>IFERROR(VLOOKUP($O11015,'Customer List'!$A$1:$J$488,10,FALSE),"")</f>
        <v/>
      </c>
    </row>
    <row r="11016" spans="18:23">
      <c r="R11016" s="97">
        <f t="shared" si="386"/>
        <v>0</v>
      </c>
      <c r="W11016" s="66" t="str">
        <f>IFERROR(VLOOKUP($O11016,'Customer List'!$A$1:$J$488,10,FALSE),"")</f>
        <v/>
      </c>
    </row>
    <row r="11017" spans="18:23">
      <c r="R11017" s="97">
        <f t="shared" si="386"/>
        <v>0</v>
      </c>
      <c r="W11017" s="66" t="str">
        <f>IFERROR(VLOOKUP($O11017,'Customer List'!$A$1:$J$488,10,FALSE),"")</f>
        <v/>
      </c>
    </row>
    <row r="11018" spans="18:23">
      <c r="R11018" s="97">
        <f t="shared" si="386"/>
        <v>0</v>
      </c>
      <c r="W11018" s="66" t="str">
        <f>IFERROR(VLOOKUP($O11018,'Customer List'!$A$1:$J$488,10,FALSE),"")</f>
        <v/>
      </c>
    </row>
    <row r="11019" spans="18:23">
      <c r="R11019" s="97">
        <f t="shared" si="386"/>
        <v>0</v>
      </c>
      <c r="W11019" s="66" t="str">
        <f>IFERROR(VLOOKUP($O11019,'Customer List'!$A$1:$J$488,10,FALSE),"")</f>
        <v/>
      </c>
    </row>
    <row r="11020" spans="18:23">
      <c r="R11020" s="97">
        <f t="shared" si="386"/>
        <v>0</v>
      </c>
      <c r="W11020" s="66" t="str">
        <f>IFERROR(VLOOKUP($O11020,'Customer List'!$A$1:$J$488,10,FALSE),"")</f>
        <v/>
      </c>
    </row>
    <row r="11021" spans="18:23">
      <c r="R11021" s="97">
        <f t="shared" si="386"/>
        <v>0</v>
      </c>
      <c r="W11021" s="66" t="str">
        <f>IFERROR(VLOOKUP($O11021,'Customer List'!$A$1:$J$488,10,FALSE),"")</f>
        <v/>
      </c>
    </row>
    <row r="11022" spans="18:23">
      <c r="R11022" s="97">
        <f t="shared" si="386"/>
        <v>0</v>
      </c>
      <c r="W11022" s="66" t="str">
        <f>IFERROR(VLOOKUP($O11022,'Customer List'!$A$1:$J$488,10,FALSE),"")</f>
        <v/>
      </c>
    </row>
    <row r="11023" spans="18:23">
      <c r="R11023" s="97">
        <f t="shared" si="386"/>
        <v>0</v>
      </c>
      <c r="W11023" s="66" t="str">
        <f>IFERROR(VLOOKUP($O11023,'Customer List'!$A$1:$J$488,10,FALSE),"")</f>
        <v/>
      </c>
    </row>
    <row r="11024" spans="18:23">
      <c r="R11024" s="97">
        <f t="shared" si="386"/>
        <v>0</v>
      </c>
      <c r="W11024" s="66" t="str">
        <f>IFERROR(VLOOKUP($O11024,'Customer List'!$A$1:$J$488,10,FALSE),"")</f>
        <v/>
      </c>
    </row>
    <row r="11025" spans="18:23">
      <c r="R11025" s="97">
        <f t="shared" si="386"/>
        <v>0</v>
      </c>
      <c r="W11025" s="66" t="str">
        <f>IFERROR(VLOOKUP($O11025,'Customer List'!$A$1:$J$488,10,FALSE),"")</f>
        <v/>
      </c>
    </row>
    <row r="11026" spans="18:23">
      <c r="R11026" s="97">
        <f t="shared" si="386"/>
        <v>0</v>
      </c>
      <c r="W11026" s="66" t="str">
        <f>IFERROR(VLOOKUP($O11026,'Customer List'!$A$1:$J$488,10,FALSE),"")</f>
        <v/>
      </c>
    </row>
    <row r="11027" spans="18:23">
      <c r="R11027" s="97">
        <f t="shared" si="386"/>
        <v>0</v>
      </c>
      <c r="W11027" s="66" t="str">
        <f>IFERROR(VLOOKUP($O11027,'Customer List'!$A$1:$J$488,10,FALSE),"")</f>
        <v/>
      </c>
    </row>
    <row r="11028" spans="18:23">
      <c r="R11028" s="97">
        <f t="shared" si="386"/>
        <v>0</v>
      </c>
      <c r="W11028" s="66" t="str">
        <f>IFERROR(VLOOKUP($O11028,'Customer List'!$A$1:$J$488,10,FALSE),"")</f>
        <v/>
      </c>
    </row>
    <row r="11029" spans="18:23">
      <c r="R11029" s="97">
        <f t="shared" si="386"/>
        <v>0</v>
      </c>
      <c r="W11029" s="66" t="str">
        <f>IFERROR(VLOOKUP($O11029,'Customer List'!$A$1:$J$488,10,FALSE),"")</f>
        <v/>
      </c>
    </row>
    <row r="11030" spans="18:23">
      <c r="R11030" s="97">
        <f t="shared" si="386"/>
        <v>0</v>
      </c>
      <c r="W11030" s="66" t="str">
        <f>IFERROR(VLOOKUP($O11030,'Customer List'!$A$1:$J$488,10,FALSE),"")</f>
        <v/>
      </c>
    </row>
    <row r="11031" spans="18:23">
      <c r="R11031" s="97">
        <f t="shared" si="386"/>
        <v>0</v>
      </c>
      <c r="W11031" s="66" t="str">
        <f>IFERROR(VLOOKUP($O11031,'Customer List'!$A$1:$J$488,10,FALSE),"")</f>
        <v/>
      </c>
    </row>
    <row r="11032" spans="18:23">
      <c r="R11032" s="97">
        <f t="shared" si="386"/>
        <v>0</v>
      </c>
      <c r="W11032" s="66" t="str">
        <f>IFERROR(VLOOKUP($O11032,'Customer List'!$A$1:$J$488,10,FALSE),"")</f>
        <v/>
      </c>
    </row>
    <row r="11033" spans="18:23">
      <c r="R11033" s="97">
        <f t="shared" si="386"/>
        <v>0</v>
      </c>
      <c r="W11033" s="66" t="str">
        <f>IFERROR(VLOOKUP($O11033,'Customer List'!$A$1:$J$488,10,FALSE),"")</f>
        <v/>
      </c>
    </row>
    <row r="11034" spans="18:23">
      <c r="R11034" s="97">
        <f t="shared" si="386"/>
        <v>0</v>
      </c>
      <c r="W11034" s="66" t="str">
        <f>IFERROR(VLOOKUP($O11034,'Customer List'!$A$1:$J$488,10,FALSE),"")</f>
        <v/>
      </c>
    </row>
    <row r="11035" spans="18:23">
      <c r="R11035" s="97">
        <f t="shared" si="386"/>
        <v>0</v>
      </c>
      <c r="W11035" s="66" t="str">
        <f>IFERROR(VLOOKUP($O11035,'Customer List'!$A$1:$J$488,10,FALSE),"")</f>
        <v/>
      </c>
    </row>
    <row r="11036" spans="18:23">
      <c r="R11036" s="97">
        <f t="shared" si="386"/>
        <v>0</v>
      </c>
      <c r="W11036" s="66" t="str">
        <f>IFERROR(VLOOKUP($O11036,'Customer List'!$A$1:$J$488,10,FALSE),"")</f>
        <v/>
      </c>
    </row>
    <row r="11037" spans="18:23">
      <c r="R11037" s="97">
        <f t="shared" si="386"/>
        <v>0</v>
      </c>
      <c r="W11037" s="66" t="str">
        <f>IFERROR(VLOOKUP($O11037,'Customer List'!$A$1:$J$488,10,FALSE),"")</f>
        <v/>
      </c>
    </row>
    <row r="11038" spans="18:23">
      <c r="R11038" s="97">
        <f t="shared" si="386"/>
        <v>0</v>
      </c>
      <c r="W11038" s="66" t="str">
        <f>IFERROR(VLOOKUP($O11038,'Customer List'!$A$1:$J$488,10,FALSE),"")</f>
        <v/>
      </c>
    </row>
    <row r="11039" spans="18:23">
      <c r="R11039" s="97">
        <f t="shared" si="386"/>
        <v>0</v>
      </c>
      <c r="W11039" s="66" t="str">
        <f>IFERROR(VLOOKUP($O11039,'Customer List'!$A$1:$J$488,10,FALSE),"")</f>
        <v/>
      </c>
    </row>
    <row r="11040" spans="18:23">
      <c r="R11040" s="97">
        <f t="shared" si="386"/>
        <v>0</v>
      </c>
      <c r="W11040" s="66" t="str">
        <f>IFERROR(VLOOKUP($O11040,'Customer List'!$A$1:$J$488,10,FALSE),"")</f>
        <v/>
      </c>
    </row>
    <row r="11041" spans="18:23">
      <c r="R11041" s="97">
        <f t="shared" si="386"/>
        <v>0</v>
      </c>
      <c r="W11041" s="66" t="str">
        <f>IFERROR(VLOOKUP($O11041,'Customer List'!$A$1:$J$488,10,FALSE),"")</f>
        <v/>
      </c>
    </row>
    <row r="11042" spans="18:23">
      <c r="R11042" s="97">
        <f t="shared" si="386"/>
        <v>0</v>
      </c>
      <c r="W11042" s="66" t="str">
        <f>IFERROR(VLOOKUP($O11042,'Customer List'!$A$1:$J$488,10,FALSE),"")</f>
        <v/>
      </c>
    </row>
    <row r="11043" spans="18:23">
      <c r="R11043" s="97">
        <f t="shared" si="386"/>
        <v>0</v>
      </c>
      <c r="W11043" s="66" t="str">
        <f>IFERROR(VLOOKUP($O11043,'Customer List'!$A$1:$J$488,10,FALSE),"")</f>
        <v/>
      </c>
    </row>
    <row r="11044" spans="18:23">
      <c r="R11044" s="97">
        <f t="shared" si="386"/>
        <v>0</v>
      </c>
      <c r="W11044" s="66" t="str">
        <f>IFERROR(VLOOKUP($O11044,'Customer List'!$A$1:$J$488,10,FALSE),"")</f>
        <v/>
      </c>
    </row>
    <row r="11045" spans="18:23">
      <c r="R11045" s="97">
        <f t="shared" si="386"/>
        <v>0</v>
      </c>
      <c r="W11045" s="66" t="str">
        <f>IFERROR(VLOOKUP($O11045,'Customer List'!$A$1:$J$488,10,FALSE),"")</f>
        <v/>
      </c>
    </row>
    <row r="11046" spans="18:23">
      <c r="R11046" s="97">
        <f t="shared" si="386"/>
        <v>0</v>
      </c>
      <c r="W11046" s="66" t="str">
        <f>IFERROR(VLOOKUP($O11046,'Customer List'!$A$1:$J$488,10,FALSE),"")</f>
        <v/>
      </c>
    </row>
    <row r="11047" spans="18:23">
      <c r="R11047" s="97">
        <f t="shared" si="386"/>
        <v>0</v>
      </c>
      <c r="W11047" s="66" t="str">
        <f>IFERROR(VLOOKUP($O11047,'Customer List'!$A$1:$J$488,10,FALSE),"")</f>
        <v/>
      </c>
    </row>
    <row r="11048" spans="18:23">
      <c r="R11048" s="97">
        <f t="shared" ref="R11048:R11111" si="387">L11048-K11048</f>
        <v>0</v>
      </c>
      <c r="W11048" s="66" t="str">
        <f>IFERROR(VLOOKUP($O11048,'Customer List'!$A$1:$J$488,10,FALSE),"")</f>
        <v/>
      </c>
    </row>
    <row r="11049" spans="18:23">
      <c r="R11049" s="97">
        <f t="shared" si="387"/>
        <v>0</v>
      </c>
      <c r="W11049" s="66" t="str">
        <f>IFERROR(VLOOKUP($O11049,'Customer List'!$A$1:$J$488,10,FALSE),"")</f>
        <v/>
      </c>
    </row>
    <row r="11050" spans="18:23">
      <c r="R11050" s="97">
        <f t="shared" si="387"/>
        <v>0</v>
      </c>
      <c r="W11050" s="66" t="str">
        <f>IFERROR(VLOOKUP($O11050,'Customer List'!$A$1:$J$488,10,FALSE),"")</f>
        <v/>
      </c>
    </row>
    <row r="11051" spans="18:23">
      <c r="R11051" s="97">
        <f t="shared" si="387"/>
        <v>0</v>
      </c>
      <c r="W11051" s="66" t="str">
        <f>IFERROR(VLOOKUP($O11051,'Customer List'!$A$1:$J$488,10,FALSE),"")</f>
        <v/>
      </c>
    </row>
    <row r="11052" spans="18:23">
      <c r="R11052" s="97">
        <f t="shared" si="387"/>
        <v>0</v>
      </c>
      <c r="W11052" s="66" t="str">
        <f>IFERROR(VLOOKUP($O11052,'Customer List'!$A$1:$J$488,10,FALSE),"")</f>
        <v/>
      </c>
    </row>
    <row r="11053" spans="18:23">
      <c r="R11053" s="97">
        <f t="shared" si="387"/>
        <v>0</v>
      </c>
      <c r="W11053" s="66" t="str">
        <f>IFERROR(VLOOKUP($O11053,'Customer List'!$A$1:$J$488,10,FALSE),"")</f>
        <v/>
      </c>
    </row>
    <row r="11054" spans="18:23">
      <c r="R11054" s="97">
        <f t="shared" si="387"/>
        <v>0</v>
      </c>
      <c r="W11054" s="66" t="str">
        <f>IFERROR(VLOOKUP($O11054,'Customer List'!$A$1:$J$488,10,FALSE),"")</f>
        <v/>
      </c>
    </row>
    <row r="11055" spans="18:23">
      <c r="R11055" s="97">
        <f t="shared" si="387"/>
        <v>0</v>
      </c>
      <c r="W11055" s="66" t="str">
        <f>IFERROR(VLOOKUP($O11055,'Customer List'!$A$1:$J$488,10,FALSE),"")</f>
        <v/>
      </c>
    </row>
    <row r="11056" spans="18:23">
      <c r="R11056" s="97">
        <f t="shared" si="387"/>
        <v>0</v>
      </c>
      <c r="W11056" s="66" t="str">
        <f>IFERROR(VLOOKUP($O11056,'Customer List'!$A$1:$J$488,10,FALSE),"")</f>
        <v/>
      </c>
    </row>
    <row r="11057" spans="18:23">
      <c r="R11057" s="97">
        <f t="shared" si="387"/>
        <v>0</v>
      </c>
      <c r="W11057" s="66" t="str">
        <f>IFERROR(VLOOKUP($O11057,'Customer List'!$A$1:$J$488,10,FALSE),"")</f>
        <v/>
      </c>
    </row>
    <row r="11058" spans="18:23">
      <c r="R11058" s="97">
        <f t="shared" si="387"/>
        <v>0</v>
      </c>
      <c r="W11058" s="66" t="str">
        <f>IFERROR(VLOOKUP($O11058,'Customer List'!$A$1:$J$488,10,FALSE),"")</f>
        <v/>
      </c>
    </row>
    <row r="11059" spans="18:23">
      <c r="R11059" s="97">
        <f t="shared" si="387"/>
        <v>0</v>
      </c>
      <c r="W11059" s="66" t="str">
        <f>IFERROR(VLOOKUP($O11059,'Customer List'!$A$1:$J$488,10,FALSE),"")</f>
        <v/>
      </c>
    </row>
    <row r="11060" spans="18:23">
      <c r="R11060" s="97">
        <f t="shared" si="387"/>
        <v>0</v>
      </c>
      <c r="W11060" s="66" t="str">
        <f>IFERROR(VLOOKUP($O11060,'Customer List'!$A$1:$J$488,10,FALSE),"")</f>
        <v/>
      </c>
    </row>
    <row r="11061" spans="18:23">
      <c r="R11061" s="97">
        <f t="shared" si="387"/>
        <v>0</v>
      </c>
      <c r="W11061" s="66" t="str">
        <f>IFERROR(VLOOKUP($O11061,'Customer List'!$A$1:$J$488,10,FALSE),"")</f>
        <v/>
      </c>
    </row>
    <row r="11062" spans="18:23">
      <c r="R11062" s="97">
        <f t="shared" si="387"/>
        <v>0</v>
      </c>
      <c r="W11062" s="66" t="str">
        <f>IFERROR(VLOOKUP($O11062,'Customer List'!$A$1:$J$488,10,FALSE),"")</f>
        <v/>
      </c>
    </row>
    <row r="11063" spans="18:23">
      <c r="R11063" s="97">
        <f t="shared" si="387"/>
        <v>0</v>
      </c>
      <c r="W11063" s="66" t="str">
        <f>IFERROR(VLOOKUP($O11063,'Customer List'!$A$1:$J$488,10,FALSE),"")</f>
        <v/>
      </c>
    </row>
    <row r="11064" spans="18:23">
      <c r="R11064" s="97">
        <f t="shared" si="387"/>
        <v>0</v>
      </c>
      <c r="W11064" s="66" t="str">
        <f>IFERROR(VLOOKUP($O11064,'Customer List'!$A$1:$J$488,10,FALSE),"")</f>
        <v/>
      </c>
    </row>
    <row r="11065" spans="18:23">
      <c r="R11065" s="97">
        <f t="shared" si="387"/>
        <v>0</v>
      </c>
      <c r="W11065" s="66" t="str">
        <f>IFERROR(VLOOKUP($O11065,'Customer List'!$A$1:$J$488,10,FALSE),"")</f>
        <v/>
      </c>
    </row>
    <row r="11066" spans="18:23">
      <c r="R11066" s="97">
        <f t="shared" si="387"/>
        <v>0</v>
      </c>
      <c r="W11066" s="66" t="str">
        <f>IFERROR(VLOOKUP($O11066,'Customer List'!$A$1:$J$488,10,FALSE),"")</f>
        <v/>
      </c>
    </row>
    <row r="11067" spans="18:23">
      <c r="R11067" s="97">
        <f t="shared" si="387"/>
        <v>0</v>
      </c>
      <c r="W11067" s="66" t="str">
        <f>IFERROR(VLOOKUP($O11067,'Customer List'!$A$1:$J$488,10,FALSE),"")</f>
        <v/>
      </c>
    </row>
    <row r="11068" spans="18:23">
      <c r="R11068" s="97">
        <f t="shared" si="387"/>
        <v>0</v>
      </c>
      <c r="W11068" s="66" t="str">
        <f>IFERROR(VLOOKUP($O11068,'Customer List'!$A$1:$J$488,10,FALSE),"")</f>
        <v/>
      </c>
    </row>
    <row r="11069" spans="18:23">
      <c r="R11069" s="97">
        <f t="shared" si="387"/>
        <v>0</v>
      </c>
      <c r="W11069" s="66" t="str">
        <f>IFERROR(VLOOKUP($O11069,'Customer List'!$A$1:$J$488,10,FALSE),"")</f>
        <v/>
      </c>
    </row>
    <row r="11070" spans="18:23">
      <c r="R11070" s="97">
        <f t="shared" si="387"/>
        <v>0</v>
      </c>
      <c r="W11070" s="66" t="str">
        <f>IFERROR(VLOOKUP($O11070,'Customer List'!$A$1:$J$488,10,FALSE),"")</f>
        <v/>
      </c>
    </row>
    <row r="11071" spans="18:23">
      <c r="R11071" s="97">
        <f t="shared" si="387"/>
        <v>0</v>
      </c>
      <c r="W11071" s="66" t="str">
        <f>IFERROR(VLOOKUP($O11071,'Customer List'!$A$1:$J$488,10,FALSE),"")</f>
        <v/>
      </c>
    </row>
    <row r="11072" spans="18:23">
      <c r="R11072" s="97">
        <f t="shared" si="387"/>
        <v>0</v>
      </c>
      <c r="W11072" s="66" t="str">
        <f>IFERROR(VLOOKUP($O11072,'Customer List'!$A$1:$J$488,10,FALSE),"")</f>
        <v/>
      </c>
    </row>
    <row r="11073" spans="18:23">
      <c r="R11073" s="97">
        <f t="shared" si="387"/>
        <v>0</v>
      </c>
      <c r="W11073" s="66" t="str">
        <f>IFERROR(VLOOKUP($O11073,'Customer List'!$A$1:$J$488,10,FALSE),"")</f>
        <v/>
      </c>
    </row>
    <row r="11074" spans="18:23">
      <c r="R11074" s="97">
        <f t="shared" si="387"/>
        <v>0</v>
      </c>
      <c r="W11074" s="66" t="str">
        <f>IFERROR(VLOOKUP($O11074,'Customer List'!$A$1:$J$488,10,FALSE),"")</f>
        <v/>
      </c>
    </row>
    <row r="11075" spans="18:23">
      <c r="R11075" s="97">
        <f t="shared" si="387"/>
        <v>0</v>
      </c>
      <c r="W11075" s="66" t="str">
        <f>IFERROR(VLOOKUP($O11075,'Customer List'!$A$1:$J$488,10,FALSE),"")</f>
        <v/>
      </c>
    </row>
    <row r="11076" spans="18:23">
      <c r="R11076" s="97">
        <f t="shared" si="387"/>
        <v>0</v>
      </c>
      <c r="W11076" s="66" t="str">
        <f>IFERROR(VLOOKUP($O11076,'Customer List'!$A$1:$J$488,10,FALSE),"")</f>
        <v/>
      </c>
    </row>
    <row r="11077" spans="18:23">
      <c r="R11077" s="97">
        <f t="shared" si="387"/>
        <v>0</v>
      </c>
      <c r="W11077" s="66" t="str">
        <f>IFERROR(VLOOKUP($O11077,'Customer List'!$A$1:$J$488,10,FALSE),"")</f>
        <v/>
      </c>
    </row>
    <row r="11078" spans="18:23">
      <c r="R11078" s="97">
        <f t="shared" si="387"/>
        <v>0</v>
      </c>
      <c r="W11078" s="66" t="str">
        <f>IFERROR(VLOOKUP($O11078,'Customer List'!$A$1:$J$488,10,FALSE),"")</f>
        <v/>
      </c>
    </row>
    <row r="11079" spans="18:23">
      <c r="R11079" s="97">
        <f t="shared" si="387"/>
        <v>0</v>
      </c>
      <c r="W11079" s="66" t="str">
        <f>IFERROR(VLOOKUP($O11079,'Customer List'!$A$1:$J$488,10,FALSE),"")</f>
        <v/>
      </c>
    </row>
    <row r="11080" spans="18:23">
      <c r="R11080" s="97">
        <f t="shared" si="387"/>
        <v>0</v>
      </c>
      <c r="W11080" s="66" t="str">
        <f>IFERROR(VLOOKUP($O11080,'Customer List'!$A$1:$J$488,10,FALSE),"")</f>
        <v/>
      </c>
    </row>
    <row r="11081" spans="18:23">
      <c r="R11081" s="97">
        <f t="shared" si="387"/>
        <v>0</v>
      </c>
      <c r="W11081" s="66" t="str">
        <f>IFERROR(VLOOKUP($O11081,'Customer List'!$A$1:$J$488,10,FALSE),"")</f>
        <v/>
      </c>
    </row>
    <row r="11082" spans="18:23">
      <c r="R11082" s="97">
        <f t="shared" si="387"/>
        <v>0</v>
      </c>
      <c r="W11082" s="66" t="str">
        <f>IFERROR(VLOOKUP($O11082,'Customer List'!$A$1:$J$488,10,FALSE),"")</f>
        <v/>
      </c>
    </row>
    <row r="11083" spans="18:23">
      <c r="R11083" s="97">
        <f t="shared" si="387"/>
        <v>0</v>
      </c>
      <c r="W11083" s="66" t="str">
        <f>IFERROR(VLOOKUP($O11083,'Customer List'!$A$1:$J$488,10,FALSE),"")</f>
        <v/>
      </c>
    </row>
    <row r="11084" spans="18:23">
      <c r="R11084" s="97">
        <f t="shared" si="387"/>
        <v>0</v>
      </c>
      <c r="W11084" s="66" t="str">
        <f>IFERROR(VLOOKUP($O11084,'Customer List'!$A$1:$J$488,10,FALSE),"")</f>
        <v/>
      </c>
    </row>
    <row r="11085" spans="18:23">
      <c r="R11085" s="97">
        <f t="shared" si="387"/>
        <v>0</v>
      </c>
      <c r="W11085" s="66" t="str">
        <f>IFERROR(VLOOKUP($O11085,'Customer List'!$A$1:$J$488,10,FALSE),"")</f>
        <v/>
      </c>
    </row>
    <row r="11086" spans="18:23">
      <c r="R11086" s="97">
        <f t="shared" si="387"/>
        <v>0</v>
      </c>
      <c r="W11086" s="66" t="str">
        <f>IFERROR(VLOOKUP($O11086,'Customer List'!$A$1:$J$488,10,FALSE),"")</f>
        <v/>
      </c>
    </row>
    <row r="11087" spans="18:23">
      <c r="R11087" s="97">
        <f t="shared" si="387"/>
        <v>0</v>
      </c>
      <c r="W11087" s="66" t="str">
        <f>IFERROR(VLOOKUP($O11087,'Customer List'!$A$1:$J$488,10,FALSE),"")</f>
        <v/>
      </c>
    </row>
    <row r="11088" spans="18:23">
      <c r="R11088" s="97">
        <f t="shared" si="387"/>
        <v>0</v>
      </c>
      <c r="W11088" s="66" t="str">
        <f>IFERROR(VLOOKUP($O11088,'Customer List'!$A$1:$J$488,10,FALSE),"")</f>
        <v/>
      </c>
    </row>
    <row r="11089" spans="18:23">
      <c r="R11089" s="97">
        <f t="shared" si="387"/>
        <v>0</v>
      </c>
      <c r="W11089" s="66" t="str">
        <f>IFERROR(VLOOKUP($O11089,'Customer List'!$A$1:$J$488,10,FALSE),"")</f>
        <v/>
      </c>
    </row>
    <row r="11090" spans="18:23">
      <c r="R11090" s="97">
        <f t="shared" si="387"/>
        <v>0</v>
      </c>
      <c r="W11090" s="66" t="str">
        <f>IFERROR(VLOOKUP($O11090,'Customer List'!$A$1:$J$488,10,FALSE),"")</f>
        <v/>
      </c>
    </row>
    <row r="11091" spans="18:23">
      <c r="R11091" s="97">
        <f t="shared" si="387"/>
        <v>0</v>
      </c>
      <c r="W11091" s="66" t="str">
        <f>IFERROR(VLOOKUP($O11091,'Customer List'!$A$1:$J$488,10,FALSE),"")</f>
        <v/>
      </c>
    </row>
    <row r="11092" spans="18:23">
      <c r="R11092" s="97">
        <f t="shared" si="387"/>
        <v>0</v>
      </c>
      <c r="W11092" s="66" t="str">
        <f>IFERROR(VLOOKUP($O11092,'Customer List'!$A$1:$J$488,10,FALSE),"")</f>
        <v/>
      </c>
    </row>
    <row r="11093" spans="18:23">
      <c r="R11093" s="97">
        <f t="shared" si="387"/>
        <v>0</v>
      </c>
      <c r="W11093" s="66" t="str">
        <f>IFERROR(VLOOKUP($O11093,'Customer List'!$A$1:$J$488,10,FALSE),"")</f>
        <v/>
      </c>
    </row>
    <row r="11094" spans="18:23">
      <c r="R11094" s="97">
        <f t="shared" si="387"/>
        <v>0</v>
      </c>
      <c r="W11094" s="66" t="str">
        <f>IFERROR(VLOOKUP($O11094,'Customer List'!$A$1:$J$488,10,FALSE),"")</f>
        <v/>
      </c>
    </row>
    <row r="11095" spans="18:23">
      <c r="R11095" s="97">
        <f t="shared" si="387"/>
        <v>0</v>
      </c>
      <c r="W11095" s="66" t="str">
        <f>IFERROR(VLOOKUP($O11095,'Customer List'!$A$1:$J$488,10,FALSE),"")</f>
        <v/>
      </c>
    </row>
    <row r="11096" spans="18:23">
      <c r="R11096" s="97">
        <f t="shared" si="387"/>
        <v>0</v>
      </c>
      <c r="W11096" s="66" t="str">
        <f>IFERROR(VLOOKUP($O11096,'Customer List'!$A$1:$J$488,10,FALSE),"")</f>
        <v/>
      </c>
    </row>
    <row r="11097" spans="18:23">
      <c r="R11097" s="97">
        <f t="shared" si="387"/>
        <v>0</v>
      </c>
      <c r="W11097" s="66" t="str">
        <f>IFERROR(VLOOKUP($O11097,'Customer List'!$A$1:$J$488,10,FALSE),"")</f>
        <v/>
      </c>
    </row>
    <row r="11098" spans="18:23">
      <c r="R11098" s="97">
        <f t="shared" si="387"/>
        <v>0</v>
      </c>
      <c r="W11098" s="66" t="str">
        <f>IFERROR(VLOOKUP($O11098,'Customer List'!$A$1:$J$488,10,FALSE),"")</f>
        <v/>
      </c>
    </row>
    <row r="11099" spans="18:23">
      <c r="R11099" s="97">
        <f t="shared" si="387"/>
        <v>0</v>
      </c>
      <c r="W11099" s="66" t="str">
        <f>IFERROR(VLOOKUP($O11099,'Customer List'!$A$1:$J$488,10,FALSE),"")</f>
        <v/>
      </c>
    </row>
    <row r="11100" spans="18:23">
      <c r="R11100" s="97">
        <f t="shared" si="387"/>
        <v>0</v>
      </c>
      <c r="W11100" s="66" t="str">
        <f>IFERROR(VLOOKUP($O11100,'Customer List'!$A$1:$J$488,10,FALSE),"")</f>
        <v/>
      </c>
    </row>
    <row r="11101" spans="18:23">
      <c r="R11101" s="97">
        <f t="shared" si="387"/>
        <v>0</v>
      </c>
      <c r="W11101" s="66" t="str">
        <f>IFERROR(VLOOKUP($O11101,'Customer List'!$A$1:$J$488,10,FALSE),"")</f>
        <v/>
      </c>
    </row>
    <row r="11102" spans="18:23">
      <c r="R11102" s="97">
        <f t="shared" si="387"/>
        <v>0</v>
      </c>
      <c r="W11102" s="66" t="str">
        <f>IFERROR(VLOOKUP($O11102,'Customer List'!$A$1:$J$488,10,FALSE),"")</f>
        <v/>
      </c>
    </row>
    <row r="11103" spans="18:23">
      <c r="R11103" s="97">
        <f t="shared" si="387"/>
        <v>0</v>
      </c>
      <c r="W11103" s="66" t="str">
        <f>IFERROR(VLOOKUP($O11103,'Customer List'!$A$1:$J$488,10,FALSE),"")</f>
        <v/>
      </c>
    </row>
    <row r="11104" spans="18:23">
      <c r="R11104" s="97">
        <f t="shared" si="387"/>
        <v>0</v>
      </c>
      <c r="W11104" s="66" t="str">
        <f>IFERROR(VLOOKUP($O11104,'Customer List'!$A$1:$J$488,10,FALSE),"")</f>
        <v/>
      </c>
    </row>
    <row r="11105" spans="18:23">
      <c r="R11105" s="97">
        <f t="shared" si="387"/>
        <v>0</v>
      </c>
      <c r="W11105" s="66" t="str">
        <f>IFERROR(VLOOKUP($O11105,'Customer List'!$A$1:$J$488,10,FALSE),"")</f>
        <v/>
      </c>
    </row>
    <row r="11106" spans="18:23">
      <c r="R11106" s="97">
        <f t="shared" si="387"/>
        <v>0</v>
      </c>
      <c r="W11106" s="66" t="str">
        <f>IFERROR(VLOOKUP($O11106,'Customer List'!$A$1:$J$488,10,FALSE),"")</f>
        <v/>
      </c>
    </row>
    <row r="11107" spans="18:23">
      <c r="R11107" s="97">
        <f t="shared" si="387"/>
        <v>0</v>
      </c>
      <c r="W11107" s="66" t="str">
        <f>IFERROR(VLOOKUP($O11107,'Customer List'!$A$1:$J$488,10,FALSE),"")</f>
        <v/>
      </c>
    </row>
    <row r="11108" spans="18:23">
      <c r="R11108" s="97">
        <f t="shared" si="387"/>
        <v>0</v>
      </c>
      <c r="W11108" s="66" t="str">
        <f>IFERROR(VLOOKUP($O11108,'Customer List'!$A$1:$J$488,10,FALSE),"")</f>
        <v/>
      </c>
    </row>
    <row r="11109" spans="18:23">
      <c r="R11109" s="97">
        <f t="shared" si="387"/>
        <v>0</v>
      </c>
      <c r="W11109" s="66" t="str">
        <f>IFERROR(VLOOKUP($O11109,'Customer List'!$A$1:$J$488,10,FALSE),"")</f>
        <v/>
      </c>
    </row>
    <row r="11110" spans="18:23">
      <c r="R11110" s="97">
        <f t="shared" si="387"/>
        <v>0</v>
      </c>
      <c r="W11110" s="66" t="str">
        <f>IFERROR(VLOOKUP($O11110,'Customer List'!$A$1:$J$488,10,FALSE),"")</f>
        <v/>
      </c>
    </row>
    <row r="11111" spans="18:23">
      <c r="R11111" s="97">
        <f t="shared" si="387"/>
        <v>0</v>
      </c>
      <c r="W11111" s="66" t="str">
        <f>IFERROR(VLOOKUP($O11111,'Customer List'!$A$1:$J$488,10,FALSE),"")</f>
        <v/>
      </c>
    </row>
    <row r="11112" spans="18:23">
      <c r="R11112" s="97">
        <f t="shared" ref="R11112:R11175" si="388">L11112-K11112</f>
        <v>0</v>
      </c>
      <c r="W11112" s="66" t="str">
        <f>IFERROR(VLOOKUP($O11112,'Customer List'!$A$1:$J$488,10,FALSE),"")</f>
        <v/>
      </c>
    </row>
    <row r="11113" spans="18:23">
      <c r="R11113" s="97">
        <f t="shared" si="388"/>
        <v>0</v>
      </c>
      <c r="W11113" s="66" t="str">
        <f>IFERROR(VLOOKUP($O11113,'Customer List'!$A$1:$J$488,10,FALSE),"")</f>
        <v/>
      </c>
    </row>
    <row r="11114" spans="18:23">
      <c r="R11114" s="97">
        <f t="shared" si="388"/>
        <v>0</v>
      </c>
      <c r="W11114" s="66" t="str">
        <f>IFERROR(VLOOKUP($O11114,'Customer List'!$A$1:$J$488,10,FALSE),"")</f>
        <v/>
      </c>
    </row>
    <row r="11115" spans="18:23">
      <c r="R11115" s="97">
        <f t="shared" si="388"/>
        <v>0</v>
      </c>
      <c r="W11115" s="66" t="str">
        <f>IFERROR(VLOOKUP($O11115,'Customer List'!$A$1:$J$488,10,FALSE),"")</f>
        <v/>
      </c>
    </row>
    <row r="11116" spans="18:23">
      <c r="R11116" s="97">
        <f t="shared" si="388"/>
        <v>0</v>
      </c>
      <c r="W11116" s="66" t="str">
        <f>IFERROR(VLOOKUP($O11116,'Customer List'!$A$1:$J$488,10,FALSE),"")</f>
        <v/>
      </c>
    </row>
    <row r="11117" spans="18:23">
      <c r="R11117" s="97">
        <f t="shared" si="388"/>
        <v>0</v>
      </c>
      <c r="W11117" s="66" t="str">
        <f>IFERROR(VLOOKUP($O11117,'Customer List'!$A$1:$J$488,10,FALSE),"")</f>
        <v/>
      </c>
    </row>
    <row r="11118" spans="18:23">
      <c r="R11118" s="97">
        <f t="shared" si="388"/>
        <v>0</v>
      </c>
      <c r="W11118" s="66" t="str">
        <f>IFERROR(VLOOKUP($O11118,'Customer List'!$A$1:$J$488,10,FALSE),"")</f>
        <v/>
      </c>
    </row>
    <row r="11119" spans="18:23">
      <c r="R11119" s="97">
        <f t="shared" si="388"/>
        <v>0</v>
      </c>
      <c r="W11119" s="66" t="str">
        <f>IFERROR(VLOOKUP($O11119,'Customer List'!$A$1:$J$488,10,FALSE),"")</f>
        <v/>
      </c>
    </row>
    <row r="11120" spans="18:23">
      <c r="R11120" s="97">
        <f t="shared" si="388"/>
        <v>0</v>
      </c>
      <c r="W11120" s="66" t="str">
        <f>IFERROR(VLOOKUP($O11120,'Customer List'!$A$1:$J$488,10,FALSE),"")</f>
        <v/>
      </c>
    </row>
    <row r="11121" spans="18:23">
      <c r="R11121" s="97">
        <f t="shared" si="388"/>
        <v>0</v>
      </c>
      <c r="W11121" s="66" t="str">
        <f>IFERROR(VLOOKUP($O11121,'Customer List'!$A$1:$J$488,10,FALSE),"")</f>
        <v/>
      </c>
    </row>
    <row r="11122" spans="18:23">
      <c r="R11122" s="97">
        <f t="shared" si="388"/>
        <v>0</v>
      </c>
      <c r="W11122" s="66" t="str">
        <f>IFERROR(VLOOKUP($O11122,'Customer List'!$A$1:$J$488,10,FALSE),"")</f>
        <v/>
      </c>
    </row>
    <row r="11123" spans="18:23">
      <c r="R11123" s="97">
        <f t="shared" si="388"/>
        <v>0</v>
      </c>
      <c r="W11123" s="66" t="str">
        <f>IFERROR(VLOOKUP($O11123,'Customer List'!$A$1:$J$488,10,FALSE),"")</f>
        <v/>
      </c>
    </row>
    <row r="11124" spans="18:23">
      <c r="R11124" s="97">
        <f t="shared" si="388"/>
        <v>0</v>
      </c>
      <c r="W11124" s="66" t="str">
        <f>IFERROR(VLOOKUP($O11124,'Customer List'!$A$1:$J$488,10,FALSE),"")</f>
        <v/>
      </c>
    </row>
    <row r="11125" spans="18:23">
      <c r="R11125" s="97">
        <f t="shared" si="388"/>
        <v>0</v>
      </c>
      <c r="W11125" s="66" t="str">
        <f>IFERROR(VLOOKUP($O11125,'Customer List'!$A$1:$J$488,10,FALSE),"")</f>
        <v/>
      </c>
    </row>
    <row r="11126" spans="18:23">
      <c r="R11126" s="97">
        <f t="shared" si="388"/>
        <v>0</v>
      </c>
      <c r="W11126" s="66" t="str">
        <f>IFERROR(VLOOKUP($O11126,'Customer List'!$A$1:$J$488,10,FALSE),"")</f>
        <v/>
      </c>
    </row>
    <row r="11127" spans="18:23">
      <c r="R11127" s="97">
        <f t="shared" si="388"/>
        <v>0</v>
      </c>
      <c r="W11127" s="66" t="str">
        <f>IFERROR(VLOOKUP($O11127,'Customer List'!$A$1:$J$488,10,FALSE),"")</f>
        <v/>
      </c>
    </row>
    <row r="11128" spans="18:23">
      <c r="R11128" s="97">
        <f t="shared" si="388"/>
        <v>0</v>
      </c>
      <c r="W11128" s="66" t="str">
        <f>IFERROR(VLOOKUP($O11128,'Customer List'!$A$1:$J$488,10,FALSE),"")</f>
        <v/>
      </c>
    </row>
    <row r="11129" spans="18:23">
      <c r="R11129" s="97">
        <f t="shared" si="388"/>
        <v>0</v>
      </c>
      <c r="W11129" s="66" t="str">
        <f>IFERROR(VLOOKUP($O11129,'Customer List'!$A$1:$J$488,10,FALSE),"")</f>
        <v/>
      </c>
    </row>
    <row r="11130" spans="18:23">
      <c r="R11130" s="97">
        <f t="shared" si="388"/>
        <v>0</v>
      </c>
      <c r="W11130" s="66" t="str">
        <f>IFERROR(VLOOKUP($O11130,'Customer List'!$A$1:$J$488,10,FALSE),"")</f>
        <v/>
      </c>
    </row>
    <row r="11131" spans="18:23">
      <c r="R11131" s="97">
        <f t="shared" si="388"/>
        <v>0</v>
      </c>
      <c r="W11131" s="66" t="str">
        <f>IFERROR(VLOOKUP($O11131,'Customer List'!$A$1:$J$488,10,FALSE),"")</f>
        <v/>
      </c>
    </row>
    <row r="11132" spans="18:23">
      <c r="R11132" s="97">
        <f t="shared" si="388"/>
        <v>0</v>
      </c>
      <c r="W11132" s="66" t="str">
        <f>IFERROR(VLOOKUP($O11132,'Customer List'!$A$1:$J$488,10,FALSE),"")</f>
        <v/>
      </c>
    </row>
    <row r="11133" spans="18:23">
      <c r="R11133" s="97">
        <f t="shared" si="388"/>
        <v>0</v>
      </c>
      <c r="W11133" s="66" t="str">
        <f>IFERROR(VLOOKUP($O11133,'Customer List'!$A$1:$J$488,10,FALSE),"")</f>
        <v/>
      </c>
    </row>
    <row r="11134" spans="18:23">
      <c r="R11134" s="97">
        <f t="shared" si="388"/>
        <v>0</v>
      </c>
      <c r="W11134" s="66" t="str">
        <f>IFERROR(VLOOKUP($O11134,'Customer List'!$A$1:$J$488,10,FALSE),"")</f>
        <v/>
      </c>
    </row>
    <row r="11135" spans="18:23">
      <c r="R11135" s="97">
        <f t="shared" si="388"/>
        <v>0</v>
      </c>
      <c r="W11135" s="66" t="str">
        <f>IFERROR(VLOOKUP($O11135,'Customer List'!$A$1:$J$488,10,FALSE),"")</f>
        <v/>
      </c>
    </row>
    <row r="11136" spans="18:23">
      <c r="R11136" s="97">
        <f t="shared" si="388"/>
        <v>0</v>
      </c>
      <c r="W11136" s="66" t="str">
        <f>IFERROR(VLOOKUP($O11136,'Customer List'!$A$1:$J$488,10,FALSE),"")</f>
        <v/>
      </c>
    </row>
    <row r="11137" spans="18:23">
      <c r="R11137" s="97">
        <f t="shared" si="388"/>
        <v>0</v>
      </c>
      <c r="W11137" s="66" t="str">
        <f>IFERROR(VLOOKUP($O11137,'Customer List'!$A$1:$J$488,10,FALSE),"")</f>
        <v/>
      </c>
    </row>
    <row r="11138" spans="18:23">
      <c r="R11138" s="97">
        <f t="shared" si="388"/>
        <v>0</v>
      </c>
      <c r="W11138" s="66" t="str">
        <f>IFERROR(VLOOKUP($O11138,'Customer List'!$A$1:$J$488,10,FALSE),"")</f>
        <v/>
      </c>
    </row>
    <row r="11139" spans="18:23">
      <c r="R11139" s="97">
        <f t="shared" si="388"/>
        <v>0</v>
      </c>
      <c r="W11139" s="66" t="str">
        <f>IFERROR(VLOOKUP($O11139,'Customer List'!$A$1:$J$488,10,FALSE),"")</f>
        <v/>
      </c>
    </row>
    <row r="11140" spans="18:23">
      <c r="R11140" s="97">
        <f t="shared" si="388"/>
        <v>0</v>
      </c>
      <c r="W11140" s="66" t="str">
        <f>IFERROR(VLOOKUP($O11140,'Customer List'!$A$1:$J$488,10,FALSE),"")</f>
        <v/>
      </c>
    </row>
    <row r="11141" spans="18:23">
      <c r="R11141" s="97">
        <f t="shared" si="388"/>
        <v>0</v>
      </c>
      <c r="W11141" s="66" t="str">
        <f>IFERROR(VLOOKUP($O11141,'Customer List'!$A$1:$J$488,10,FALSE),"")</f>
        <v/>
      </c>
    </row>
    <row r="11142" spans="18:23">
      <c r="R11142" s="97">
        <f t="shared" si="388"/>
        <v>0</v>
      </c>
      <c r="W11142" s="66" t="str">
        <f>IFERROR(VLOOKUP($O11142,'Customer List'!$A$1:$J$488,10,FALSE),"")</f>
        <v/>
      </c>
    </row>
    <row r="11143" spans="18:23">
      <c r="R11143" s="97">
        <f t="shared" si="388"/>
        <v>0</v>
      </c>
      <c r="W11143" s="66" t="str">
        <f>IFERROR(VLOOKUP($O11143,'Customer List'!$A$1:$J$488,10,FALSE),"")</f>
        <v/>
      </c>
    </row>
    <row r="11144" spans="18:23">
      <c r="R11144" s="97">
        <f t="shared" si="388"/>
        <v>0</v>
      </c>
      <c r="W11144" s="66" t="str">
        <f>IFERROR(VLOOKUP($O11144,'Customer List'!$A$1:$J$488,10,FALSE),"")</f>
        <v/>
      </c>
    </row>
    <row r="11145" spans="18:23">
      <c r="R11145" s="97">
        <f t="shared" si="388"/>
        <v>0</v>
      </c>
      <c r="W11145" s="66" t="str">
        <f>IFERROR(VLOOKUP($O11145,'Customer List'!$A$1:$J$488,10,FALSE),"")</f>
        <v/>
      </c>
    </row>
    <row r="11146" spans="18:23">
      <c r="R11146" s="97">
        <f t="shared" si="388"/>
        <v>0</v>
      </c>
      <c r="W11146" s="66" t="str">
        <f>IFERROR(VLOOKUP($O11146,'Customer List'!$A$1:$J$488,10,FALSE),"")</f>
        <v/>
      </c>
    </row>
    <row r="11147" spans="18:23">
      <c r="R11147" s="97">
        <f t="shared" si="388"/>
        <v>0</v>
      </c>
      <c r="W11147" s="66" t="str">
        <f>IFERROR(VLOOKUP($O11147,'Customer List'!$A$1:$J$488,10,FALSE),"")</f>
        <v/>
      </c>
    </row>
    <row r="11148" spans="18:23">
      <c r="R11148" s="97">
        <f t="shared" si="388"/>
        <v>0</v>
      </c>
      <c r="W11148" s="66" t="str">
        <f>IFERROR(VLOOKUP($O11148,'Customer List'!$A$1:$J$488,10,FALSE),"")</f>
        <v/>
      </c>
    </row>
    <row r="11149" spans="18:23">
      <c r="R11149" s="97">
        <f t="shared" si="388"/>
        <v>0</v>
      </c>
      <c r="W11149" s="66" t="str">
        <f>IFERROR(VLOOKUP($O11149,'Customer List'!$A$1:$J$488,10,FALSE),"")</f>
        <v/>
      </c>
    </row>
    <row r="11150" spans="18:23">
      <c r="R11150" s="97">
        <f t="shared" si="388"/>
        <v>0</v>
      </c>
      <c r="W11150" s="66" t="str">
        <f>IFERROR(VLOOKUP($O11150,'Customer List'!$A$1:$J$488,10,FALSE),"")</f>
        <v/>
      </c>
    </row>
    <row r="11151" spans="18:23">
      <c r="R11151" s="97">
        <f t="shared" si="388"/>
        <v>0</v>
      </c>
      <c r="W11151" s="66" t="str">
        <f>IFERROR(VLOOKUP($O11151,'Customer List'!$A$1:$J$488,10,FALSE),"")</f>
        <v/>
      </c>
    </row>
    <row r="11152" spans="18:23">
      <c r="R11152" s="97">
        <f t="shared" si="388"/>
        <v>0</v>
      </c>
      <c r="W11152" s="66" t="str">
        <f>IFERROR(VLOOKUP($O11152,'Customer List'!$A$1:$J$488,10,FALSE),"")</f>
        <v/>
      </c>
    </row>
    <row r="11153" spans="18:23">
      <c r="R11153" s="97">
        <f t="shared" si="388"/>
        <v>0</v>
      </c>
      <c r="W11153" s="66" t="str">
        <f>IFERROR(VLOOKUP($O11153,'Customer List'!$A$1:$J$488,10,FALSE),"")</f>
        <v/>
      </c>
    </row>
    <row r="11154" spans="18:23">
      <c r="R11154" s="97">
        <f t="shared" si="388"/>
        <v>0</v>
      </c>
      <c r="W11154" s="66" t="str">
        <f>IFERROR(VLOOKUP($O11154,'Customer List'!$A$1:$J$488,10,FALSE),"")</f>
        <v/>
      </c>
    </row>
    <row r="11155" spans="18:23">
      <c r="R11155" s="97">
        <f t="shared" si="388"/>
        <v>0</v>
      </c>
      <c r="W11155" s="66" t="str">
        <f>IFERROR(VLOOKUP($O11155,'Customer List'!$A$1:$J$488,10,FALSE),"")</f>
        <v/>
      </c>
    </row>
    <row r="11156" spans="18:23">
      <c r="R11156" s="97">
        <f t="shared" si="388"/>
        <v>0</v>
      </c>
      <c r="W11156" s="66" t="str">
        <f>IFERROR(VLOOKUP($O11156,'Customer List'!$A$1:$J$488,10,FALSE),"")</f>
        <v/>
      </c>
    </row>
    <row r="11157" spans="18:23">
      <c r="R11157" s="97">
        <f t="shared" si="388"/>
        <v>0</v>
      </c>
      <c r="W11157" s="66" t="str">
        <f>IFERROR(VLOOKUP($O11157,'Customer List'!$A$1:$J$488,10,FALSE),"")</f>
        <v/>
      </c>
    </row>
    <row r="11158" spans="18:23">
      <c r="R11158" s="97">
        <f t="shared" si="388"/>
        <v>0</v>
      </c>
      <c r="W11158" s="66" t="str">
        <f>IFERROR(VLOOKUP($O11158,'Customer List'!$A$1:$J$488,10,FALSE),"")</f>
        <v/>
      </c>
    </row>
    <row r="11159" spans="18:23">
      <c r="R11159" s="97">
        <f t="shared" si="388"/>
        <v>0</v>
      </c>
      <c r="W11159" s="66" t="str">
        <f>IFERROR(VLOOKUP($O11159,'Customer List'!$A$1:$J$488,10,FALSE),"")</f>
        <v/>
      </c>
    </row>
    <row r="11160" spans="18:23">
      <c r="R11160" s="97">
        <f t="shared" si="388"/>
        <v>0</v>
      </c>
      <c r="W11160" s="66" t="str">
        <f>IFERROR(VLOOKUP($O11160,'Customer List'!$A$1:$J$488,10,FALSE),"")</f>
        <v/>
      </c>
    </row>
    <row r="11161" spans="18:23">
      <c r="R11161" s="97">
        <f t="shared" si="388"/>
        <v>0</v>
      </c>
      <c r="W11161" s="66" t="str">
        <f>IFERROR(VLOOKUP($O11161,'Customer List'!$A$1:$J$488,10,FALSE),"")</f>
        <v/>
      </c>
    </row>
    <row r="11162" spans="18:23">
      <c r="R11162" s="97">
        <f t="shared" si="388"/>
        <v>0</v>
      </c>
      <c r="W11162" s="66" t="str">
        <f>IFERROR(VLOOKUP($O11162,'Customer List'!$A$1:$J$488,10,FALSE),"")</f>
        <v/>
      </c>
    </row>
    <row r="11163" spans="18:23">
      <c r="R11163" s="97">
        <f t="shared" si="388"/>
        <v>0</v>
      </c>
      <c r="W11163" s="66" t="str">
        <f>IFERROR(VLOOKUP($O11163,'Customer List'!$A$1:$J$488,10,FALSE),"")</f>
        <v/>
      </c>
    </row>
    <row r="11164" spans="18:23">
      <c r="R11164" s="97">
        <f t="shared" si="388"/>
        <v>0</v>
      </c>
      <c r="W11164" s="66" t="str">
        <f>IFERROR(VLOOKUP($O11164,'Customer List'!$A$1:$J$488,10,FALSE),"")</f>
        <v/>
      </c>
    </row>
    <row r="11165" spans="18:23">
      <c r="R11165" s="97">
        <f t="shared" si="388"/>
        <v>0</v>
      </c>
      <c r="W11165" s="66" t="str">
        <f>IFERROR(VLOOKUP($O11165,'Customer List'!$A$1:$J$488,10,FALSE),"")</f>
        <v/>
      </c>
    </row>
    <row r="11166" spans="18:23">
      <c r="R11166" s="97">
        <f t="shared" si="388"/>
        <v>0</v>
      </c>
      <c r="W11166" s="66" t="str">
        <f>IFERROR(VLOOKUP($O11166,'Customer List'!$A$1:$J$488,10,FALSE),"")</f>
        <v/>
      </c>
    </row>
    <row r="11167" spans="18:23">
      <c r="R11167" s="97">
        <f t="shared" si="388"/>
        <v>0</v>
      </c>
      <c r="W11167" s="66" t="str">
        <f>IFERROR(VLOOKUP($O11167,'Customer List'!$A$1:$J$488,10,FALSE),"")</f>
        <v/>
      </c>
    </row>
    <row r="11168" spans="18:23">
      <c r="R11168" s="97">
        <f t="shared" si="388"/>
        <v>0</v>
      </c>
      <c r="W11168" s="66" t="str">
        <f>IFERROR(VLOOKUP($O11168,'Customer List'!$A$1:$J$488,10,FALSE),"")</f>
        <v/>
      </c>
    </row>
    <row r="11169" spans="18:23">
      <c r="R11169" s="97">
        <f t="shared" si="388"/>
        <v>0</v>
      </c>
      <c r="W11169" s="66" t="str">
        <f>IFERROR(VLOOKUP($O11169,'Customer List'!$A$1:$J$488,10,FALSE),"")</f>
        <v/>
      </c>
    </row>
    <row r="11170" spans="18:23">
      <c r="R11170" s="97">
        <f t="shared" si="388"/>
        <v>0</v>
      </c>
      <c r="W11170" s="66" t="str">
        <f>IFERROR(VLOOKUP($O11170,'Customer List'!$A$1:$J$488,10,FALSE),"")</f>
        <v/>
      </c>
    </row>
    <row r="11171" spans="18:23">
      <c r="R11171" s="97">
        <f t="shared" si="388"/>
        <v>0</v>
      </c>
      <c r="W11171" s="66" t="str">
        <f>IFERROR(VLOOKUP($O11171,'Customer List'!$A$1:$J$488,10,FALSE),"")</f>
        <v/>
      </c>
    </row>
    <row r="11172" spans="18:23">
      <c r="R11172" s="97">
        <f t="shared" si="388"/>
        <v>0</v>
      </c>
      <c r="W11172" s="66" t="str">
        <f>IFERROR(VLOOKUP($O11172,'Customer List'!$A$1:$J$488,10,FALSE),"")</f>
        <v/>
      </c>
    </row>
    <row r="11173" spans="18:23">
      <c r="R11173" s="97">
        <f t="shared" si="388"/>
        <v>0</v>
      </c>
      <c r="W11173" s="66" t="str">
        <f>IFERROR(VLOOKUP($O11173,'Customer List'!$A$1:$J$488,10,FALSE),"")</f>
        <v/>
      </c>
    </row>
    <row r="11174" spans="18:23">
      <c r="R11174" s="97">
        <f t="shared" si="388"/>
        <v>0</v>
      </c>
      <c r="W11174" s="66" t="str">
        <f>IFERROR(VLOOKUP($O11174,'Customer List'!$A$1:$J$488,10,FALSE),"")</f>
        <v/>
      </c>
    </row>
    <row r="11175" spans="18:23">
      <c r="R11175" s="97">
        <f t="shared" si="388"/>
        <v>0</v>
      </c>
      <c r="W11175" s="66" t="str">
        <f>IFERROR(VLOOKUP($O11175,'Customer List'!$A$1:$J$488,10,FALSE),"")</f>
        <v/>
      </c>
    </row>
    <row r="11176" spans="18:23">
      <c r="R11176" s="97">
        <f t="shared" ref="R11176:R11239" si="389">L11176-K11176</f>
        <v>0</v>
      </c>
      <c r="W11176" s="66" t="str">
        <f>IFERROR(VLOOKUP($O11176,'Customer List'!$A$1:$J$488,10,FALSE),"")</f>
        <v/>
      </c>
    </row>
    <row r="11177" spans="18:23">
      <c r="R11177" s="97">
        <f t="shared" si="389"/>
        <v>0</v>
      </c>
      <c r="W11177" s="66" t="str">
        <f>IFERROR(VLOOKUP($O11177,'Customer List'!$A$1:$J$488,10,FALSE),"")</f>
        <v/>
      </c>
    </row>
    <row r="11178" spans="18:23">
      <c r="R11178" s="97">
        <f t="shared" si="389"/>
        <v>0</v>
      </c>
      <c r="W11178" s="66" t="str">
        <f>IFERROR(VLOOKUP($O11178,'Customer List'!$A$1:$J$488,10,FALSE),"")</f>
        <v/>
      </c>
    </row>
    <row r="11179" spans="18:23">
      <c r="R11179" s="97">
        <f t="shared" si="389"/>
        <v>0</v>
      </c>
      <c r="W11179" s="66" t="str">
        <f>IFERROR(VLOOKUP($O11179,'Customer List'!$A$1:$J$488,10,FALSE),"")</f>
        <v/>
      </c>
    </row>
    <row r="11180" spans="18:23">
      <c r="R11180" s="97">
        <f t="shared" si="389"/>
        <v>0</v>
      </c>
      <c r="W11180" s="66" t="str">
        <f>IFERROR(VLOOKUP($O11180,'Customer List'!$A$1:$J$488,10,FALSE),"")</f>
        <v/>
      </c>
    </row>
    <row r="11181" spans="18:23">
      <c r="R11181" s="97">
        <f t="shared" si="389"/>
        <v>0</v>
      </c>
      <c r="W11181" s="66" t="str">
        <f>IFERROR(VLOOKUP($O11181,'Customer List'!$A$1:$J$488,10,FALSE),"")</f>
        <v/>
      </c>
    </row>
    <row r="11182" spans="18:23">
      <c r="R11182" s="97">
        <f t="shared" si="389"/>
        <v>0</v>
      </c>
      <c r="W11182" s="66" t="str">
        <f>IFERROR(VLOOKUP($O11182,'Customer List'!$A$1:$J$488,10,FALSE),"")</f>
        <v/>
      </c>
    </row>
    <row r="11183" spans="18:23">
      <c r="R11183" s="97">
        <f t="shared" si="389"/>
        <v>0</v>
      </c>
      <c r="W11183" s="66" t="str">
        <f>IFERROR(VLOOKUP($O11183,'Customer List'!$A$1:$J$488,10,FALSE),"")</f>
        <v/>
      </c>
    </row>
    <row r="11184" spans="18:23">
      <c r="R11184" s="97">
        <f t="shared" si="389"/>
        <v>0</v>
      </c>
      <c r="W11184" s="66" t="str">
        <f>IFERROR(VLOOKUP($O11184,'Customer List'!$A$1:$J$488,10,FALSE),"")</f>
        <v/>
      </c>
    </row>
    <row r="11185" spans="18:23">
      <c r="R11185" s="97">
        <f t="shared" si="389"/>
        <v>0</v>
      </c>
      <c r="W11185" s="66" t="str">
        <f>IFERROR(VLOOKUP($O11185,'Customer List'!$A$1:$J$488,10,FALSE),"")</f>
        <v/>
      </c>
    </row>
    <row r="11186" spans="18:23">
      <c r="R11186" s="97">
        <f t="shared" si="389"/>
        <v>0</v>
      </c>
      <c r="W11186" s="66" t="str">
        <f>IFERROR(VLOOKUP($O11186,'Customer List'!$A$1:$J$488,10,FALSE),"")</f>
        <v/>
      </c>
    </row>
    <row r="11187" spans="18:23">
      <c r="R11187" s="97">
        <f t="shared" si="389"/>
        <v>0</v>
      </c>
      <c r="W11187" s="66" t="str">
        <f>IFERROR(VLOOKUP($O11187,'Customer List'!$A$1:$J$488,10,FALSE),"")</f>
        <v/>
      </c>
    </row>
    <row r="11188" spans="18:23">
      <c r="R11188" s="97">
        <f t="shared" si="389"/>
        <v>0</v>
      </c>
      <c r="W11188" s="66" t="str">
        <f>IFERROR(VLOOKUP($O11188,'Customer List'!$A$1:$J$488,10,FALSE),"")</f>
        <v/>
      </c>
    </row>
    <row r="11189" spans="18:23">
      <c r="R11189" s="97">
        <f t="shared" si="389"/>
        <v>0</v>
      </c>
      <c r="W11189" s="66" t="str">
        <f>IFERROR(VLOOKUP($O11189,'Customer List'!$A$1:$J$488,10,FALSE),"")</f>
        <v/>
      </c>
    </row>
    <row r="11190" spans="18:23">
      <c r="R11190" s="97">
        <f t="shared" si="389"/>
        <v>0</v>
      </c>
      <c r="W11190" s="66" t="str">
        <f>IFERROR(VLOOKUP($O11190,'Customer List'!$A$1:$J$488,10,FALSE),"")</f>
        <v/>
      </c>
    </row>
    <row r="11191" spans="18:23">
      <c r="R11191" s="97">
        <f t="shared" si="389"/>
        <v>0</v>
      </c>
      <c r="W11191" s="66" t="str">
        <f>IFERROR(VLOOKUP($O11191,'Customer List'!$A$1:$J$488,10,FALSE),"")</f>
        <v/>
      </c>
    </row>
    <row r="11192" spans="18:23">
      <c r="R11192" s="97">
        <f t="shared" si="389"/>
        <v>0</v>
      </c>
      <c r="W11192" s="66" t="str">
        <f>IFERROR(VLOOKUP($O11192,'Customer List'!$A$1:$J$488,10,FALSE),"")</f>
        <v/>
      </c>
    </row>
    <row r="11193" spans="18:23">
      <c r="R11193" s="97">
        <f t="shared" si="389"/>
        <v>0</v>
      </c>
      <c r="W11193" s="66" t="str">
        <f>IFERROR(VLOOKUP($O11193,'Customer List'!$A$1:$J$488,10,FALSE),"")</f>
        <v/>
      </c>
    </row>
    <row r="11194" spans="18:23">
      <c r="R11194" s="97">
        <f t="shared" si="389"/>
        <v>0</v>
      </c>
      <c r="W11194" s="66" t="str">
        <f>IFERROR(VLOOKUP($O11194,'Customer List'!$A$1:$J$488,10,FALSE),"")</f>
        <v/>
      </c>
    </row>
    <row r="11195" spans="18:23">
      <c r="R11195" s="97">
        <f t="shared" si="389"/>
        <v>0</v>
      </c>
      <c r="W11195" s="66" t="str">
        <f>IFERROR(VLOOKUP($O11195,'Customer List'!$A$1:$J$488,10,FALSE),"")</f>
        <v/>
      </c>
    </row>
    <row r="11196" spans="18:23">
      <c r="R11196" s="97">
        <f t="shared" si="389"/>
        <v>0</v>
      </c>
      <c r="W11196" s="66" t="str">
        <f>IFERROR(VLOOKUP($O11196,'Customer List'!$A$1:$J$488,10,FALSE),"")</f>
        <v/>
      </c>
    </row>
    <row r="11197" spans="18:23">
      <c r="R11197" s="97">
        <f t="shared" si="389"/>
        <v>0</v>
      </c>
      <c r="W11197" s="66" t="str">
        <f>IFERROR(VLOOKUP($O11197,'Customer List'!$A$1:$J$488,10,FALSE),"")</f>
        <v/>
      </c>
    </row>
    <row r="11198" spans="18:23">
      <c r="R11198" s="97">
        <f t="shared" si="389"/>
        <v>0</v>
      </c>
      <c r="W11198" s="66" t="str">
        <f>IFERROR(VLOOKUP($O11198,'Customer List'!$A$1:$J$488,10,FALSE),"")</f>
        <v/>
      </c>
    </row>
    <row r="11199" spans="18:23">
      <c r="R11199" s="97">
        <f t="shared" si="389"/>
        <v>0</v>
      </c>
      <c r="W11199" s="66" t="str">
        <f>IFERROR(VLOOKUP($O11199,'Customer List'!$A$1:$J$488,10,FALSE),"")</f>
        <v/>
      </c>
    </row>
    <row r="11200" spans="18:23">
      <c r="R11200" s="97">
        <f t="shared" si="389"/>
        <v>0</v>
      </c>
      <c r="W11200" s="66" t="str">
        <f>IFERROR(VLOOKUP($O11200,'Customer List'!$A$1:$J$488,10,FALSE),"")</f>
        <v/>
      </c>
    </row>
    <row r="11201" spans="18:23">
      <c r="R11201" s="97">
        <f t="shared" si="389"/>
        <v>0</v>
      </c>
      <c r="W11201" s="66" t="str">
        <f>IFERROR(VLOOKUP($O11201,'Customer List'!$A$1:$J$488,10,FALSE),"")</f>
        <v/>
      </c>
    </row>
    <row r="11202" spans="18:23">
      <c r="R11202" s="97">
        <f t="shared" si="389"/>
        <v>0</v>
      </c>
      <c r="W11202" s="66" t="str">
        <f>IFERROR(VLOOKUP($O11202,'Customer List'!$A$1:$J$488,10,FALSE),"")</f>
        <v/>
      </c>
    </row>
    <row r="11203" spans="18:23">
      <c r="R11203" s="97">
        <f t="shared" si="389"/>
        <v>0</v>
      </c>
      <c r="W11203" s="66" t="str">
        <f>IFERROR(VLOOKUP($O11203,'Customer List'!$A$1:$J$488,10,FALSE),"")</f>
        <v/>
      </c>
    </row>
    <row r="11204" spans="18:23">
      <c r="R11204" s="97">
        <f t="shared" si="389"/>
        <v>0</v>
      </c>
      <c r="W11204" s="66" t="str">
        <f>IFERROR(VLOOKUP($O11204,'Customer List'!$A$1:$J$488,10,FALSE),"")</f>
        <v/>
      </c>
    </row>
    <row r="11205" spans="18:23">
      <c r="R11205" s="97">
        <f t="shared" si="389"/>
        <v>0</v>
      </c>
      <c r="W11205" s="66" t="str">
        <f>IFERROR(VLOOKUP($O11205,'Customer List'!$A$1:$J$488,10,FALSE),"")</f>
        <v/>
      </c>
    </row>
    <row r="11206" spans="18:23">
      <c r="R11206" s="97">
        <f t="shared" si="389"/>
        <v>0</v>
      </c>
      <c r="W11206" s="66" t="str">
        <f>IFERROR(VLOOKUP($O11206,'Customer List'!$A$1:$J$488,10,FALSE),"")</f>
        <v/>
      </c>
    </row>
    <row r="11207" spans="18:23">
      <c r="R11207" s="97">
        <f t="shared" si="389"/>
        <v>0</v>
      </c>
      <c r="W11207" s="66" t="str">
        <f>IFERROR(VLOOKUP($O11207,'Customer List'!$A$1:$J$488,10,FALSE),"")</f>
        <v/>
      </c>
    </row>
    <row r="11208" spans="18:23">
      <c r="R11208" s="97">
        <f t="shared" si="389"/>
        <v>0</v>
      </c>
      <c r="W11208" s="66" t="str">
        <f>IFERROR(VLOOKUP($O11208,'Customer List'!$A$1:$J$488,10,FALSE),"")</f>
        <v/>
      </c>
    </row>
    <row r="11209" spans="18:23">
      <c r="R11209" s="97">
        <f t="shared" si="389"/>
        <v>0</v>
      </c>
      <c r="W11209" s="66" t="str">
        <f>IFERROR(VLOOKUP($O11209,'Customer List'!$A$1:$J$488,10,FALSE),"")</f>
        <v/>
      </c>
    </row>
    <row r="11210" spans="18:23">
      <c r="R11210" s="97">
        <f t="shared" si="389"/>
        <v>0</v>
      </c>
      <c r="W11210" s="66" t="str">
        <f>IFERROR(VLOOKUP($O11210,'Customer List'!$A$1:$J$488,10,FALSE),"")</f>
        <v/>
      </c>
    </row>
    <row r="11211" spans="18:23">
      <c r="R11211" s="97">
        <f t="shared" si="389"/>
        <v>0</v>
      </c>
      <c r="W11211" s="66" t="str">
        <f>IFERROR(VLOOKUP($O11211,'Customer List'!$A$1:$J$488,10,FALSE),"")</f>
        <v/>
      </c>
    </row>
    <row r="11212" spans="18:23">
      <c r="R11212" s="97">
        <f t="shared" si="389"/>
        <v>0</v>
      </c>
      <c r="W11212" s="66" t="str">
        <f>IFERROR(VLOOKUP($O11212,'Customer List'!$A$1:$J$488,10,FALSE),"")</f>
        <v/>
      </c>
    </row>
    <row r="11213" spans="18:23">
      <c r="R11213" s="97">
        <f t="shared" si="389"/>
        <v>0</v>
      </c>
      <c r="W11213" s="66" t="str">
        <f>IFERROR(VLOOKUP($O11213,'Customer List'!$A$1:$J$488,10,FALSE),"")</f>
        <v/>
      </c>
    </row>
    <row r="11214" spans="18:23">
      <c r="R11214" s="97">
        <f t="shared" si="389"/>
        <v>0</v>
      </c>
      <c r="W11214" s="66" t="str">
        <f>IFERROR(VLOOKUP($O11214,'Customer List'!$A$1:$J$488,10,FALSE),"")</f>
        <v/>
      </c>
    </row>
    <row r="11215" spans="18:23">
      <c r="R11215" s="97">
        <f t="shared" si="389"/>
        <v>0</v>
      </c>
      <c r="W11215" s="66" t="str">
        <f>IFERROR(VLOOKUP($O11215,'Customer List'!$A$1:$J$488,10,FALSE),"")</f>
        <v/>
      </c>
    </row>
    <row r="11216" spans="18:23">
      <c r="R11216" s="97">
        <f t="shared" si="389"/>
        <v>0</v>
      </c>
      <c r="W11216" s="66" t="str">
        <f>IFERROR(VLOOKUP($O11216,'Customer List'!$A$1:$J$488,10,FALSE),"")</f>
        <v/>
      </c>
    </row>
    <row r="11217" spans="18:23">
      <c r="R11217" s="97">
        <f t="shared" si="389"/>
        <v>0</v>
      </c>
      <c r="W11217" s="66" t="str">
        <f>IFERROR(VLOOKUP($O11217,'Customer List'!$A$1:$J$488,10,FALSE),"")</f>
        <v/>
      </c>
    </row>
    <row r="11218" spans="18:23">
      <c r="R11218" s="97">
        <f t="shared" si="389"/>
        <v>0</v>
      </c>
      <c r="W11218" s="66" t="str">
        <f>IFERROR(VLOOKUP($O11218,'Customer List'!$A$1:$J$488,10,FALSE),"")</f>
        <v/>
      </c>
    </row>
    <row r="11219" spans="18:23">
      <c r="R11219" s="97">
        <f t="shared" si="389"/>
        <v>0</v>
      </c>
      <c r="W11219" s="66" t="str">
        <f>IFERROR(VLOOKUP($O11219,'Customer List'!$A$1:$J$488,10,FALSE),"")</f>
        <v/>
      </c>
    </row>
    <row r="11220" spans="18:23">
      <c r="R11220" s="97">
        <f t="shared" si="389"/>
        <v>0</v>
      </c>
      <c r="W11220" s="66" t="str">
        <f>IFERROR(VLOOKUP($O11220,'Customer List'!$A$1:$J$488,10,FALSE),"")</f>
        <v/>
      </c>
    </row>
    <row r="11221" spans="18:23">
      <c r="R11221" s="97">
        <f t="shared" si="389"/>
        <v>0</v>
      </c>
      <c r="W11221" s="66" t="str">
        <f>IFERROR(VLOOKUP($O11221,'Customer List'!$A$1:$J$488,10,FALSE),"")</f>
        <v/>
      </c>
    </row>
    <row r="11222" spans="18:23">
      <c r="R11222" s="97">
        <f t="shared" si="389"/>
        <v>0</v>
      </c>
      <c r="W11222" s="66" t="str">
        <f>IFERROR(VLOOKUP($O11222,'Customer List'!$A$1:$J$488,10,FALSE),"")</f>
        <v/>
      </c>
    </row>
    <row r="11223" spans="18:23">
      <c r="R11223" s="97">
        <f t="shared" si="389"/>
        <v>0</v>
      </c>
      <c r="W11223" s="66" t="str">
        <f>IFERROR(VLOOKUP($O11223,'Customer List'!$A$1:$J$488,10,FALSE),"")</f>
        <v/>
      </c>
    </row>
    <row r="11224" spans="18:23">
      <c r="R11224" s="97">
        <f t="shared" si="389"/>
        <v>0</v>
      </c>
      <c r="W11224" s="66" t="str">
        <f>IFERROR(VLOOKUP($O11224,'Customer List'!$A$1:$J$488,10,FALSE),"")</f>
        <v/>
      </c>
    </row>
    <row r="11225" spans="18:23">
      <c r="R11225" s="97">
        <f t="shared" si="389"/>
        <v>0</v>
      </c>
      <c r="W11225" s="66" t="str">
        <f>IFERROR(VLOOKUP($O11225,'Customer List'!$A$1:$J$488,10,FALSE),"")</f>
        <v/>
      </c>
    </row>
    <row r="11226" spans="18:23">
      <c r="R11226" s="97">
        <f t="shared" si="389"/>
        <v>0</v>
      </c>
      <c r="W11226" s="66" t="str">
        <f>IFERROR(VLOOKUP($O11226,'Customer List'!$A$1:$J$488,10,FALSE),"")</f>
        <v/>
      </c>
    </row>
    <row r="11227" spans="18:23">
      <c r="R11227" s="97">
        <f t="shared" si="389"/>
        <v>0</v>
      </c>
      <c r="W11227" s="66" t="str">
        <f>IFERROR(VLOOKUP($O11227,'Customer List'!$A$1:$J$488,10,FALSE),"")</f>
        <v/>
      </c>
    </row>
    <row r="11228" spans="18:23">
      <c r="R11228" s="97">
        <f t="shared" si="389"/>
        <v>0</v>
      </c>
      <c r="W11228" s="66" t="str">
        <f>IFERROR(VLOOKUP($O11228,'Customer List'!$A$1:$J$488,10,FALSE),"")</f>
        <v/>
      </c>
    </row>
    <row r="11229" spans="18:23">
      <c r="R11229" s="97">
        <f t="shared" si="389"/>
        <v>0</v>
      </c>
      <c r="W11229" s="66" t="str">
        <f>IFERROR(VLOOKUP($O11229,'Customer List'!$A$1:$J$488,10,FALSE),"")</f>
        <v/>
      </c>
    </row>
    <row r="11230" spans="18:23">
      <c r="R11230" s="97">
        <f t="shared" si="389"/>
        <v>0</v>
      </c>
      <c r="W11230" s="66" t="str">
        <f>IFERROR(VLOOKUP($O11230,'Customer List'!$A$1:$J$488,10,FALSE),"")</f>
        <v/>
      </c>
    </row>
    <row r="11231" spans="18:23">
      <c r="R11231" s="97">
        <f t="shared" si="389"/>
        <v>0</v>
      </c>
      <c r="W11231" s="66" t="str">
        <f>IFERROR(VLOOKUP($O11231,'Customer List'!$A$1:$J$488,10,FALSE),"")</f>
        <v/>
      </c>
    </row>
    <row r="11232" spans="18:23">
      <c r="R11232" s="97">
        <f t="shared" si="389"/>
        <v>0</v>
      </c>
      <c r="W11232" s="66" t="str">
        <f>IFERROR(VLOOKUP($O11232,'Customer List'!$A$1:$J$488,10,FALSE),"")</f>
        <v/>
      </c>
    </row>
    <row r="11233" spans="18:23">
      <c r="R11233" s="97">
        <f t="shared" si="389"/>
        <v>0</v>
      </c>
      <c r="W11233" s="66" t="str">
        <f>IFERROR(VLOOKUP($O11233,'Customer List'!$A$1:$J$488,10,FALSE),"")</f>
        <v/>
      </c>
    </row>
    <row r="11234" spans="18:23">
      <c r="R11234" s="97">
        <f t="shared" si="389"/>
        <v>0</v>
      </c>
      <c r="W11234" s="66" t="str">
        <f>IFERROR(VLOOKUP($O11234,'Customer List'!$A$1:$J$488,10,FALSE),"")</f>
        <v/>
      </c>
    </row>
    <row r="11235" spans="18:23">
      <c r="R11235" s="97">
        <f t="shared" si="389"/>
        <v>0</v>
      </c>
      <c r="W11235" s="66" t="str">
        <f>IFERROR(VLOOKUP($O11235,'Customer List'!$A$1:$J$488,10,FALSE),"")</f>
        <v/>
      </c>
    </row>
    <row r="11236" spans="18:23">
      <c r="R11236" s="97">
        <f t="shared" si="389"/>
        <v>0</v>
      </c>
      <c r="W11236" s="66" t="str">
        <f>IFERROR(VLOOKUP($O11236,'Customer List'!$A$1:$J$488,10,FALSE),"")</f>
        <v/>
      </c>
    </row>
    <row r="11237" spans="18:23">
      <c r="R11237" s="97">
        <f t="shared" si="389"/>
        <v>0</v>
      </c>
      <c r="W11237" s="66" t="str">
        <f>IFERROR(VLOOKUP($O11237,'Customer List'!$A$1:$J$488,10,FALSE),"")</f>
        <v/>
      </c>
    </row>
    <row r="11238" spans="18:23">
      <c r="R11238" s="97">
        <f t="shared" si="389"/>
        <v>0</v>
      </c>
      <c r="W11238" s="66" t="str">
        <f>IFERROR(VLOOKUP($O11238,'Customer List'!$A$1:$J$488,10,FALSE),"")</f>
        <v/>
      </c>
    </row>
    <row r="11239" spans="18:23">
      <c r="R11239" s="97">
        <f t="shared" si="389"/>
        <v>0</v>
      </c>
      <c r="W11239" s="66" t="str">
        <f>IFERROR(VLOOKUP($O11239,'Customer List'!$A$1:$J$488,10,FALSE),"")</f>
        <v/>
      </c>
    </row>
    <row r="11240" spans="18:23">
      <c r="R11240" s="97">
        <f t="shared" ref="R11240:R11303" si="390">L11240-K11240</f>
        <v>0</v>
      </c>
      <c r="W11240" s="66" t="str">
        <f>IFERROR(VLOOKUP($O11240,'Customer List'!$A$1:$J$488,10,FALSE),"")</f>
        <v/>
      </c>
    </row>
    <row r="11241" spans="18:23">
      <c r="R11241" s="97">
        <f t="shared" si="390"/>
        <v>0</v>
      </c>
      <c r="W11241" s="66" t="str">
        <f>IFERROR(VLOOKUP($O11241,'Customer List'!$A$1:$J$488,10,FALSE),"")</f>
        <v/>
      </c>
    </row>
    <row r="11242" spans="18:23">
      <c r="R11242" s="97">
        <f t="shared" si="390"/>
        <v>0</v>
      </c>
      <c r="W11242" s="66" t="str">
        <f>IFERROR(VLOOKUP($O11242,'Customer List'!$A$1:$J$488,10,FALSE),"")</f>
        <v/>
      </c>
    </row>
    <row r="11243" spans="18:23">
      <c r="R11243" s="97">
        <f t="shared" si="390"/>
        <v>0</v>
      </c>
      <c r="W11243" s="66" t="str">
        <f>IFERROR(VLOOKUP($O11243,'Customer List'!$A$1:$J$488,10,FALSE),"")</f>
        <v/>
      </c>
    </row>
    <row r="11244" spans="18:23">
      <c r="R11244" s="97">
        <f t="shared" si="390"/>
        <v>0</v>
      </c>
      <c r="W11244" s="66" t="str">
        <f>IFERROR(VLOOKUP($O11244,'Customer List'!$A$1:$J$488,10,FALSE),"")</f>
        <v/>
      </c>
    </row>
    <row r="11245" spans="18:23">
      <c r="R11245" s="97">
        <f t="shared" si="390"/>
        <v>0</v>
      </c>
      <c r="W11245" s="66" t="str">
        <f>IFERROR(VLOOKUP($O11245,'Customer List'!$A$1:$J$488,10,FALSE),"")</f>
        <v/>
      </c>
    </row>
    <row r="11246" spans="18:23">
      <c r="R11246" s="97">
        <f t="shared" si="390"/>
        <v>0</v>
      </c>
      <c r="W11246" s="66" t="str">
        <f>IFERROR(VLOOKUP($O11246,'Customer List'!$A$1:$J$488,10,FALSE),"")</f>
        <v/>
      </c>
    </row>
    <row r="11247" spans="18:23">
      <c r="R11247" s="97">
        <f t="shared" si="390"/>
        <v>0</v>
      </c>
      <c r="W11247" s="66" t="str">
        <f>IFERROR(VLOOKUP($O11247,'Customer List'!$A$1:$J$488,10,FALSE),"")</f>
        <v/>
      </c>
    </row>
    <row r="11248" spans="18:23">
      <c r="R11248" s="97">
        <f t="shared" si="390"/>
        <v>0</v>
      </c>
      <c r="W11248" s="66" t="str">
        <f>IFERROR(VLOOKUP($O11248,'Customer List'!$A$1:$J$488,10,FALSE),"")</f>
        <v/>
      </c>
    </row>
    <row r="11249" spans="18:23">
      <c r="R11249" s="97">
        <f t="shared" si="390"/>
        <v>0</v>
      </c>
      <c r="W11249" s="66" t="str">
        <f>IFERROR(VLOOKUP($O11249,'Customer List'!$A$1:$J$488,10,FALSE),"")</f>
        <v/>
      </c>
    </row>
    <row r="11250" spans="18:23">
      <c r="R11250" s="97">
        <f t="shared" si="390"/>
        <v>0</v>
      </c>
      <c r="W11250" s="66" t="str">
        <f>IFERROR(VLOOKUP($O11250,'Customer List'!$A$1:$J$488,10,FALSE),"")</f>
        <v/>
      </c>
    </row>
    <row r="11251" spans="18:23">
      <c r="R11251" s="97">
        <f t="shared" si="390"/>
        <v>0</v>
      </c>
      <c r="W11251" s="66" t="str">
        <f>IFERROR(VLOOKUP($O11251,'Customer List'!$A$1:$J$488,10,FALSE),"")</f>
        <v/>
      </c>
    </row>
    <row r="11252" spans="18:23">
      <c r="R11252" s="97">
        <f t="shared" si="390"/>
        <v>0</v>
      </c>
      <c r="W11252" s="66" t="str">
        <f>IFERROR(VLOOKUP($O11252,'Customer List'!$A$1:$J$488,10,FALSE),"")</f>
        <v/>
      </c>
    </row>
    <row r="11253" spans="18:23">
      <c r="R11253" s="97">
        <f t="shared" si="390"/>
        <v>0</v>
      </c>
      <c r="W11253" s="66" t="str">
        <f>IFERROR(VLOOKUP($O11253,'Customer List'!$A$1:$J$488,10,FALSE),"")</f>
        <v/>
      </c>
    </row>
    <row r="11254" spans="18:23">
      <c r="R11254" s="97">
        <f t="shared" si="390"/>
        <v>0</v>
      </c>
      <c r="W11254" s="66" t="str">
        <f>IFERROR(VLOOKUP($O11254,'Customer List'!$A$1:$J$488,10,FALSE),"")</f>
        <v/>
      </c>
    </row>
    <row r="11255" spans="18:23">
      <c r="R11255" s="97">
        <f t="shared" si="390"/>
        <v>0</v>
      </c>
      <c r="W11255" s="66" t="str">
        <f>IFERROR(VLOOKUP($O11255,'Customer List'!$A$1:$J$488,10,FALSE),"")</f>
        <v/>
      </c>
    </row>
    <row r="11256" spans="18:23">
      <c r="R11256" s="97">
        <f t="shared" si="390"/>
        <v>0</v>
      </c>
      <c r="W11256" s="66" t="str">
        <f>IFERROR(VLOOKUP($O11256,'Customer List'!$A$1:$J$488,10,FALSE),"")</f>
        <v/>
      </c>
    </row>
    <row r="11257" spans="18:23">
      <c r="R11257" s="97">
        <f t="shared" si="390"/>
        <v>0</v>
      </c>
      <c r="W11257" s="66" t="str">
        <f>IFERROR(VLOOKUP($O11257,'Customer List'!$A$1:$J$488,10,FALSE),"")</f>
        <v/>
      </c>
    </row>
    <row r="11258" spans="18:23">
      <c r="R11258" s="97">
        <f t="shared" si="390"/>
        <v>0</v>
      </c>
      <c r="W11258" s="66" t="str">
        <f>IFERROR(VLOOKUP($O11258,'Customer List'!$A$1:$J$488,10,FALSE),"")</f>
        <v/>
      </c>
    </row>
    <row r="11259" spans="18:23">
      <c r="R11259" s="97">
        <f t="shared" si="390"/>
        <v>0</v>
      </c>
      <c r="W11259" s="66" t="str">
        <f>IFERROR(VLOOKUP($O11259,'Customer List'!$A$1:$J$488,10,FALSE),"")</f>
        <v/>
      </c>
    </row>
    <row r="11260" spans="18:23">
      <c r="R11260" s="97">
        <f t="shared" si="390"/>
        <v>0</v>
      </c>
      <c r="W11260" s="66" t="str">
        <f>IFERROR(VLOOKUP($O11260,'Customer List'!$A$1:$J$488,10,FALSE),"")</f>
        <v/>
      </c>
    </row>
    <row r="11261" spans="18:23">
      <c r="R11261" s="97">
        <f t="shared" si="390"/>
        <v>0</v>
      </c>
      <c r="W11261" s="66" t="str">
        <f>IFERROR(VLOOKUP($O11261,'Customer List'!$A$1:$J$488,10,FALSE),"")</f>
        <v/>
      </c>
    </row>
    <row r="11262" spans="18:23">
      <c r="R11262" s="97">
        <f t="shared" si="390"/>
        <v>0</v>
      </c>
      <c r="W11262" s="66" t="str">
        <f>IFERROR(VLOOKUP($O11262,'Customer List'!$A$1:$J$488,10,FALSE),"")</f>
        <v/>
      </c>
    </row>
    <row r="11263" spans="18:23">
      <c r="R11263" s="97">
        <f t="shared" si="390"/>
        <v>0</v>
      </c>
      <c r="W11263" s="66" t="str">
        <f>IFERROR(VLOOKUP($O11263,'Customer List'!$A$1:$J$488,10,FALSE),"")</f>
        <v/>
      </c>
    </row>
    <row r="11264" spans="18:23">
      <c r="R11264" s="97">
        <f t="shared" si="390"/>
        <v>0</v>
      </c>
      <c r="W11264" s="66" t="str">
        <f>IFERROR(VLOOKUP($O11264,'Customer List'!$A$1:$J$488,10,FALSE),"")</f>
        <v/>
      </c>
    </row>
    <row r="11265" spans="18:23">
      <c r="R11265" s="97">
        <f t="shared" si="390"/>
        <v>0</v>
      </c>
      <c r="W11265" s="66" t="str">
        <f>IFERROR(VLOOKUP($O11265,'Customer List'!$A$1:$J$488,10,FALSE),"")</f>
        <v/>
      </c>
    </row>
    <row r="11266" spans="18:23">
      <c r="R11266" s="97">
        <f t="shared" si="390"/>
        <v>0</v>
      </c>
      <c r="W11266" s="66" t="str">
        <f>IFERROR(VLOOKUP($O11266,'Customer List'!$A$1:$J$488,10,FALSE),"")</f>
        <v/>
      </c>
    </row>
    <row r="11267" spans="18:23">
      <c r="R11267" s="97">
        <f t="shared" si="390"/>
        <v>0</v>
      </c>
      <c r="W11267" s="66" t="str">
        <f>IFERROR(VLOOKUP($O11267,'Customer List'!$A$1:$J$488,10,FALSE),"")</f>
        <v/>
      </c>
    </row>
    <row r="11268" spans="18:23">
      <c r="R11268" s="97">
        <f t="shared" si="390"/>
        <v>0</v>
      </c>
      <c r="W11268" s="66" t="str">
        <f>IFERROR(VLOOKUP($O11268,'Customer List'!$A$1:$J$488,10,FALSE),"")</f>
        <v/>
      </c>
    </row>
    <row r="11269" spans="18:23">
      <c r="R11269" s="97">
        <f t="shared" si="390"/>
        <v>0</v>
      </c>
      <c r="W11269" s="66" t="str">
        <f>IFERROR(VLOOKUP($O11269,'Customer List'!$A$1:$J$488,10,FALSE),"")</f>
        <v/>
      </c>
    </row>
    <row r="11270" spans="18:23">
      <c r="R11270" s="97">
        <f t="shared" si="390"/>
        <v>0</v>
      </c>
      <c r="W11270" s="66" t="str">
        <f>IFERROR(VLOOKUP($O11270,'Customer List'!$A$1:$J$488,10,FALSE),"")</f>
        <v/>
      </c>
    </row>
    <row r="11271" spans="18:23">
      <c r="R11271" s="97">
        <f t="shared" si="390"/>
        <v>0</v>
      </c>
      <c r="W11271" s="66" t="str">
        <f>IFERROR(VLOOKUP($O11271,'Customer List'!$A$1:$J$488,10,FALSE),"")</f>
        <v/>
      </c>
    </row>
    <row r="11272" spans="18:23">
      <c r="R11272" s="97">
        <f t="shared" si="390"/>
        <v>0</v>
      </c>
      <c r="W11272" s="66" t="str">
        <f>IFERROR(VLOOKUP($O11272,'Customer List'!$A$1:$J$488,10,FALSE),"")</f>
        <v/>
      </c>
    </row>
    <row r="11273" spans="18:23">
      <c r="R11273" s="97">
        <f t="shared" si="390"/>
        <v>0</v>
      </c>
      <c r="W11273" s="66" t="str">
        <f>IFERROR(VLOOKUP($O11273,'Customer List'!$A$1:$J$488,10,FALSE),"")</f>
        <v/>
      </c>
    </row>
    <row r="11274" spans="18:23">
      <c r="R11274" s="97">
        <f t="shared" si="390"/>
        <v>0</v>
      </c>
      <c r="W11274" s="66" t="str">
        <f>IFERROR(VLOOKUP($O11274,'Customer List'!$A$1:$J$488,10,FALSE),"")</f>
        <v/>
      </c>
    </row>
    <row r="11275" spans="18:23">
      <c r="R11275" s="97">
        <f t="shared" si="390"/>
        <v>0</v>
      </c>
      <c r="W11275" s="66" t="str">
        <f>IFERROR(VLOOKUP($O11275,'Customer List'!$A$1:$J$488,10,FALSE),"")</f>
        <v/>
      </c>
    </row>
    <row r="11276" spans="18:23">
      <c r="R11276" s="97">
        <f t="shared" si="390"/>
        <v>0</v>
      </c>
      <c r="W11276" s="66" t="str">
        <f>IFERROR(VLOOKUP($O11276,'Customer List'!$A$1:$J$488,10,FALSE),"")</f>
        <v/>
      </c>
    </row>
    <row r="11277" spans="18:23">
      <c r="R11277" s="97">
        <f t="shared" si="390"/>
        <v>0</v>
      </c>
      <c r="W11277" s="66" t="str">
        <f>IFERROR(VLOOKUP($O11277,'Customer List'!$A$1:$J$488,10,FALSE),"")</f>
        <v/>
      </c>
    </row>
    <row r="11278" spans="18:23">
      <c r="R11278" s="97">
        <f t="shared" si="390"/>
        <v>0</v>
      </c>
      <c r="W11278" s="66" t="str">
        <f>IFERROR(VLOOKUP($O11278,'Customer List'!$A$1:$J$488,10,FALSE),"")</f>
        <v/>
      </c>
    </row>
    <row r="11279" spans="18:23">
      <c r="R11279" s="97">
        <f t="shared" si="390"/>
        <v>0</v>
      </c>
      <c r="W11279" s="66" t="str">
        <f>IFERROR(VLOOKUP($O11279,'Customer List'!$A$1:$J$488,10,FALSE),"")</f>
        <v/>
      </c>
    </row>
    <row r="11280" spans="18:23">
      <c r="R11280" s="97">
        <f t="shared" si="390"/>
        <v>0</v>
      </c>
      <c r="W11280" s="66" t="str">
        <f>IFERROR(VLOOKUP($O11280,'Customer List'!$A$1:$J$488,10,FALSE),"")</f>
        <v/>
      </c>
    </row>
    <row r="11281" spans="18:23">
      <c r="R11281" s="97">
        <f t="shared" si="390"/>
        <v>0</v>
      </c>
      <c r="W11281" s="66" t="str">
        <f>IFERROR(VLOOKUP($O11281,'Customer List'!$A$1:$J$488,10,FALSE),"")</f>
        <v/>
      </c>
    </row>
    <row r="11282" spans="18:23">
      <c r="R11282" s="97">
        <f t="shared" si="390"/>
        <v>0</v>
      </c>
      <c r="W11282" s="66" t="str">
        <f>IFERROR(VLOOKUP($O11282,'Customer List'!$A$1:$J$488,10,FALSE),"")</f>
        <v/>
      </c>
    </row>
    <row r="11283" spans="18:23">
      <c r="R11283" s="97">
        <f t="shared" si="390"/>
        <v>0</v>
      </c>
      <c r="W11283" s="66" t="str">
        <f>IFERROR(VLOOKUP($O11283,'Customer List'!$A$1:$J$488,10,FALSE),"")</f>
        <v/>
      </c>
    </row>
    <row r="11284" spans="18:23">
      <c r="R11284" s="97">
        <f t="shared" si="390"/>
        <v>0</v>
      </c>
      <c r="W11284" s="66" t="str">
        <f>IFERROR(VLOOKUP($O11284,'Customer List'!$A$1:$J$488,10,FALSE),"")</f>
        <v/>
      </c>
    </row>
    <row r="11285" spans="18:23">
      <c r="R11285" s="97">
        <f t="shared" si="390"/>
        <v>0</v>
      </c>
      <c r="W11285" s="66" t="str">
        <f>IFERROR(VLOOKUP($O11285,'Customer List'!$A$1:$J$488,10,FALSE),"")</f>
        <v/>
      </c>
    </row>
    <row r="11286" spans="18:23">
      <c r="R11286" s="97">
        <f t="shared" si="390"/>
        <v>0</v>
      </c>
      <c r="W11286" s="66" t="str">
        <f>IFERROR(VLOOKUP($O11286,'Customer List'!$A$1:$J$488,10,FALSE),"")</f>
        <v/>
      </c>
    </row>
    <row r="11287" spans="18:23">
      <c r="R11287" s="97">
        <f t="shared" si="390"/>
        <v>0</v>
      </c>
      <c r="W11287" s="66" t="str">
        <f>IFERROR(VLOOKUP($O11287,'Customer List'!$A$1:$J$488,10,FALSE),"")</f>
        <v/>
      </c>
    </row>
    <row r="11288" spans="18:23">
      <c r="R11288" s="97">
        <f t="shared" si="390"/>
        <v>0</v>
      </c>
      <c r="W11288" s="66" t="str">
        <f>IFERROR(VLOOKUP($O11288,'Customer List'!$A$1:$J$488,10,FALSE),"")</f>
        <v/>
      </c>
    </row>
    <row r="11289" spans="18:23">
      <c r="R11289" s="97">
        <f t="shared" si="390"/>
        <v>0</v>
      </c>
      <c r="W11289" s="66" t="str">
        <f>IFERROR(VLOOKUP($O11289,'Customer List'!$A$1:$J$488,10,FALSE),"")</f>
        <v/>
      </c>
    </row>
    <row r="11290" spans="18:23">
      <c r="R11290" s="97">
        <f t="shared" si="390"/>
        <v>0</v>
      </c>
      <c r="W11290" s="66" t="str">
        <f>IFERROR(VLOOKUP($O11290,'Customer List'!$A$1:$J$488,10,FALSE),"")</f>
        <v/>
      </c>
    </row>
    <row r="11291" spans="18:23">
      <c r="R11291" s="97">
        <f t="shared" si="390"/>
        <v>0</v>
      </c>
      <c r="W11291" s="66" t="str">
        <f>IFERROR(VLOOKUP($O11291,'Customer List'!$A$1:$J$488,10,FALSE),"")</f>
        <v/>
      </c>
    </row>
    <row r="11292" spans="18:23">
      <c r="R11292" s="97">
        <f t="shared" si="390"/>
        <v>0</v>
      </c>
      <c r="W11292" s="66" t="str">
        <f>IFERROR(VLOOKUP($O11292,'Customer List'!$A$1:$J$488,10,FALSE),"")</f>
        <v/>
      </c>
    </row>
    <row r="11293" spans="18:23">
      <c r="R11293" s="97">
        <f t="shared" si="390"/>
        <v>0</v>
      </c>
      <c r="W11293" s="66" t="str">
        <f>IFERROR(VLOOKUP($O11293,'Customer List'!$A$1:$J$488,10,FALSE),"")</f>
        <v/>
      </c>
    </row>
    <row r="11294" spans="18:23">
      <c r="R11294" s="97">
        <f t="shared" si="390"/>
        <v>0</v>
      </c>
      <c r="W11294" s="66" t="str">
        <f>IFERROR(VLOOKUP($O11294,'Customer List'!$A$1:$J$488,10,FALSE),"")</f>
        <v/>
      </c>
    </row>
    <row r="11295" spans="18:23">
      <c r="R11295" s="97">
        <f t="shared" si="390"/>
        <v>0</v>
      </c>
      <c r="W11295" s="66" t="str">
        <f>IFERROR(VLOOKUP($O11295,'Customer List'!$A$1:$J$488,10,FALSE),"")</f>
        <v/>
      </c>
    </row>
    <row r="11296" spans="18:23">
      <c r="R11296" s="97">
        <f t="shared" si="390"/>
        <v>0</v>
      </c>
      <c r="W11296" s="66" t="str">
        <f>IFERROR(VLOOKUP($O11296,'Customer List'!$A$1:$J$488,10,FALSE),"")</f>
        <v/>
      </c>
    </row>
    <row r="11297" spans="18:23">
      <c r="R11297" s="97">
        <f t="shared" si="390"/>
        <v>0</v>
      </c>
      <c r="W11297" s="66" t="str">
        <f>IFERROR(VLOOKUP($O11297,'Customer List'!$A$1:$J$488,10,FALSE),"")</f>
        <v/>
      </c>
    </row>
    <row r="11298" spans="18:23">
      <c r="R11298" s="97">
        <f t="shared" si="390"/>
        <v>0</v>
      </c>
      <c r="W11298" s="66" t="str">
        <f>IFERROR(VLOOKUP($O11298,'Customer List'!$A$1:$J$488,10,FALSE),"")</f>
        <v/>
      </c>
    </row>
    <row r="11299" spans="18:23">
      <c r="R11299" s="97">
        <f t="shared" si="390"/>
        <v>0</v>
      </c>
      <c r="W11299" s="66" t="str">
        <f>IFERROR(VLOOKUP($O11299,'Customer List'!$A$1:$J$488,10,FALSE),"")</f>
        <v/>
      </c>
    </row>
    <row r="11300" spans="18:23">
      <c r="R11300" s="97">
        <f t="shared" si="390"/>
        <v>0</v>
      </c>
      <c r="W11300" s="66" t="str">
        <f>IFERROR(VLOOKUP($O11300,'Customer List'!$A$1:$J$488,10,FALSE),"")</f>
        <v/>
      </c>
    </row>
    <row r="11301" spans="18:23">
      <c r="R11301" s="97">
        <f t="shared" si="390"/>
        <v>0</v>
      </c>
      <c r="W11301" s="66" t="str">
        <f>IFERROR(VLOOKUP($O11301,'Customer List'!$A$1:$J$488,10,FALSE),"")</f>
        <v/>
      </c>
    </row>
    <row r="11302" spans="18:23">
      <c r="R11302" s="97">
        <f t="shared" si="390"/>
        <v>0</v>
      </c>
      <c r="W11302" s="66" t="str">
        <f>IFERROR(VLOOKUP($O11302,'Customer List'!$A$1:$J$488,10,FALSE),"")</f>
        <v/>
      </c>
    </row>
    <row r="11303" spans="18:23">
      <c r="R11303" s="97">
        <f t="shared" si="390"/>
        <v>0</v>
      </c>
      <c r="W11303" s="66" t="str">
        <f>IFERROR(VLOOKUP($O11303,'Customer List'!$A$1:$J$488,10,FALSE),"")</f>
        <v/>
      </c>
    </row>
    <row r="11304" spans="18:23">
      <c r="R11304" s="97">
        <f t="shared" ref="R11304:R11367" si="391">L11304-K11304</f>
        <v>0</v>
      </c>
      <c r="W11304" s="66" t="str">
        <f>IFERROR(VLOOKUP($O11304,'Customer List'!$A$1:$J$488,10,FALSE),"")</f>
        <v/>
      </c>
    </row>
    <row r="11305" spans="18:23">
      <c r="R11305" s="97">
        <f t="shared" si="391"/>
        <v>0</v>
      </c>
      <c r="W11305" s="66" t="str">
        <f>IFERROR(VLOOKUP($O11305,'Customer List'!$A$1:$J$488,10,FALSE),"")</f>
        <v/>
      </c>
    </row>
    <row r="11306" spans="18:23">
      <c r="R11306" s="97">
        <f t="shared" si="391"/>
        <v>0</v>
      </c>
      <c r="W11306" s="66" t="str">
        <f>IFERROR(VLOOKUP($O11306,'Customer List'!$A$1:$J$488,10,FALSE),"")</f>
        <v/>
      </c>
    </row>
    <row r="11307" spans="18:23">
      <c r="R11307" s="97">
        <f t="shared" si="391"/>
        <v>0</v>
      </c>
      <c r="W11307" s="66" t="str">
        <f>IFERROR(VLOOKUP($O11307,'Customer List'!$A$1:$J$488,10,FALSE),"")</f>
        <v/>
      </c>
    </row>
    <row r="11308" spans="18:23">
      <c r="R11308" s="97">
        <f t="shared" si="391"/>
        <v>0</v>
      </c>
      <c r="W11308" s="66" t="str">
        <f>IFERROR(VLOOKUP($O11308,'Customer List'!$A$1:$J$488,10,FALSE),"")</f>
        <v/>
      </c>
    </row>
    <row r="11309" spans="18:23">
      <c r="R11309" s="97">
        <f t="shared" si="391"/>
        <v>0</v>
      </c>
      <c r="W11309" s="66" t="str">
        <f>IFERROR(VLOOKUP($O11309,'Customer List'!$A$1:$J$488,10,FALSE),"")</f>
        <v/>
      </c>
    </row>
    <row r="11310" spans="18:23">
      <c r="R11310" s="97">
        <f t="shared" si="391"/>
        <v>0</v>
      </c>
      <c r="W11310" s="66" t="str">
        <f>IFERROR(VLOOKUP($O11310,'Customer List'!$A$1:$J$488,10,FALSE),"")</f>
        <v/>
      </c>
    </row>
    <row r="11311" spans="18:23">
      <c r="R11311" s="97">
        <f t="shared" si="391"/>
        <v>0</v>
      </c>
      <c r="W11311" s="66" t="str">
        <f>IFERROR(VLOOKUP($O11311,'Customer List'!$A$1:$J$488,10,FALSE),"")</f>
        <v/>
      </c>
    </row>
    <row r="11312" spans="18:23">
      <c r="R11312" s="97">
        <f t="shared" si="391"/>
        <v>0</v>
      </c>
      <c r="W11312" s="66" t="str">
        <f>IFERROR(VLOOKUP($O11312,'Customer List'!$A$1:$J$488,10,FALSE),"")</f>
        <v/>
      </c>
    </row>
    <row r="11313" spans="18:23">
      <c r="R11313" s="97">
        <f t="shared" si="391"/>
        <v>0</v>
      </c>
      <c r="W11313" s="66" t="str">
        <f>IFERROR(VLOOKUP($O11313,'Customer List'!$A$1:$J$488,10,FALSE),"")</f>
        <v/>
      </c>
    </row>
    <row r="11314" spans="18:23">
      <c r="R11314" s="97">
        <f t="shared" si="391"/>
        <v>0</v>
      </c>
      <c r="W11314" s="66" t="str">
        <f>IFERROR(VLOOKUP($O11314,'Customer List'!$A$1:$J$488,10,FALSE),"")</f>
        <v/>
      </c>
    </row>
    <row r="11315" spans="18:23">
      <c r="R11315" s="97">
        <f t="shared" si="391"/>
        <v>0</v>
      </c>
      <c r="W11315" s="66" t="str">
        <f>IFERROR(VLOOKUP($O11315,'Customer List'!$A$1:$J$488,10,FALSE),"")</f>
        <v/>
      </c>
    </row>
    <row r="11316" spans="18:23">
      <c r="R11316" s="97">
        <f t="shared" si="391"/>
        <v>0</v>
      </c>
      <c r="W11316" s="66" t="str">
        <f>IFERROR(VLOOKUP($O11316,'Customer List'!$A$1:$J$488,10,FALSE),"")</f>
        <v/>
      </c>
    </row>
    <row r="11317" spans="18:23">
      <c r="R11317" s="97">
        <f t="shared" si="391"/>
        <v>0</v>
      </c>
      <c r="W11317" s="66" t="str">
        <f>IFERROR(VLOOKUP($O11317,'Customer List'!$A$1:$J$488,10,FALSE),"")</f>
        <v/>
      </c>
    </row>
    <row r="11318" spans="18:23">
      <c r="R11318" s="97">
        <f t="shared" si="391"/>
        <v>0</v>
      </c>
      <c r="W11318" s="66" t="str">
        <f>IFERROR(VLOOKUP($O11318,'Customer List'!$A$1:$J$488,10,FALSE),"")</f>
        <v/>
      </c>
    </row>
    <row r="11319" spans="18:23">
      <c r="R11319" s="97">
        <f t="shared" si="391"/>
        <v>0</v>
      </c>
      <c r="W11319" s="66" t="str">
        <f>IFERROR(VLOOKUP($O11319,'Customer List'!$A$1:$J$488,10,FALSE),"")</f>
        <v/>
      </c>
    </row>
    <row r="11320" spans="18:23">
      <c r="R11320" s="97">
        <f t="shared" si="391"/>
        <v>0</v>
      </c>
      <c r="W11320" s="66" t="str">
        <f>IFERROR(VLOOKUP($O11320,'Customer List'!$A$1:$J$488,10,FALSE),"")</f>
        <v/>
      </c>
    </row>
    <row r="11321" spans="18:23">
      <c r="R11321" s="97">
        <f t="shared" si="391"/>
        <v>0</v>
      </c>
      <c r="W11321" s="66" t="str">
        <f>IFERROR(VLOOKUP($O11321,'Customer List'!$A$1:$J$488,10,FALSE),"")</f>
        <v/>
      </c>
    </row>
    <row r="11322" spans="18:23">
      <c r="R11322" s="97">
        <f t="shared" si="391"/>
        <v>0</v>
      </c>
      <c r="W11322" s="66" t="str">
        <f>IFERROR(VLOOKUP($O11322,'Customer List'!$A$1:$J$488,10,FALSE),"")</f>
        <v/>
      </c>
    </row>
    <row r="11323" spans="18:23">
      <c r="R11323" s="97">
        <f t="shared" si="391"/>
        <v>0</v>
      </c>
      <c r="W11323" s="66" t="str">
        <f>IFERROR(VLOOKUP($O11323,'Customer List'!$A$1:$J$488,10,FALSE),"")</f>
        <v/>
      </c>
    </row>
    <row r="11324" spans="18:23">
      <c r="R11324" s="97">
        <f t="shared" si="391"/>
        <v>0</v>
      </c>
      <c r="W11324" s="66" t="str">
        <f>IFERROR(VLOOKUP($O11324,'Customer List'!$A$1:$J$488,10,FALSE),"")</f>
        <v/>
      </c>
    </row>
    <row r="11325" spans="18:23">
      <c r="R11325" s="97">
        <f t="shared" si="391"/>
        <v>0</v>
      </c>
      <c r="W11325" s="66" t="str">
        <f>IFERROR(VLOOKUP($O11325,'Customer List'!$A$1:$J$488,10,FALSE),"")</f>
        <v/>
      </c>
    </row>
    <row r="11326" spans="18:23">
      <c r="R11326" s="97">
        <f t="shared" si="391"/>
        <v>0</v>
      </c>
      <c r="W11326" s="66" t="str">
        <f>IFERROR(VLOOKUP($O11326,'Customer List'!$A$1:$J$488,10,FALSE),"")</f>
        <v/>
      </c>
    </row>
    <row r="11327" spans="18:23">
      <c r="R11327" s="97">
        <f t="shared" si="391"/>
        <v>0</v>
      </c>
      <c r="W11327" s="66" t="str">
        <f>IFERROR(VLOOKUP($O11327,'Customer List'!$A$1:$J$488,10,FALSE),"")</f>
        <v/>
      </c>
    </row>
    <row r="11328" spans="18:23">
      <c r="R11328" s="97">
        <f t="shared" si="391"/>
        <v>0</v>
      </c>
      <c r="W11328" s="66" t="str">
        <f>IFERROR(VLOOKUP($O11328,'Customer List'!$A$1:$J$488,10,FALSE),"")</f>
        <v/>
      </c>
    </row>
    <row r="11329" spans="18:23">
      <c r="R11329" s="97">
        <f t="shared" si="391"/>
        <v>0</v>
      </c>
      <c r="W11329" s="66" t="str">
        <f>IFERROR(VLOOKUP($O11329,'Customer List'!$A$1:$J$488,10,FALSE),"")</f>
        <v/>
      </c>
    </row>
    <row r="11330" spans="18:23">
      <c r="R11330" s="97">
        <f t="shared" si="391"/>
        <v>0</v>
      </c>
      <c r="W11330" s="66" t="str">
        <f>IFERROR(VLOOKUP($O11330,'Customer List'!$A$1:$J$488,10,FALSE),"")</f>
        <v/>
      </c>
    </row>
    <row r="11331" spans="18:23">
      <c r="R11331" s="97">
        <f t="shared" si="391"/>
        <v>0</v>
      </c>
      <c r="W11331" s="66" t="str">
        <f>IFERROR(VLOOKUP($O11331,'Customer List'!$A$1:$J$488,10,FALSE),"")</f>
        <v/>
      </c>
    </row>
    <row r="11332" spans="18:23">
      <c r="R11332" s="97">
        <f t="shared" si="391"/>
        <v>0</v>
      </c>
      <c r="W11332" s="66" t="str">
        <f>IFERROR(VLOOKUP($O11332,'Customer List'!$A$1:$J$488,10,FALSE),"")</f>
        <v/>
      </c>
    </row>
    <row r="11333" spans="18:23">
      <c r="R11333" s="97">
        <f t="shared" si="391"/>
        <v>0</v>
      </c>
      <c r="W11333" s="66" t="str">
        <f>IFERROR(VLOOKUP($O11333,'Customer List'!$A$1:$J$488,10,FALSE),"")</f>
        <v/>
      </c>
    </row>
    <row r="11334" spans="18:23">
      <c r="R11334" s="97">
        <f t="shared" si="391"/>
        <v>0</v>
      </c>
      <c r="W11334" s="66" t="str">
        <f>IFERROR(VLOOKUP($O11334,'Customer List'!$A$1:$J$488,10,FALSE),"")</f>
        <v/>
      </c>
    </row>
    <row r="11335" spans="18:23">
      <c r="R11335" s="97">
        <f t="shared" si="391"/>
        <v>0</v>
      </c>
      <c r="W11335" s="66" t="str">
        <f>IFERROR(VLOOKUP($O11335,'Customer List'!$A$1:$J$488,10,FALSE),"")</f>
        <v/>
      </c>
    </row>
    <row r="11336" spans="18:23">
      <c r="R11336" s="97">
        <f t="shared" si="391"/>
        <v>0</v>
      </c>
      <c r="W11336" s="66" t="str">
        <f>IFERROR(VLOOKUP($O11336,'Customer List'!$A$1:$J$488,10,FALSE),"")</f>
        <v/>
      </c>
    </row>
    <row r="11337" spans="18:23">
      <c r="R11337" s="97">
        <f t="shared" si="391"/>
        <v>0</v>
      </c>
      <c r="W11337" s="66" t="str">
        <f>IFERROR(VLOOKUP($O11337,'Customer List'!$A$1:$J$488,10,FALSE),"")</f>
        <v/>
      </c>
    </row>
    <row r="11338" spans="18:23">
      <c r="R11338" s="97">
        <f t="shared" si="391"/>
        <v>0</v>
      </c>
      <c r="W11338" s="66" t="str">
        <f>IFERROR(VLOOKUP($O11338,'Customer List'!$A$1:$J$488,10,FALSE),"")</f>
        <v/>
      </c>
    </row>
    <row r="11339" spans="18:23">
      <c r="R11339" s="97">
        <f t="shared" si="391"/>
        <v>0</v>
      </c>
      <c r="W11339" s="66" t="str">
        <f>IFERROR(VLOOKUP($O11339,'Customer List'!$A$1:$J$488,10,FALSE),"")</f>
        <v/>
      </c>
    </row>
    <row r="11340" spans="18:23">
      <c r="R11340" s="97">
        <f t="shared" si="391"/>
        <v>0</v>
      </c>
      <c r="W11340" s="66" t="str">
        <f>IFERROR(VLOOKUP($O11340,'Customer List'!$A$1:$J$488,10,FALSE),"")</f>
        <v/>
      </c>
    </row>
    <row r="11341" spans="18:23">
      <c r="R11341" s="97">
        <f t="shared" si="391"/>
        <v>0</v>
      </c>
      <c r="W11341" s="66" t="str">
        <f>IFERROR(VLOOKUP($O11341,'Customer List'!$A$1:$J$488,10,FALSE),"")</f>
        <v/>
      </c>
    </row>
    <row r="11342" spans="18:23">
      <c r="R11342" s="97">
        <f t="shared" si="391"/>
        <v>0</v>
      </c>
      <c r="W11342" s="66" t="str">
        <f>IFERROR(VLOOKUP($O11342,'Customer List'!$A$1:$J$488,10,FALSE),"")</f>
        <v/>
      </c>
    </row>
    <row r="11343" spans="18:23">
      <c r="R11343" s="97">
        <f t="shared" si="391"/>
        <v>0</v>
      </c>
      <c r="W11343" s="66" t="str">
        <f>IFERROR(VLOOKUP($O11343,'Customer List'!$A$1:$J$488,10,FALSE),"")</f>
        <v/>
      </c>
    </row>
    <row r="11344" spans="18:23">
      <c r="R11344" s="97">
        <f t="shared" si="391"/>
        <v>0</v>
      </c>
      <c r="W11344" s="66" t="str">
        <f>IFERROR(VLOOKUP($O11344,'Customer List'!$A$1:$J$488,10,FALSE),"")</f>
        <v/>
      </c>
    </row>
    <row r="11345" spans="18:23">
      <c r="R11345" s="97">
        <f t="shared" si="391"/>
        <v>0</v>
      </c>
      <c r="W11345" s="66" t="str">
        <f>IFERROR(VLOOKUP($O11345,'Customer List'!$A$1:$J$488,10,FALSE),"")</f>
        <v/>
      </c>
    </row>
    <row r="11346" spans="18:23">
      <c r="R11346" s="97">
        <f t="shared" si="391"/>
        <v>0</v>
      </c>
      <c r="W11346" s="66" t="str">
        <f>IFERROR(VLOOKUP($O11346,'Customer List'!$A$1:$J$488,10,FALSE),"")</f>
        <v/>
      </c>
    </row>
    <row r="11347" spans="18:23">
      <c r="R11347" s="97">
        <f t="shared" si="391"/>
        <v>0</v>
      </c>
      <c r="W11347" s="66" t="str">
        <f>IFERROR(VLOOKUP($O11347,'Customer List'!$A$1:$J$488,10,FALSE),"")</f>
        <v/>
      </c>
    </row>
    <row r="11348" spans="18:23">
      <c r="R11348" s="97">
        <f t="shared" si="391"/>
        <v>0</v>
      </c>
      <c r="W11348" s="66" t="str">
        <f>IFERROR(VLOOKUP($O11348,'Customer List'!$A$1:$J$488,10,FALSE),"")</f>
        <v/>
      </c>
    </row>
    <row r="11349" spans="18:23">
      <c r="R11349" s="97">
        <f t="shared" si="391"/>
        <v>0</v>
      </c>
      <c r="W11349" s="66" t="str">
        <f>IFERROR(VLOOKUP($O11349,'Customer List'!$A$1:$J$488,10,FALSE),"")</f>
        <v/>
      </c>
    </row>
    <row r="11350" spans="18:23">
      <c r="R11350" s="97">
        <f t="shared" si="391"/>
        <v>0</v>
      </c>
      <c r="W11350" s="66" t="str">
        <f>IFERROR(VLOOKUP($O11350,'Customer List'!$A$1:$J$488,10,FALSE),"")</f>
        <v/>
      </c>
    </row>
    <row r="11351" spans="18:23">
      <c r="R11351" s="97">
        <f t="shared" si="391"/>
        <v>0</v>
      </c>
      <c r="W11351" s="66" t="str">
        <f>IFERROR(VLOOKUP($O11351,'Customer List'!$A$1:$J$488,10,FALSE),"")</f>
        <v/>
      </c>
    </row>
    <row r="11352" spans="18:23">
      <c r="R11352" s="97">
        <f t="shared" si="391"/>
        <v>0</v>
      </c>
      <c r="W11352" s="66" t="str">
        <f>IFERROR(VLOOKUP($O11352,'Customer List'!$A$1:$J$488,10,FALSE),"")</f>
        <v/>
      </c>
    </row>
    <row r="11353" spans="18:23">
      <c r="R11353" s="97">
        <f t="shared" si="391"/>
        <v>0</v>
      </c>
      <c r="W11353" s="66" t="str">
        <f>IFERROR(VLOOKUP($O11353,'Customer List'!$A$1:$J$488,10,FALSE),"")</f>
        <v/>
      </c>
    </row>
    <row r="11354" spans="18:23">
      <c r="R11354" s="97">
        <f t="shared" si="391"/>
        <v>0</v>
      </c>
      <c r="W11354" s="66" t="str">
        <f>IFERROR(VLOOKUP($O11354,'Customer List'!$A$1:$J$488,10,FALSE),"")</f>
        <v/>
      </c>
    </row>
    <row r="11355" spans="18:23">
      <c r="R11355" s="97">
        <f t="shared" si="391"/>
        <v>0</v>
      </c>
      <c r="W11355" s="66" t="str">
        <f>IFERROR(VLOOKUP($O11355,'Customer List'!$A$1:$J$488,10,FALSE),"")</f>
        <v/>
      </c>
    </row>
    <row r="11356" spans="18:23">
      <c r="R11356" s="97">
        <f t="shared" si="391"/>
        <v>0</v>
      </c>
      <c r="W11356" s="66" t="str">
        <f>IFERROR(VLOOKUP($O11356,'Customer List'!$A$1:$J$488,10,FALSE),"")</f>
        <v/>
      </c>
    </row>
    <row r="11357" spans="18:23">
      <c r="R11357" s="97">
        <f t="shared" si="391"/>
        <v>0</v>
      </c>
      <c r="W11357" s="66" t="str">
        <f>IFERROR(VLOOKUP($O11357,'Customer List'!$A$1:$J$488,10,FALSE),"")</f>
        <v/>
      </c>
    </row>
    <row r="11358" spans="18:23">
      <c r="R11358" s="97">
        <f t="shared" si="391"/>
        <v>0</v>
      </c>
      <c r="W11358" s="66" t="str">
        <f>IFERROR(VLOOKUP($O11358,'Customer List'!$A$1:$J$488,10,FALSE),"")</f>
        <v/>
      </c>
    </row>
    <row r="11359" spans="18:23">
      <c r="R11359" s="97">
        <f t="shared" si="391"/>
        <v>0</v>
      </c>
      <c r="W11359" s="66" t="str">
        <f>IFERROR(VLOOKUP($O11359,'Customer List'!$A$1:$J$488,10,FALSE),"")</f>
        <v/>
      </c>
    </row>
    <row r="11360" spans="18:23">
      <c r="R11360" s="97">
        <f t="shared" si="391"/>
        <v>0</v>
      </c>
      <c r="W11360" s="66" t="str">
        <f>IFERROR(VLOOKUP($O11360,'Customer List'!$A$1:$J$488,10,FALSE),"")</f>
        <v/>
      </c>
    </row>
    <row r="11361" spans="18:23">
      <c r="R11361" s="97">
        <f t="shared" si="391"/>
        <v>0</v>
      </c>
      <c r="W11361" s="66" t="str">
        <f>IFERROR(VLOOKUP($O11361,'Customer List'!$A$1:$J$488,10,FALSE),"")</f>
        <v/>
      </c>
    </row>
    <row r="11362" spans="18:23">
      <c r="R11362" s="97">
        <f t="shared" si="391"/>
        <v>0</v>
      </c>
      <c r="W11362" s="66" t="str">
        <f>IFERROR(VLOOKUP($O11362,'Customer List'!$A$1:$J$488,10,FALSE),"")</f>
        <v/>
      </c>
    </row>
    <row r="11363" spans="18:23">
      <c r="R11363" s="97">
        <f t="shared" si="391"/>
        <v>0</v>
      </c>
      <c r="W11363" s="66" t="str">
        <f>IFERROR(VLOOKUP($O11363,'Customer List'!$A$1:$J$488,10,FALSE),"")</f>
        <v/>
      </c>
    </row>
    <row r="11364" spans="18:23">
      <c r="R11364" s="97">
        <f t="shared" si="391"/>
        <v>0</v>
      </c>
      <c r="W11364" s="66" t="str">
        <f>IFERROR(VLOOKUP($O11364,'Customer List'!$A$1:$J$488,10,FALSE),"")</f>
        <v/>
      </c>
    </row>
    <row r="11365" spans="18:23">
      <c r="R11365" s="97">
        <f t="shared" si="391"/>
        <v>0</v>
      </c>
      <c r="W11365" s="66" t="str">
        <f>IFERROR(VLOOKUP($O11365,'Customer List'!$A$1:$J$488,10,FALSE),"")</f>
        <v/>
      </c>
    </row>
    <row r="11366" spans="18:23">
      <c r="R11366" s="97">
        <f t="shared" si="391"/>
        <v>0</v>
      </c>
      <c r="W11366" s="66" t="str">
        <f>IFERROR(VLOOKUP($O11366,'Customer List'!$A$1:$J$488,10,FALSE),"")</f>
        <v/>
      </c>
    </row>
    <row r="11367" spans="18:23">
      <c r="R11367" s="97">
        <f t="shared" si="391"/>
        <v>0</v>
      </c>
      <c r="W11367" s="66" t="str">
        <f>IFERROR(VLOOKUP($O11367,'Customer List'!$A$1:$J$488,10,FALSE),"")</f>
        <v/>
      </c>
    </row>
    <row r="11368" spans="18:23">
      <c r="R11368" s="97">
        <f t="shared" ref="R11368:R11431" si="392">L11368-K11368</f>
        <v>0</v>
      </c>
      <c r="W11368" s="66" t="str">
        <f>IFERROR(VLOOKUP($O11368,'Customer List'!$A$1:$J$488,10,FALSE),"")</f>
        <v/>
      </c>
    </row>
    <row r="11369" spans="18:23">
      <c r="R11369" s="97">
        <f t="shared" si="392"/>
        <v>0</v>
      </c>
      <c r="W11369" s="66" t="str">
        <f>IFERROR(VLOOKUP($O11369,'Customer List'!$A$1:$J$488,10,FALSE),"")</f>
        <v/>
      </c>
    </row>
    <row r="11370" spans="18:23">
      <c r="R11370" s="97">
        <f t="shared" si="392"/>
        <v>0</v>
      </c>
      <c r="W11370" s="66" t="str">
        <f>IFERROR(VLOOKUP($O11370,'Customer List'!$A$1:$J$488,10,FALSE),"")</f>
        <v/>
      </c>
    </row>
    <row r="11371" spans="18:23">
      <c r="R11371" s="97">
        <f t="shared" si="392"/>
        <v>0</v>
      </c>
      <c r="W11371" s="66" t="str">
        <f>IFERROR(VLOOKUP($O11371,'Customer List'!$A$1:$J$488,10,FALSE),"")</f>
        <v/>
      </c>
    </row>
    <row r="11372" spans="18:23">
      <c r="R11372" s="97">
        <f t="shared" si="392"/>
        <v>0</v>
      </c>
      <c r="W11372" s="66" t="str">
        <f>IFERROR(VLOOKUP($O11372,'Customer List'!$A$1:$J$488,10,FALSE),"")</f>
        <v/>
      </c>
    </row>
    <row r="11373" spans="18:23">
      <c r="R11373" s="97">
        <f t="shared" si="392"/>
        <v>0</v>
      </c>
      <c r="W11373" s="66" t="str">
        <f>IFERROR(VLOOKUP($O11373,'Customer List'!$A$1:$J$488,10,FALSE),"")</f>
        <v/>
      </c>
    </row>
    <row r="11374" spans="18:23">
      <c r="R11374" s="97">
        <f t="shared" si="392"/>
        <v>0</v>
      </c>
      <c r="W11374" s="66" t="str">
        <f>IFERROR(VLOOKUP($O11374,'Customer List'!$A$1:$J$488,10,FALSE),"")</f>
        <v/>
      </c>
    </row>
    <row r="11375" spans="18:23">
      <c r="R11375" s="97">
        <f t="shared" si="392"/>
        <v>0</v>
      </c>
      <c r="W11375" s="66" t="str">
        <f>IFERROR(VLOOKUP($O11375,'Customer List'!$A$1:$J$488,10,FALSE),"")</f>
        <v/>
      </c>
    </row>
    <row r="11376" spans="18:23">
      <c r="R11376" s="97">
        <f t="shared" si="392"/>
        <v>0</v>
      </c>
      <c r="W11376" s="66" t="str">
        <f>IFERROR(VLOOKUP($O11376,'Customer List'!$A$1:$J$488,10,FALSE),"")</f>
        <v/>
      </c>
    </row>
    <row r="11377" spans="18:23">
      <c r="R11377" s="97">
        <f t="shared" si="392"/>
        <v>0</v>
      </c>
      <c r="W11377" s="66" t="str">
        <f>IFERROR(VLOOKUP($O11377,'Customer List'!$A$1:$J$488,10,FALSE),"")</f>
        <v/>
      </c>
    </row>
    <row r="11378" spans="18:23">
      <c r="R11378" s="97">
        <f t="shared" si="392"/>
        <v>0</v>
      </c>
      <c r="W11378" s="66" t="str">
        <f>IFERROR(VLOOKUP($O11378,'Customer List'!$A$1:$J$488,10,FALSE),"")</f>
        <v/>
      </c>
    </row>
    <row r="11379" spans="18:23">
      <c r="R11379" s="97">
        <f t="shared" si="392"/>
        <v>0</v>
      </c>
      <c r="W11379" s="66" t="str">
        <f>IFERROR(VLOOKUP($O11379,'Customer List'!$A$1:$J$488,10,FALSE),"")</f>
        <v/>
      </c>
    </row>
    <row r="11380" spans="18:23">
      <c r="R11380" s="97">
        <f t="shared" si="392"/>
        <v>0</v>
      </c>
      <c r="W11380" s="66" t="str">
        <f>IFERROR(VLOOKUP($O11380,'Customer List'!$A$1:$J$488,10,FALSE),"")</f>
        <v/>
      </c>
    </row>
    <row r="11381" spans="18:23">
      <c r="R11381" s="97">
        <f t="shared" si="392"/>
        <v>0</v>
      </c>
      <c r="W11381" s="66" t="str">
        <f>IFERROR(VLOOKUP($O11381,'Customer List'!$A$1:$J$488,10,FALSE),"")</f>
        <v/>
      </c>
    </row>
    <row r="11382" spans="18:23">
      <c r="R11382" s="97">
        <f t="shared" si="392"/>
        <v>0</v>
      </c>
      <c r="W11382" s="66" t="str">
        <f>IFERROR(VLOOKUP($O11382,'Customer List'!$A$1:$J$488,10,FALSE),"")</f>
        <v/>
      </c>
    </row>
    <row r="11383" spans="18:23">
      <c r="R11383" s="97">
        <f t="shared" si="392"/>
        <v>0</v>
      </c>
      <c r="W11383" s="66" t="str">
        <f>IFERROR(VLOOKUP($O11383,'Customer List'!$A$1:$J$488,10,FALSE),"")</f>
        <v/>
      </c>
    </row>
    <row r="11384" spans="18:23">
      <c r="R11384" s="97">
        <f t="shared" si="392"/>
        <v>0</v>
      </c>
      <c r="W11384" s="66" t="str">
        <f>IFERROR(VLOOKUP($O11384,'Customer List'!$A$1:$J$488,10,FALSE),"")</f>
        <v/>
      </c>
    </row>
    <row r="11385" spans="18:23">
      <c r="R11385" s="97">
        <f t="shared" si="392"/>
        <v>0</v>
      </c>
      <c r="W11385" s="66" t="str">
        <f>IFERROR(VLOOKUP($O11385,'Customer List'!$A$1:$J$488,10,FALSE),"")</f>
        <v/>
      </c>
    </row>
    <row r="11386" spans="18:23">
      <c r="R11386" s="97">
        <f t="shared" si="392"/>
        <v>0</v>
      </c>
      <c r="W11386" s="66" t="str">
        <f>IFERROR(VLOOKUP($O11386,'Customer List'!$A$1:$J$488,10,FALSE),"")</f>
        <v/>
      </c>
    </row>
    <row r="11387" spans="18:23">
      <c r="R11387" s="97">
        <f t="shared" si="392"/>
        <v>0</v>
      </c>
      <c r="W11387" s="66" t="str">
        <f>IFERROR(VLOOKUP($O11387,'Customer List'!$A$1:$J$488,10,FALSE),"")</f>
        <v/>
      </c>
    </row>
    <row r="11388" spans="18:23">
      <c r="R11388" s="97">
        <f t="shared" si="392"/>
        <v>0</v>
      </c>
      <c r="W11388" s="66" t="str">
        <f>IFERROR(VLOOKUP($O11388,'Customer List'!$A$1:$J$488,10,FALSE),"")</f>
        <v/>
      </c>
    </row>
    <row r="11389" spans="18:23">
      <c r="R11389" s="97">
        <f t="shared" si="392"/>
        <v>0</v>
      </c>
      <c r="W11389" s="66" t="str">
        <f>IFERROR(VLOOKUP($O11389,'Customer List'!$A$1:$J$488,10,FALSE),"")</f>
        <v/>
      </c>
    </row>
    <row r="11390" spans="18:23">
      <c r="R11390" s="97">
        <f t="shared" si="392"/>
        <v>0</v>
      </c>
      <c r="W11390" s="66" t="str">
        <f>IFERROR(VLOOKUP($O11390,'Customer List'!$A$1:$J$488,10,FALSE),"")</f>
        <v/>
      </c>
    </row>
    <row r="11391" spans="18:23">
      <c r="R11391" s="97">
        <f t="shared" si="392"/>
        <v>0</v>
      </c>
      <c r="W11391" s="66" t="str">
        <f>IFERROR(VLOOKUP($O11391,'Customer List'!$A$1:$J$488,10,FALSE),"")</f>
        <v/>
      </c>
    </row>
    <row r="11392" spans="18:23">
      <c r="R11392" s="97">
        <f t="shared" si="392"/>
        <v>0</v>
      </c>
      <c r="W11392" s="66" t="str">
        <f>IFERROR(VLOOKUP($O11392,'Customer List'!$A$1:$J$488,10,FALSE),"")</f>
        <v/>
      </c>
    </row>
    <row r="11393" spans="18:23">
      <c r="R11393" s="97">
        <f t="shared" si="392"/>
        <v>0</v>
      </c>
      <c r="W11393" s="66" t="str">
        <f>IFERROR(VLOOKUP($O11393,'Customer List'!$A$1:$J$488,10,FALSE),"")</f>
        <v/>
      </c>
    </row>
    <row r="11394" spans="18:23">
      <c r="R11394" s="97">
        <f t="shared" si="392"/>
        <v>0</v>
      </c>
      <c r="W11394" s="66" t="str">
        <f>IFERROR(VLOOKUP($O11394,'Customer List'!$A$1:$J$488,10,FALSE),"")</f>
        <v/>
      </c>
    </row>
    <row r="11395" spans="18:23">
      <c r="R11395" s="97">
        <f t="shared" si="392"/>
        <v>0</v>
      </c>
      <c r="W11395" s="66" t="str">
        <f>IFERROR(VLOOKUP($O11395,'Customer List'!$A$1:$J$488,10,FALSE),"")</f>
        <v/>
      </c>
    </row>
    <row r="11396" spans="18:23">
      <c r="R11396" s="97">
        <f t="shared" si="392"/>
        <v>0</v>
      </c>
      <c r="W11396" s="66" t="str">
        <f>IFERROR(VLOOKUP($O11396,'Customer List'!$A$1:$J$488,10,FALSE),"")</f>
        <v/>
      </c>
    </row>
    <row r="11397" spans="18:23">
      <c r="R11397" s="97">
        <f t="shared" si="392"/>
        <v>0</v>
      </c>
      <c r="W11397" s="66" t="str">
        <f>IFERROR(VLOOKUP($O11397,'Customer List'!$A$1:$J$488,10,FALSE),"")</f>
        <v/>
      </c>
    </row>
    <row r="11398" spans="18:23">
      <c r="R11398" s="97">
        <f t="shared" si="392"/>
        <v>0</v>
      </c>
      <c r="W11398" s="66" t="str">
        <f>IFERROR(VLOOKUP($O11398,'Customer List'!$A$1:$J$488,10,FALSE),"")</f>
        <v/>
      </c>
    </row>
    <row r="11399" spans="18:23">
      <c r="R11399" s="97">
        <f t="shared" si="392"/>
        <v>0</v>
      </c>
      <c r="W11399" s="66" t="str">
        <f>IFERROR(VLOOKUP($O11399,'Customer List'!$A$1:$J$488,10,FALSE),"")</f>
        <v/>
      </c>
    </row>
    <row r="11400" spans="18:23">
      <c r="R11400" s="97">
        <f t="shared" si="392"/>
        <v>0</v>
      </c>
      <c r="W11400" s="66" t="str">
        <f>IFERROR(VLOOKUP($O11400,'Customer List'!$A$1:$J$488,10,FALSE),"")</f>
        <v/>
      </c>
    </row>
    <row r="11401" spans="18:23">
      <c r="R11401" s="97">
        <f t="shared" si="392"/>
        <v>0</v>
      </c>
      <c r="W11401" s="66" t="str">
        <f>IFERROR(VLOOKUP($O11401,'Customer List'!$A$1:$J$488,10,FALSE),"")</f>
        <v/>
      </c>
    </row>
    <row r="11402" spans="18:23">
      <c r="R11402" s="97">
        <f t="shared" si="392"/>
        <v>0</v>
      </c>
      <c r="W11402" s="66" t="str">
        <f>IFERROR(VLOOKUP($O11402,'Customer List'!$A$1:$J$488,10,FALSE),"")</f>
        <v/>
      </c>
    </row>
    <row r="11403" spans="18:23">
      <c r="R11403" s="97">
        <f t="shared" si="392"/>
        <v>0</v>
      </c>
      <c r="W11403" s="66" t="str">
        <f>IFERROR(VLOOKUP($O11403,'Customer List'!$A$1:$J$488,10,FALSE),"")</f>
        <v/>
      </c>
    </row>
    <row r="11404" spans="18:23">
      <c r="R11404" s="97">
        <f t="shared" si="392"/>
        <v>0</v>
      </c>
      <c r="W11404" s="66" t="str">
        <f>IFERROR(VLOOKUP($O11404,'Customer List'!$A$1:$J$488,10,FALSE),"")</f>
        <v/>
      </c>
    </row>
    <row r="11405" spans="18:23">
      <c r="R11405" s="97">
        <f t="shared" si="392"/>
        <v>0</v>
      </c>
      <c r="W11405" s="66" t="str">
        <f>IFERROR(VLOOKUP($O11405,'Customer List'!$A$1:$J$488,10,FALSE),"")</f>
        <v/>
      </c>
    </row>
    <row r="11406" spans="18:23">
      <c r="R11406" s="97">
        <f t="shared" si="392"/>
        <v>0</v>
      </c>
      <c r="W11406" s="66" t="str">
        <f>IFERROR(VLOOKUP($O11406,'Customer List'!$A$1:$J$488,10,FALSE),"")</f>
        <v/>
      </c>
    </row>
    <row r="11407" spans="18:23">
      <c r="R11407" s="97">
        <f t="shared" si="392"/>
        <v>0</v>
      </c>
      <c r="W11407" s="66" t="str">
        <f>IFERROR(VLOOKUP($O11407,'Customer List'!$A$1:$J$488,10,FALSE),"")</f>
        <v/>
      </c>
    </row>
    <row r="11408" spans="18:23">
      <c r="R11408" s="97">
        <f t="shared" si="392"/>
        <v>0</v>
      </c>
      <c r="W11408" s="66" t="str">
        <f>IFERROR(VLOOKUP($O11408,'Customer List'!$A$1:$J$488,10,FALSE),"")</f>
        <v/>
      </c>
    </row>
    <row r="11409" spans="18:23">
      <c r="R11409" s="97">
        <f t="shared" si="392"/>
        <v>0</v>
      </c>
      <c r="W11409" s="66" t="str">
        <f>IFERROR(VLOOKUP($O11409,'Customer List'!$A$1:$J$488,10,FALSE),"")</f>
        <v/>
      </c>
    </row>
    <row r="11410" spans="18:23">
      <c r="R11410" s="97">
        <f t="shared" si="392"/>
        <v>0</v>
      </c>
      <c r="W11410" s="66" t="str">
        <f>IFERROR(VLOOKUP($O11410,'Customer List'!$A$1:$J$488,10,FALSE),"")</f>
        <v/>
      </c>
    </row>
    <row r="11411" spans="18:23">
      <c r="R11411" s="97">
        <f t="shared" si="392"/>
        <v>0</v>
      </c>
      <c r="W11411" s="66" t="str">
        <f>IFERROR(VLOOKUP($O11411,'Customer List'!$A$1:$J$488,10,FALSE),"")</f>
        <v/>
      </c>
    </row>
    <row r="11412" spans="18:23">
      <c r="R11412" s="97">
        <f t="shared" si="392"/>
        <v>0</v>
      </c>
      <c r="W11412" s="66" t="str">
        <f>IFERROR(VLOOKUP($O11412,'Customer List'!$A$1:$J$488,10,FALSE),"")</f>
        <v/>
      </c>
    </row>
    <row r="11413" spans="18:23">
      <c r="R11413" s="97">
        <f t="shared" si="392"/>
        <v>0</v>
      </c>
      <c r="W11413" s="66" t="str">
        <f>IFERROR(VLOOKUP($O11413,'Customer List'!$A$1:$J$488,10,FALSE),"")</f>
        <v/>
      </c>
    </row>
    <row r="11414" spans="18:23">
      <c r="R11414" s="97">
        <f t="shared" si="392"/>
        <v>0</v>
      </c>
      <c r="W11414" s="66" t="str">
        <f>IFERROR(VLOOKUP($O11414,'Customer List'!$A$1:$J$488,10,FALSE),"")</f>
        <v/>
      </c>
    </row>
    <row r="11415" spans="18:23">
      <c r="R11415" s="97">
        <f t="shared" si="392"/>
        <v>0</v>
      </c>
      <c r="W11415" s="66" t="str">
        <f>IFERROR(VLOOKUP($O11415,'Customer List'!$A$1:$J$488,10,FALSE),"")</f>
        <v/>
      </c>
    </row>
    <row r="11416" spans="18:23">
      <c r="R11416" s="97">
        <f t="shared" si="392"/>
        <v>0</v>
      </c>
      <c r="W11416" s="66" t="str">
        <f>IFERROR(VLOOKUP($O11416,'Customer List'!$A$1:$J$488,10,FALSE),"")</f>
        <v/>
      </c>
    </row>
    <row r="11417" spans="18:23">
      <c r="R11417" s="97">
        <f t="shared" si="392"/>
        <v>0</v>
      </c>
      <c r="W11417" s="66" t="str">
        <f>IFERROR(VLOOKUP($O11417,'Customer List'!$A$1:$J$488,10,FALSE),"")</f>
        <v/>
      </c>
    </row>
    <row r="11418" spans="18:23">
      <c r="R11418" s="97">
        <f t="shared" si="392"/>
        <v>0</v>
      </c>
      <c r="W11418" s="66" t="str">
        <f>IFERROR(VLOOKUP($O11418,'Customer List'!$A$1:$J$488,10,FALSE),"")</f>
        <v/>
      </c>
    </row>
    <row r="11419" spans="18:23">
      <c r="R11419" s="97">
        <f t="shared" si="392"/>
        <v>0</v>
      </c>
      <c r="W11419" s="66" t="str">
        <f>IFERROR(VLOOKUP($O11419,'Customer List'!$A$1:$J$488,10,FALSE),"")</f>
        <v/>
      </c>
    </row>
    <row r="11420" spans="18:23">
      <c r="R11420" s="97">
        <f t="shared" si="392"/>
        <v>0</v>
      </c>
      <c r="W11420" s="66" t="str">
        <f>IFERROR(VLOOKUP($O11420,'Customer List'!$A$1:$J$488,10,FALSE),"")</f>
        <v/>
      </c>
    </row>
    <row r="11421" spans="18:23">
      <c r="R11421" s="97">
        <f t="shared" si="392"/>
        <v>0</v>
      </c>
      <c r="W11421" s="66" t="str">
        <f>IFERROR(VLOOKUP($O11421,'Customer List'!$A$1:$J$488,10,FALSE),"")</f>
        <v/>
      </c>
    </row>
    <row r="11422" spans="18:23">
      <c r="R11422" s="97">
        <f t="shared" si="392"/>
        <v>0</v>
      </c>
      <c r="W11422" s="66" t="str">
        <f>IFERROR(VLOOKUP($O11422,'Customer List'!$A$1:$J$488,10,FALSE),"")</f>
        <v/>
      </c>
    </row>
    <row r="11423" spans="18:23">
      <c r="R11423" s="97">
        <f t="shared" si="392"/>
        <v>0</v>
      </c>
      <c r="W11423" s="66" t="str">
        <f>IFERROR(VLOOKUP($O11423,'Customer List'!$A$1:$J$488,10,FALSE),"")</f>
        <v/>
      </c>
    </row>
    <row r="11424" spans="18:23">
      <c r="R11424" s="97">
        <f t="shared" si="392"/>
        <v>0</v>
      </c>
      <c r="W11424" s="66" t="str">
        <f>IFERROR(VLOOKUP($O11424,'Customer List'!$A$1:$J$488,10,FALSE),"")</f>
        <v/>
      </c>
    </row>
    <row r="11425" spans="18:23">
      <c r="R11425" s="97">
        <f t="shared" si="392"/>
        <v>0</v>
      </c>
      <c r="W11425" s="66" t="str">
        <f>IFERROR(VLOOKUP($O11425,'Customer List'!$A$1:$J$488,10,FALSE),"")</f>
        <v/>
      </c>
    </row>
    <row r="11426" spans="18:23">
      <c r="R11426" s="97">
        <f t="shared" si="392"/>
        <v>0</v>
      </c>
      <c r="W11426" s="66" t="str">
        <f>IFERROR(VLOOKUP($O11426,'Customer List'!$A$1:$J$488,10,FALSE),"")</f>
        <v/>
      </c>
    </row>
    <row r="11427" spans="18:23">
      <c r="R11427" s="97">
        <f t="shared" si="392"/>
        <v>0</v>
      </c>
      <c r="W11427" s="66" t="str">
        <f>IFERROR(VLOOKUP($O11427,'Customer List'!$A$1:$J$488,10,FALSE),"")</f>
        <v/>
      </c>
    </row>
    <row r="11428" spans="18:23">
      <c r="R11428" s="97">
        <f t="shared" si="392"/>
        <v>0</v>
      </c>
      <c r="W11428" s="66" t="str">
        <f>IFERROR(VLOOKUP($O11428,'Customer List'!$A$1:$J$488,10,FALSE),"")</f>
        <v/>
      </c>
    </row>
    <row r="11429" spans="18:23">
      <c r="R11429" s="97">
        <f t="shared" si="392"/>
        <v>0</v>
      </c>
      <c r="W11429" s="66" t="str">
        <f>IFERROR(VLOOKUP($O11429,'Customer List'!$A$1:$J$488,10,FALSE),"")</f>
        <v/>
      </c>
    </row>
    <row r="11430" spans="18:23">
      <c r="R11430" s="97">
        <f t="shared" si="392"/>
        <v>0</v>
      </c>
      <c r="W11430" s="66" t="str">
        <f>IFERROR(VLOOKUP($O11430,'Customer List'!$A$1:$J$488,10,FALSE),"")</f>
        <v/>
      </c>
    </row>
    <row r="11431" spans="18:23">
      <c r="R11431" s="97">
        <f t="shared" si="392"/>
        <v>0</v>
      </c>
      <c r="W11431" s="66" t="str">
        <f>IFERROR(VLOOKUP($O11431,'Customer List'!$A$1:$J$488,10,FALSE),"")</f>
        <v/>
      </c>
    </row>
    <row r="11432" spans="18:23">
      <c r="R11432" s="97">
        <f t="shared" ref="R11432:R11495" si="393">L11432-K11432</f>
        <v>0</v>
      </c>
      <c r="W11432" s="66" t="str">
        <f>IFERROR(VLOOKUP($O11432,'Customer List'!$A$1:$J$488,10,FALSE),"")</f>
        <v/>
      </c>
    </row>
    <row r="11433" spans="18:23">
      <c r="R11433" s="97">
        <f t="shared" si="393"/>
        <v>0</v>
      </c>
      <c r="W11433" s="66" t="str">
        <f>IFERROR(VLOOKUP($O11433,'Customer List'!$A$1:$J$488,10,FALSE),"")</f>
        <v/>
      </c>
    </row>
    <row r="11434" spans="18:23">
      <c r="R11434" s="97">
        <f t="shared" si="393"/>
        <v>0</v>
      </c>
      <c r="W11434" s="66" t="str">
        <f>IFERROR(VLOOKUP($O11434,'Customer List'!$A$1:$J$488,10,FALSE),"")</f>
        <v/>
      </c>
    </row>
    <row r="11435" spans="18:23">
      <c r="R11435" s="97">
        <f t="shared" si="393"/>
        <v>0</v>
      </c>
      <c r="W11435" s="66" t="str">
        <f>IFERROR(VLOOKUP($O11435,'Customer List'!$A$1:$J$488,10,FALSE),"")</f>
        <v/>
      </c>
    </row>
    <row r="11436" spans="18:23">
      <c r="R11436" s="97">
        <f t="shared" si="393"/>
        <v>0</v>
      </c>
      <c r="W11436" s="66" t="str">
        <f>IFERROR(VLOOKUP($O11436,'Customer List'!$A$1:$J$488,10,FALSE),"")</f>
        <v/>
      </c>
    </row>
    <row r="11437" spans="18:23">
      <c r="R11437" s="97">
        <f t="shared" si="393"/>
        <v>0</v>
      </c>
      <c r="W11437" s="66" t="str">
        <f>IFERROR(VLOOKUP($O11437,'Customer List'!$A$1:$J$488,10,FALSE),"")</f>
        <v/>
      </c>
    </row>
    <row r="11438" spans="18:23">
      <c r="R11438" s="97">
        <f t="shared" si="393"/>
        <v>0</v>
      </c>
      <c r="W11438" s="66" t="str">
        <f>IFERROR(VLOOKUP($O11438,'Customer List'!$A$1:$J$488,10,FALSE),"")</f>
        <v/>
      </c>
    </row>
    <row r="11439" spans="18:23">
      <c r="R11439" s="97">
        <f t="shared" si="393"/>
        <v>0</v>
      </c>
      <c r="W11439" s="66" t="str">
        <f>IFERROR(VLOOKUP($O11439,'Customer List'!$A$1:$J$488,10,FALSE),"")</f>
        <v/>
      </c>
    </row>
    <row r="11440" spans="18:23">
      <c r="R11440" s="97">
        <f t="shared" si="393"/>
        <v>0</v>
      </c>
      <c r="W11440" s="66" t="str">
        <f>IFERROR(VLOOKUP($O11440,'Customer List'!$A$1:$J$488,10,FALSE),"")</f>
        <v/>
      </c>
    </row>
    <row r="11441" spans="18:23">
      <c r="R11441" s="97">
        <f t="shared" si="393"/>
        <v>0</v>
      </c>
      <c r="W11441" s="66" t="str">
        <f>IFERROR(VLOOKUP($O11441,'Customer List'!$A$1:$J$488,10,FALSE),"")</f>
        <v/>
      </c>
    </row>
    <row r="11442" spans="18:23">
      <c r="R11442" s="97">
        <f t="shared" si="393"/>
        <v>0</v>
      </c>
      <c r="W11442" s="66" t="str">
        <f>IFERROR(VLOOKUP($O11442,'Customer List'!$A$1:$J$488,10,FALSE),"")</f>
        <v/>
      </c>
    </row>
    <row r="11443" spans="18:23">
      <c r="R11443" s="97">
        <f t="shared" si="393"/>
        <v>0</v>
      </c>
      <c r="W11443" s="66" t="str">
        <f>IFERROR(VLOOKUP($O11443,'Customer List'!$A$1:$J$488,10,FALSE),"")</f>
        <v/>
      </c>
    </row>
    <row r="11444" spans="18:23">
      <c r="R11444" s="97">
        <f t="shared" si="393"/>
        <v>0</v>
      </c>
      <c r="W11444" s="66" t="str">
        <f>IFERROR(VLOOKUP($O11444,'Customer List'!$A$1:$J$488,10,FALSE),"")</f>
        <v/>
      </c>
    </row>
    <row r="11445" spans="18:23">
      <c r="R11445" s="97">
        <f t="shared" si="393"/>
        <v>0</v>
      </c>
      <c r="W11445" s="66" t="str">
        <f>IFERROR(VLOOKUP($O11445,'Customer List'!$A$1:$J$488,10,FALSE),"")</f>
        <v/>
      </c>
    </row>
    <row r="11446" spans="18:23">
      <c r="R11446" s="97">
        <f t="shared" si="393"/>
        <v>0</v>
      </c>
      <c r="W11446" s="66" t="str">
        <f>IFERROR(VLOOKUP($O11446,'Customer List'!$A$1:$J$488,10,FALSE),"")</f>
        <v/>
      </c>
    </row>
    <row r="11447" spans="18:23">
      <c r="R11447" s="97">
        <f t="shared" si="393"/>
        <v>0</v>
      </c>
      <c r="W11447" s="66" t="str">
        <f>IFERROR(VLOOKUP($O11447,'Customer List'!$A$1:$J$488,10,FALSE),"")</f>
        <v/>
      </c>
    </row>
    <row r="11448" spans="18:23">
      <c r="R11448" s="97">
        <f t="shared" si="393"/>
        <v>0</v>
      </c>
      <c r="W11448" s="66" t="str">
        <f>IFERROR(VLOOKUP($O11448,'Customer List'!$A$1:$J$488,10,FALSE),"")</f>
        <v/>
      </c>
    </row>
    <row r="11449" spans="18:23">
      <c r="R11449" s="97">
        <f t="shared" si="393"/>
        <v>0</v>
      </c>
      <c r="W11449" s="66" t="str">
        <f>IFERROR(VLOOKUP($O11449,'Customer List'!$A$1:$J$488,10,FALSE),"")</f>
        <v/>
      </c>
    </row>
    <row r="11450" spans="18:23">
      <c r="R11450" s="97">
        <f t="shared" si="393"/>
        <v>0</v>
      </c>
      <c r="W11450" s="66" t="str">
        <f>IFERROR(VLOOKUP($O11450,'Customer List'!$A$1:$J$488,10,FALSE),"")</f>
        <v/>
      </c>
    </row>
    <row r="11451" spans="18:23">
      <c r="R11451" s="97">
        <f t="shared" si="393"/>
        <v>0</v>
      </c>
      <c r="W11451" s="66" t="str">
        <f>IFERROR(VLOOKUP($O11451,'Customer List'!$A$1:$J$488,10,FALSE),"")</f>
        <v/>
      </c>
    </row>
    <row r="11452" spans="18:23">
      <c r="R11452" s="97">
        <f t="shared" si="393"/>
        <v>0</v>
      </c>
      <c r="W11452" s="66" t="str">
        <f>IFERROR(VLOOKUP($O11452,'Customer List'!$A$1:$J$488,10,FALSE),"")</f>
        <v/>
      </c>
    </row>
    <row r="11453" spans="18:23">
      <c r="R11453" s="97">
        <f t="shared" si="393"/>
        <v>0</v>
      </c>
      <c r="W11453" s="66" t="str">
        <f>IFERROR(VLOOKUP($O11453,'Customer List'!$A$1:$J$488,10,FALSE),"")</f>
        <v/>
      </c>
    </row>
    <row r="11454" spans="18:23">
      <c r="R11454" s="97">
        <f t="shared" si="393"/>
        <v>0</v>
      </c>
      <c r="W11454" s="66" t="str">
        <f>IFERROR(VLOOKUP($O11454,'Customer List'!$A$1:$J$488,10,FALSE),"")</f>
        <v/>
      </c>
    </row>
    <row r="11455" spans="18:23">
      <c r="R11455" s="97">
        <f t="shared" si="393"/>
        <v>0</v>
      </c>
      <c r="W11455" s="66" t="str">
        <f>IFERROR(VLOOKUP($O11455,'Customer List'!$A$1:$J$488,10,FALSE),"")</f>
        <v/>
      </c>
    </row>
    <row r="11456" spans="18:23">
      <c r="R11456" s="97">
        <f t="shared" si="393"/>
        <v>0</v>
      </c>
      <c r="W11456" s="66" t="str">
        <f>IFERROR(VLOOKUP($O11456,'Customer List'!$A$1:$J$488,10,FALSE),"")</f>
        <v/>
      </c>
    </row>
    <row r="11457" spans="18:23">
      <c r="R11457" s="97">
        <f t="shared" si="393"/>
        <v>0</v>
      </c>
      <c r="W11457" s="66" t="str">
        <f>IFERROR(VLOOKUP($O11457,'Customer List'!$A$1:$J$488,10,FALSE),"")</f>
        <v/>
      </c>
    </row>
    <row r="11458" spans="18:23">
      <c r="R11458" s="97">
        <f t="shared" si="393"/>
        <v>0</v>
      </c>
      <c r="W11458" s="66" t="str">
        <f>IFERROR(VLOOKUP($O11458,'Customer List'!$A$1:$J$488,10,FALSE),"")</f>
        <v/>
      </c>
    </row>
    <row r="11459" spans="18:23">
      <c r="R11459" s="97">
        <f t="shared" si="393"/>
        <v>0</v>
      </c>
      <c r="W11459" s="66" t="str">
        <f>IFERROR(VLOOKUP($O11459,'Customer List'!$A$1:$J$488,10,FALSE),"")</f>
        <v/>
      </c>
    </row>
    <row r="11460" spans="18:23">
      <c r="R11460" s="97">
        <f t="shared" si="393"/>
        <v>0</v>
      </c>
      <c r="W11460" s="66" t="str">
        <f>IFERROR(VLOOKUP($O11460,'Customer List'!$A$1:$J$488,10,FALSE),"")</f>
        <v/>
      </c>
    </row>
    <row r="11461" spans="18:23">
      <c r="R11461" s="97">
        <f t="shared" si="393"/>
        <v>0</v>
      </c>
      <c r="W11461" s="66" t="str">
        <f>IFERROR(VLOOKUP($O11461,'Customer List'!$A$1:$J$488,10,FALSE),"")</f>
        <v/>
      </c>
    </row>
    <row r="11462" spans="18:23">
      <c r="R11462" s="97">
        <f t="shared" si="393"/>
        <v>0</v>
      </c>
      <c r="W11462" s="66" t="str">
        <f>IFERROR(VLOOKUP($O11462,'Customer List'!$A$1:$J$488,10,FALSE),"")</f>
        <v/>
      </c>
    </row>
    <row r="11463" spans="18:23">
      <c r="R11463" s="97">
        <f t="shared" si="393"/>
        <v>0</v>
      </c>
      <c r="W11463" s="66" t="str">
        <f>IFERROR(VLOOKUP($O11463,'Customer List'!$A$1:$J$488,10,FALSE),"")</f>
        <v/>
      </c>
    </row>
    <row r="11464" spans="18:23">
      <c r="R11464" s="97">
        <f t="shared" si="393"/>
        <v>0</v>
      </c>
      <c r="W11464" s="66" t="str">
        <f>IFERROR(VLOOKUP($O11464,'Customer List'!$A$1:$J$488,10,FALSE),"")</f>
        <v/>
      </c>
    </row>
    <row r="11465" spans="18:23">
      <c r="R11465" s="97">
        <f t="shared" si="393"/>
        <v>0</v>
      </c>
      <c r="W11465" s="66" t="str">
        <f>IFERROR(VLOOKUP($O11465,'Customer List'!$A$1:$J$488,10,FALSE),"")</f>
        <v/>
      </c>
    </row>
    <row r="11466" spans="18:23">
      <c r="R11466" s="97">
        <f t="shared" si="393"/>
        <v>0</v>
      </c>
      <c r="W11466" s="66" t="str">
        <f>IFERROR(VLOOKUP($O11466,'Customer List'!$A$1:$J$488,10,FALSE),"")</f>
        <v/>
      </c>
    </row>
    <row r="11467" spans="18:23">
      <c r="R11467" s="97">
        <f t="shared" si="393"/>
        <v>0</v>
      </c>
      <c r="W11467" s="66" t="str">
        <f>IFERROR(VLOOKUP($O11467,'Customer List'!$A$1:$J$488,10,FALSE),"")</f>
        <v/>
      </c>
    </row>
    <row r="11468" spans="18:23">
      <c r="R11468" s="97">
        <f t="shared" si="393"/>
        <v>0</v>
      </c>
      <c r="W11468" s="66" t="str">
        <f>IFERROR(VLOOKUP($O11468,'Customer List'!$A$1:$J$488,10,FALSE),"")</f>
        <v/>
      </c>
    </row>
    <row r="11469" spans="18:23">
      <c r="R11469" s="97">
        <f t="shared" si="393"/>
        <v>0</v>
      </c>
      <c r="W11469" s="66" t="str">
        <f>IFERROR(VLOOKUP($O11469,'Customer List'!$A$1:$J$488,10,FALSE),"")</f>
        <v/>
      </c>
    </row>
    <row r="11470" spans="18:23">
      <c r="R11470" s="97">
        <f t="shared" si="393"/>
        <v>0</v>
      </c>
      <c r="W11470" s="66" t="str">
        <f>IFERROR(VLOOKUP($O11470,'Customer List'!$A$1:$J$488,10,FALSE),"")</f>
        <v/>
      </c>
    </row>
    <row r="11471" spans="18:23">
      <c r="R11471" s="97">
        <f t="shared" si="393"/>
        <v>0</v>
      </c>
      <c r="W11471" s="66" t="str">
        <f>IFERROR(VLOOKUP($O11471,'Customer List'!$A$1:$J$488,10,FALSE),"")</f>
        <v/>
      </c>
    </row>
    <row r="11472" spans="18:23">
      <c r="R11472" s="97">
        <f t="shared" si="393"/>
        <v>0</v>
      </c>
      <c r="W11472" s="66" t="str">
        <f>IFERROR(VLOOKUP($O11472,'Customer List'!$A$1:$J$488,10,FALSE),"")</f>
        <v/>
      </c>
    </row>
    <row r="11473" spans="18:23">
      <c r="R11473" s="97">
        <f t="shared" si="393"/>
        <v>0</v>
      </c>
      <c r="W11473" s="66" t="str">
        <f>IFERROR(VLOOKUP($O11473,'Customer List'!$A$1:$J$488,10,FALSE),"")</f>
        <v/>
      </c>
    </row>
    <row r="11474" spans="18:23">
      <c r="R11474" s="97">
        <f t="shared" si="393"/>
        <v>0</v>
      </c>
      <c r="W11474" s="66" t="str">
        <f>IFERROR(VLOOKUP($O11474,'Customer List'!$A$1:$J$488,10,FALSE),"")</f>
        <v/>
      </c>
    </row>
    <row r="11475" spans="18:23">
      <c r="R11475" s="97">
        <f t="shared" si="393"/>
        <v>0</v>
      </c>
      <c r="W11475" s="66" t="str">
        <f>IFERROR(VLOOKUP($O11475,'Customer List'!$A$1:$J$488,10,FALSE),"")</f>
        <v/>
      </c>
    </row>
    <row r="11476" spans="18:23">
      <c r="R11476" s="97">
        <f t="shared" si="393"/>
        <v>0</v>
      </c>
      <c r="W11476" s="66" t="str">
        <f>IFERROR(VLOOKUP($O11476,'Customer List'!$A$1:$J$488,10,FALSE),"")</f>
        <v/>
      </c>
    </row>
    <row r="11477" spans="18:23">
      <c r="R11477" s="97">
        <f t="shared" si="393"/>
        <v>0</v>
      </c>
      <c r="W11477" s="66" t="str">
        <f>IFERROR(VLOOKUP($O11477,'Customer List'!$A$1:$J$488,10,FALSE),"")</f>
        <v/>
      </c>
    </row>
    <row r="11478" spans="18:23">
      <c r="R11478" s="97">
        <f t="shared" si="393"/>
        <v>0</v>
      </c>
      <c r="W11478" s="66" t="str">
        <f>IFERROR(VLOOKUP($O11478,'Customer List'!$A$1:$J$488,10,FALSE),"")</f>
        <v/>
      </c>
    </row>
    <row r="11479" spans="18:23">
      <c r="R11479" s="97">
        <f t="shared" si="393"/>
        <v>0</v>
      </c>
      <c r="W11479" s="66" t="str">
        <f>IFERROR(VLOOKUP($O11479,'Customer List'!$A$1:$J$488,10,FALSE),"")</f>
        <v/>
      </c>
    </row>
    <row r="11480" spans="18:23">
      <c r="R11480" s="97">
        <f t="shared" si="393"/>
        <v>0</v>
      </c>
      <c r="W11480" s="66" t="str">
        <f>IFERROR(VLOOKUP($O11480,'Customer List'!$A$1:$J$488,10,FALSE),"")</f>
        <v/>
      </c>
    </row>
    <row r="11481" spans="18:23">
      <c r="R11481" s="97">
        <f t="shared" si="393"/>
        <v>0</v>
      </c>
      <c r="W11481" s="66" t="str">
        <f>IFERROR(VLOOKUP($O11481,'Customer List'!$A$1:$J$488,10,FALSE),"")</f>
        <v/>
      </c>
    </row>
    <row r="11482" spans="18:23">
      <c r="R11482" s="97">
        <f t="shared" si="393"/>
        <v>0</v>
      </c>
      <c r="W11482" s="66" t="str">
        <f>IFERROR(VLOOKUP($O11482,'Customer List'!$A$1:$J$488,10,FALSE),"")</f>
        <v/>
      </c>
    </row>
    <row r="11483" spans="18:23">
      <c r="R11483" s="97">
        <f t="shared" si="393"/>
        <v>0</v>
      </c>
      <c r="W11483" s="66" t="str">
        <f>IFERROR(VLOOKUP($O11483,'Customer List'!$A$1:$J$488,10,FALSE),"")</f>
        <v/>
      </c>
    </row>
    <row r="11484" spans="18:23">
      <c r="R11484" s="97">
        <f t="shared" si="393"/>
        <v>0</v>
      </c>
      <c r="W11484" s="66" t="str">
        <f>IFERROR(VLOOKUP($O11484,'Customer List'!$A$1:$J$488,10,FALSE),"")</f>
        <v/>
      </c>
    </row>
    <row r="11485" spans="18:23">
      <c r="R11485" s="97">
        <f t="shared" si="393"/>
        <v>0</v>
      </c>
      <c r="W11485" s="66" t="str">
        <f>IFERROR(VLOOKUP($O11485,'Customer List'!$A$1:$J$488,10,FALSE),"")</f>
        <v/>
      </c>
    </row>
    <row r="11486" spans="18:23">
      <c r="R11486" s="97">
        <f t="shared" si="393"/>
        <v>0</v>
      </c>
      <c r="W11486" s="66" t="str">
        <f>IFERROR(VLOOKUP($O11486,'Customer List'!$A$1:$J$488,10,FALSE),"")</f>
        <v/>
      </c>
    </row>
    <row r="11487" spans="18:23">
      <c r="R11487" s="97">
        <f t="shared" si="393"/>
        <v>0</v>
      </c>
      <c r="W11487" s="66" t="str">
        <f>IFERROR(VLOOKUP($O11487,'Customer List'!$A$1:$J$488,10,FALSE),"")</f>
        <v/>
      </c>
    </row>
    <row r="11488" spans="18:23">
      <c r="R11488" s="97">
        <f t="shared" si="393"/>
        <v>0</v>
      </c>
      <c r="W11488" s="66" t="str">
        <f>IFERROR(VLOOKUP($O11488,'Customer List'!$A$1:$J$488,10,FALSE),"")</f>
        <v/>
      </c>
    </row>
    <row r="11489" spans="18:23">
      <c r="R11489" s="97">
        <f t="shared" si="393"/>
        <v>0</v>
      </c>
      <c r="W11489" s="66" t="str">
        <f>IFERROR(VLOOKUP($O11489,'Customer List'!$A$1:$J$488,10,FALSE),"")</f>
        <v/>
      </c>
    </row>
    <row r="11490" spans="18:23">
      <c r="R11490" s="97">
        <f t="shared" si="393"/>
        <v>0</v>
      </c>
      <c r="W11490" s="66" t="str">
        <f>IFERROR(VLOOKUP($O11490,'Customer List'!$A$1:$J$488,10,FALSE),"")</f>
        <v/>
      </c>
    </row>
    <row r="11491" spans="18:23">
      <c r="R11491" s="97">
        <f t="shared" si="393"/>
        <v>0</v>
      </c>
      <c r="W11491" s="66" t="str">
        <f>IFERROR(VLOOKUP($O11491,'Customer List'!$A$1:$J$488,10,FALSE),"")</f>
        <v/>
      </c>
    </row>
    <row r="11492" spans="18:23">
      <c r="R11492" s="97">
        <f t="shared" si="393"/>
        <v>0</v>
      </c>
      <c r="W11492" s="66" t="str">
        <f>IFERROR(VLOOKUP($O11492,'Customer List'!$A$1:$J$488,10,FALSE),"")</f>
        <v/>
      </c>
    </row>
    <row r="11493" spans="18:23">
      <c r="R11493" s="97">
        <f t="shared" si="393"/>
        <v>0</v>
      </c>
      <c r="W11493" s="66" t="str">
        <f>IFERROR(VLOOKUP($O11493,'Customer List'!$A$1:$J$488,10,FALSE),"")</f>
        <v/>
      </c>
    </row>
    <row r="11494" spans="18:23">
      <c r="R11494" s="97">
        <f t="shared" si="393"/>
        <v>0</v>
      </c>
      <c r="W11494" s="66" t="str">
        <f>IFERROR(VLOOKUP($O11494,'Customer List'!$A$1:$J$488,10,FALSE),"")</f>
        <v/>
      </c>
    </row>
    <row r="11495" spans="18:23">
      <c r="R11495" s="97">
        <f t="shared" si="393"/>
        <v>0</v>
      </c>
      <c r="W11495" s="66" t="str">
        <f>IFERROR(VLOOKUP($O11495,'Customer List'!$A$1:$J$488,10,FALSE),"")</f>
        <v/>
      </c>
    </row>
    <row r="11496" spans="18:23">
      <c r="R11496" s="97">
        <f t="shared" ref="R11496:R11559" si="394">L11496-K11496</f>
        <v>0</v>
      </c>
      <c r="W11496" s="66" t="str">
        <f>IFERROR(VLOOKUP($O11496,'Customer List'!$A$1:$J$488,10,FALSE),"")</f>
        <v/>
      </c>
    </row>
    <row r="11497" spans="18:23">
      <c r="R11497" s="97">
        <f t="shared" si="394"/>
        <v>0</v>
      </c>
      <c r="W11497" s="66" t="str">
        <f>IFERROR(VLOOKUP($O11497,'Customer List'!$A$1:$J$488,10,FALSE),"")</f>
        <v/>
      </c>
    </row>
    <row r="11498" spans="18:23">
      <c r="R11498" s="97">
        <f t="shared" si="394"/>
        <v>0</v>
      </c>
      <c r="W11498" s="66" t="str">
        <f>IFERROR(VLOOKUP($O11498,'Customer List'!$A$1:$J$488,10,FALSE),"")</f>
        <v/>
      </c>
    </row>
    <row r="11499" spans="18:23">
      <c r="R11499" s="97">
        <f t="shared" si="394"/>
        <v>0</v>
      </c>
      <c r="W11499" s="66" t="str">
        <f>IFERROR(VLOOKUP($O11499,'Customer List'!$A$1:$J$488,10,FALSE),"")</f>
        <v/>
      </c>
    </row>
    <row r="11500" spans="18:23">
      <c r="R11500" s="97">
        <f t="shared" si="394"/>
        <v>0</v>
      </c>
      <c r="W11500" s="66" t="str">
        <f>IFERROR(VLOOKUP($O11500,'Customer List'!$A$1:$J$488,10,FALSE),"")</f>
        <v/>
      </c>
    </row>
    <row r="11501" spans="18:23">
      <c r="R11501" s="97">
        <f t="shared" si="394"/>
        <v>0</v>
      </c>
      <c r="W11501" s="66" t="str">
        <f>IFERROR(VLOOKUP($O11501,'Customer List'!$A$1:$J$488,10,FALSE),"")</f>
        <v/>
      </c>
    </row>
    <row r="11502" spans="18:23">
      <c r="R11502" s="97">
        <f t="shared" si="394"/>
        <v>0</v>
      </c>
      <c r="W11502" s="66" t="str">
        <f>IFERROR(VLOOKUP($O11502,'Customer List'!$A$1:$J$488,10,FALSE),"")</f>
        <v/>
      </c>
    </row>
    <row r="11503" spans="18:23">
      <c r="R11503" s="97">
        <f t="shared" si="394"/>
        <v>0</v>
      </c>
      <c r="W11503" s="66" t="str">
        <f>IFERROR(VLOOKUP($O11503,'Customer List'!$A$1:$J$488,10,FALSE),"")</f>
        <v/>
      </c>
    </row>
    <row r="11504" spans="18:23">
      <c r="R11504" s="97">
        <f t="shared" si="394"/>
        <v>0</v>
      </c>
      <c r="W11504" s="66" t="str">
        <f>IFERROR(VLOOKUP($O11504,'Customer List'!$A$1:$J$488,10,FALSE),"")</f>
        <v/>
      </c>
    </row>
    <row r="11505" spans="18:23">
      <c r="R11505" s="97">
        <f t="shared" si="394"/>
        <v>0</v>
      </c>
      <c r="W11505" s="66" t="str">
        <f>IFERROR(VLOOKUP($O11505,'Customer List'!$A$1:$J$488,10,FALSE),"")</f>
        <v/>
      </c>
    </row>
    <row r="11506" spans="18:23">
      <c r="R11506" s="97">
        <f t="shared" si="394"/>
        <v>0</v>
      </c>
      <c r="W11506" s="66" t="str">
        <f>IFERROR(VLOOKUP($O11506,'Customer List'!$A$1:$J$488,10,FALSE),"")</f>
        <v/>
      </c>
    </row>
    <row r="11507" spans="18:23">
      <c r="R11507" s="97">
        <f t="shared" si="394"/>
        <v>0</v>
      </c>
      <c r="W11507" s="66" t="str">
        <f>IFERROR(VLOOKUP($O11507,'Customer List'!$A$1:$J$488,10,FALSE),"")</f>
        <v/>
      </c>
    </row>
    <row r="11508" spans="18:23">
      <c r="R11508" s="97">
        <f t="shared" si="394"/>
        <v>0</v>
      </c>
      <c r="W11508" s="66" t="str">
        <f>IFERROR(VLOOKUP($O11508,'Customer List'!$A$1:$J$488,10,FALSE),"")</f>
        <v/>
      </c>
    </row>
    <row r="11509" spans="18:23">
      <c r="R11509" s="97">
        <f t="shared" si="394"/>
        <v>0</v>
      </c>
      <c r="W11509" s="66" t="str">
        <f>IFERROR(VLOOKUP($O11509,'Customer List'!$A$1:$J$488,10,FALSE),"")</f>
        <v/>
      </c>
    </row>
    <row r="11510" spans="18:23">
      <c r="R11510" s="97">
        <f t="shared" si="394"/>
        <v>0</v>
      </c>
      <c r="W11510" s="66" t="str">
        <f>IFERROR(VLOOKUP($O11510,'Customer List'!$A$1:$J$488,10,FALSE),"")</f>
        <v/>
      </c>
    </row>
    <row r="11511" spans="18:23">
      <c r="R11511" s="97">
        <f t="shared" si="394"/>
        <v>0</v>
      </c>
      <c r="W11511" s="66" t="str">
        <f>IFERROR(VLOOKUP($O11511,'Customer List'!$A$1:$J$488,10,FALSE),"")</f>
        <v/>
      </c>
    </row>
    <row r="11512" spans="18:23">
      <c r="R11512" s="97">
        <f t="shared" si="394"/>
        <v>0</v>
      </c>
      <c r="W11512" s="66" t="str">
        <f>IFERROR(VLOOKUP($O11512,'Customer List'!$A$1:$J$488,10,FALSE),"")</f>
        <v/>
      </c>
    </row>
    <row r="11513" spans="18:23">
      <c r="R11513" s="97">
        <f t="shared" si="394"/>
        <v>0</v>
      </c>
      <c r="W11513" s="66" t="str">
        <f>IFERROR(VLOOKUP($O11513,'Customer List'!$A$1:$J$488,10,FALSE),"")</f>
        <v/>
      </c>
    </row>
    <row r="11514" spans="18:23">
      <c r="R11514" s="97">
        <f t="shared" si="394"/>
        <v>0</v>
      </c>
      <c r="W11514" s="66" t="str">
        <f>IFERROR(VLOOKUP($O11514,'Customer List'!$A$1:$J$488,10,FALSE),"")</f>
        <v/>
      </c>
    </row>
    <row r="11515" spans="18:23">
      <c r="R11515" s="97">
        <f t="shared" si="394"/>
        <v>0</v>
      </c>
      <c r="W11515" s="66" t="str">
        <f>IFERROR(VLOOKUP($O11515,'Customer List'!$A$1:$J$488,10,FALSE),"")</f>
        <v/>
      </c>
    </row>
    <row r="11516" spans="18:23">
      <c r="R11516" s="97">
        <f t="shared" si="394"/>
        <v>0</v>
      </c>
      <c r="W11516" s="66" t="str">
        <f>IFERROR(VLOOKUP($O11516,'Customer List'!$A$1:$J$488,10,FALSE),"")</f>
        <v/>
      </c>
    </row>
    <row r="11517" spans="18:23">
      <c r="R11517" s="97">
        <f t="shared" si="394"/>
        <v>0</v>
      </c>
      <c r="W11517" s="66" t="str">
        <f>IFERROR(VLOOKUP($O11517,'Customer List'!$A$1:$J$488,10,FALSE),"")</f>
        <v/>
      </c>
    </row>
    <row r="11518" spans="18:23">
      <c r="R11518" s="97">
        <f t="shared" si="394"/>
        <v>0</v>
      </c>
      <c r="W11518" s="66" t="str">
        <f>IFERROR(VLOOKUP($O11518,'Customer List'!$A$1:$J$488,10,FALSE),"")</f>
        <v/>
      </c>
    </row>
    <row r="11519" spans="18:23">
      <c r="R11519" s="97">
        <f t="shared" si="394"/>
        <v>0</v>
      </c>
      <c r="W11519" s="66" t="str">
        <f>IFERROR(VLOOKUP($O11519,'Customer List'!$A$1:$J$488,10,FALSE),"")</f>
        <v/>
      </c>
    </row>
    <row r="11520" spans="18:23">
      <c r="R11520" s="97">
        <f t="shared" si="394"/>
        <v>0</v>
      </c>
      <c r="W11520" s="66" t="str">
        <f>IFERROR(VLOOKUP($O11520,'Customer List'!$A$1:$J$488,10,FALSE),"")</f>
        <v/>
      </c>
    </row>
    <row r="11521" spans="18:23">
      <c r="R11521" s="97">
        <f t="shared" si="394"/>
        <v>0</v>
      </c>
      <c r="W11521" s="66" t="str">
        <f>IFERROR(VLOOKUP($O11521,'Customer List'!$A$1:$J$488,10,FALSE),"")</f>
        <v/>
      </c>
    </row>
    <row r="11522" spans="18:23">
      <c r="R11522" s="97">
        <f t="shared" si="394"/>
        <v>0</v>
      </c>
      <c r="W11522" s="66" t="str">
        <f>IFERROR(VLOOKUP($O11522,'Customer List'!$A$1:$J$488,10,FALSE),"")</f>
        <v/>
      </c>
    </row>
    <row r="11523" spans="18:23">
      <c r="R11523" s="97">
        <f t="shared" si="394"/>
        <v>0</v>
      </c>
      <c r="W11523" s="66" t="str">
        <f>IFERROR(VLOOKUP($O11523,'Customer List'!$A$1:$J$488,10,FALSE),"")</f>
        <v/>
      </c>
    </row>
    <row r="11524" spans="18:23">
      <c r="R11524" s="97">
        <f t="shared" si="394"/>
        <v>0</v>
      </c>
      <c r="W11524" s="66" t="str">
        <f>IFERROR(VLOOKUP($O11524,'Customer List'!$A$1:$J$488,10,FALSE),"")</f>
        <v/>
      </c>
    </row>
    <row r="11525" spans="18:23">
      <c r="R11525" s="97">
        <f t="shared" si="394"/>
        <v>0</v>
      </c>
      <c r="W11525" s="66" t="str">
        <f>IFERROR(VLOOKUP($O11525,'Customer List'!$A$1:$J$488,10,FALSE),"")</f>
        <v/>
      </c>
    </row>
    <row r="11526" spans="18:23">
      <c r="R11526" s="97">
        <f t="shared" si="394"/>
        <v>0</v>
      </c>
      <c r="W11526" s="66" t="str">
        <f>IFERROR(VLOOKUP($O11526,'Customer List'!$A$1:$J$488,10,FALSE),"")</f>
        <v/>
      </c>
    </row>
    <row r="11527" spans="18:23">
      <c r="R11527" s="97">
        <f t="shared" si="394"/>
        <v>0</v>
      </c>
      <c r="W11527" s="66" t="str">
        <f>IFERROR(VLOOKUP($O11527,'Customer List'!$A$1:$J$488,10,FALSE),"")</f>
        <v/>
      </c>
    </row>
    <row r="11528" spans="18:23">
      <c r="R11528" s="97">
        <f t="shared" si="394"/>
        <v>0</v>
      </c>
      <c r="W11528" s="66" t="str">
        <f>IFERROR(VLOOKUP($O11528,'Customer List'!$A$1:$J$488,10,FALSE),"")</f>
        <v/>
      </c>
    </row>
    <row r="11529" spans="18:23">
      <c r="R11529" s="97">
        <f t="shared" si="394"/>
        <v>0</v>
      </c>
      <c r="W11529" s="66" t="str">
        <f>IFERROR(VLOOKUP($O11529,'Customer List'!$A$1:$J$488,10,FALSE),"")</f>
        <v/>
      </c>
    </row>
    <row r="11530" spans="18:23">
      <c r="R11530" s="97">
        <f t="shared" si="394"/>
        <v>0</v>
      </c>
      <c r="W11530" s="66" t="str">
        <f>IFERROR(VLOOKUP($O11530,'Customer List'!$A$1:$J$488,10,FALSE),"")</f>
        <v/>
      </c>
    </row>
    <row r="11531" spans="18:23">
      <c r="R11531" s="97">
        <f t="shared" si="394"/>
        <v>0</v>
      </c>
      <c r="W11531" s="66" t="str">
        <f>IFERROR(VLOOKUP($O11531,'Customer List'!$A$1:$J$488,10,FALSE),"")</f>
        <v/>
      </c>
    </row>
    <row r="11532" spans="18:23">
      <c r="R11532" s="97">
        <f t="shared" si="394"/>
        <v>0</v>
      </c>
      <c r="W11532" s="66" t="str">
        <f>IFERROR(VLOOKUP($O11532,'Customer List'!$A$1:$J$488,10,FALSE),"")</f>
        <v/>
      </c>
    </row>
    <row r="11533" spans="18:23">
      <c r="R11533" s="97">
        <f t="shared" si="394"/>
        <v>0</v>
      </c>
      <c r="W11533" s="66" t="str">
        <f>IFERROR(VLOOKUP($O11533,'Customer List'!$A$1:$J$488,10,FALSE),"")</f>
        <v/>
      </c>
    </row>
    <row r="11534" spans="18:23">
      <c r="R11534" s="97">
        <f t="shared" si="394"/>
        <v>0</v>
      </c>
      <c r="W11534" s="66" t="str">
        <f>IFERROR(VLOOKUP($O11534,'Customer List'!$A$1:$J$488,10,FALSE),"")</f>
        <v/>
      </c>
    </row>
    <row r="11535" spans="18:23">
      <c r="R11535" s="97">
        <f t="shared" si="394"/>
        <v>0</v>
      </c>
      <c r="W11535" s="66" t="str">
        <f>IFERROR(VLOOKUP($O11535,'Customer List'!$A$1:$J$488,10,FALSE),"")</f>
        <v/>
      </c>
    </row>
    <row r="11536" spans="18:23">
      <c r="R11536" s="97">
        <f t="shared" si="394"/>
        <v>0</v>
      </c>
      <c r="W11536" s="66" t="str">
        <f>IFERROR(VLOOKUP($O11536,'Customer List'!$A$1:$J$488,10,FALSE),"")</f>
        <v/>
      </c>
    </row>
    <row r="11537" spans="18:23">
      <c r="R11537" s="97">
        <f t="shared" si="394"/>
        <v>0</v>
      </c>
      <c r="W11537" s="66" t="str">
        <f>IFERROR(VLOOKUP($O11537,'Customer List'!$A$1:$J$488,10,FALSE),"")</f>
        <v/>
      </c>
    </row>
    <row r="11538" spans="18:23">
      <c r="R11538" s="97">
        <f t="shared" si="394"/>
        <v>0</v>
      </c>
      <c r="W11538" s="66" t="str">
        <f>IFERROR(VLOOKUP($O11538,'Customer List'!$A$1:$J$488,10,FALSE),"")</f>
        <v/>
      </c>
    </row>
    <row r="11539" spans="18:23">
      <c r="R11539" s="97">
        <f t="shared" si="394"/>
        <v>0</v>
      </c>
      <c r="W11539" s="66" t="str">
        <f>IFERROR(VLOOKUP($O11539,'Customer List'!$A$1:$J$488,10,FALSE),"")</f>
        <v/>
      </c>
    </row>
    <row r="11540" spans="18:23">
      <c r="R11540" s="97">
        <f t="shared" si="394"/>
        <v>0</v>
      </c>
      <c r="W11540" s="66" t="str">
        <f>IFERROR(VLOOKUP($O11540,'Customer List'!$A$1:$J$488,10,FALSE),"")</f>
        <v/>
      </c>
    </row>
    <row r="11541" spans="18:23">
      <c r="R11541" s="97">
        <f t="shared" si="394"/>
        <v>0</v>
      </c>
      <c r="W11541" s="66" t="str">
        <f>IFERROR(VLOOKUP($O11541,'Customer List'!$A$1:$J$488,10,FALSE),"")</f>
        <v/>
      </c>
    </row>
    <row r="11542" spans="18:23">
      <c r="R11542" s="97">
        <f t="shared" si="394"/>
        <v>0</v>
      </c>
      <c r="W11542" s="66" t="str">
        <f>IFERROR(VLOOKUP($O11542,'Customer List'!$A$1:$J$488,10,FALSE),"")</f>
        <v/>
      </c>
    </row>
    <row r="11543" spans="18:23">
      <c r="R11543" s="97">
        <f t="shared" si="394"/>
        <v>0</v>
      </c>
      <c r="W11543" s="66" t="str">
        <f>IFERROR(VLOOKUP($O11543,'Customer List'!$A$1:$J$488,10,FALSE),"")</f>
        <v/>
      </c>
    </row>
    <row r="11544" spans="18:23">
      <c r="R11544" s="97">
        <f t="shared" si="394"/>
        <v>0</v>
      </c>
      <c r="W11544" s="66" t="str">
        <f>IFERROR(VLOOKUP($O11544,'Customer List'!$A$1:$J$488,10,FALSE),"")</f>
        <v/>
      </c>
    </row>
    <row r="11545" spans="18:23">
      <c r="R11545" s="97">
        <f t="shared" si="394"/>
        <v>0</v>
      </c>
      <c r="W11545" s="66" t="str">
        <f>IFERROR(VLOOKUP($O11545,'Customer List'!$A$1:$J$488,10,FALSE),"")</f>
        <v/>
      </c>
    </row>
    <row r="11546" spans="18:23">
      <c r="R11546" s="97">
        <f t="shared" si="394"/>
        <v>0</v>
      </c>
      <c r="W11546" s="66" t="str">
        <f>IFERROR(VLOOKUP($O11546,'Customer List'!$A$1:$J$488,10,FALSE),"")</f>
        <v/>
      </c>
    </row>
    <row r="11547" spans="18:23">
      <c r="R11547" s="97">
        <f t="shared" si="394"/>
        <v>0</v>
      </c>
      <c r="W11547" s="66" t="str">
        <f>IFERROR(VLOOKUP($O11547,'Customer List'!$A$1:$J$488,10,FALSE),"")</f>
        <v/>
      </c>
    </row>
    <row r="11548" spans="18:23">
      <c r="R11548" s="97">
        <f t="shared" si="394"/>
        <v>0</v>
      </c>
      <c r="W11548" s="66" t="str">
        <f>IFERROR(VLOOKUP($O11548,'Customer List'!$A$1:$J$488,10,FALSE),"")</f>
        <v/>
      </c>
    </row>
    <row r="11549" spans="18:23">
      <c r="R11549" s="97">
        <f t="shared" si="394"/>
        <v>0</v>
      </c>
      <c r="W11549" s="66" t="str">
        <f>IFERROR(VLOOKUP($O11549,'Customer List'!$A$1:$J$488,10,FALSE),"")</f>
        <v/>
      </c>
    </row>
    <row r="11550" spans="18:23">
      <c r="R11550" s="97">
        <f t="shared" si="394"/>
        <v>0</v>
      </c>
      <c r="W11550" s="66" t="str">
        <f>IFERROR(VLOOKUP($O11550,'Customer List'!$A$1:$J$488,10,FALSE),"")</f>
        <v/>
      </c>
    </row>
    <row r="11551" spans="18:23">
      <c r="R11551" s="97">
        <f t="shared" si="394"/>
        <v>0</v>
      </c>
      <c r="W11551" s="66" t="str">
        <f>IFERROR(VLOOKUP($O11551,'Customer List'!$A$1:$J$488,10,FALSE),"")</f>
        <v/>
      </c>
    </row>
    <row r="11552" spans="18:23">
      <c r="R11552" s="97">
        <f t="shared" si="394"/>
        <v>0</v>
      </c>
      <c r="W11552" s="66" t="str">
        <f>IFERROR(VLOOKUP($O11552,'Customer List'!$A$1:$J$488,10,FALSE),"")</f>
        <v/>
      </c>
    </row>
    <row r="11553" spans="18:23">
      <c r="R11553" s="97">
        <f t="shared" si="394"/>
        <v>0</v>
      </c>
      <c r="W11553" s="66" t="str">
        <f>IFERROR(VLOOKUP($O11553,'Customer List'!$A$1:$J$488,10,FALSE),"")</f>
        <v/>
      </c>
    </row>
    <row r="11554" spans="18:23">
      <c r="R11554" s="97">
        <f t="shared" si="394"/>
        <v>0</v>
      </c>
      <c r="W11554" s="66" t="str">
        <f>IFERROR(VLOOKUP($O11554,'Customer List'!$A$1:$J$488,10,FALSE),"")</f>
        <v/>
      </c>
    </row>
    <row r="11555" spans="18:23">
      <c r="R11555" s="97">
        <f t="shared" si="394"/>
        <v>0</v>
      </c>
      <c r="W11555" s="66" t="str">
        <f>IFERROR(VLOOKUP($O11555,'Customer List'!$A$1:$J$488,10,FALSE),"")</f>
        <v/>
      </c>
    </row>
    <row r="11556" spans="18:23">
      <c r="R11556" s="97">
        <f t="shared" si="394"/>
        <v>0</v>
      </c>
      <c r="W11556" s="66" t="str">
        <f>IFERROR(VLOOKUP($O11556,'Customer List'!$A$1:$J$488,10,FALSE),"")</f>
        <v/>
      </c>
    </row>
    <row r="11557" spans="18:23">
      <c r="R11557" s="97">
        <f t="shared" si="394"/>
        <v>0</v>
      </c>
      <c r="W11557" s="66" t="str">
        <f>IFERROR(VLOOKUP($O11557,'Customer List'!$A$1:$J$488,10,FALSE),"")</f>
        <v/>
      </c>
    </row>
    <row r="11558" spans="18:23">
      <c r="R11558" s="97">
        <f t="shared" si="394"/>
        <v>0</v>
      </c>
      <c r="W11558" s="66" t="str">
        <f>IFERROR(VLOOKUP($O11558,'Customer List'!$A$1:$J$488,10,FALSE),"")</f>
        <v/>
      </c>
    </row>
    <row r="11559" spans="18:23">
      <c r="R11559" s="97">
        <f t="shared" si="394"/>
        <v>0</v>
      </c>
      <c r="W11559" s="66" t="str">
        <f>IFERROR(VLOOKUP($O11559,'Customer List'!$A$1:$J$488,10,FALSE),"")</f>
        <v/>
      </c>
    </row>
    <row r="11560" spans="18:23">
      <c r="R11560" s="97">
        <f t="shared" ref="R11560:R11623" si="395">L11560-K11560</f>
        <v>0</v>
      </c>
      <c r="W11560" s="66" t="str">
        <f>IFERROR(VLOOKUP($O11560,'Customer List'!$A$1:$J$488,10,FALSE),"")</f>
        <v/>
      </c>
    </row>
    <row r="11561" spans="18:23">
      <c r="R11561" s="97">
        <f t="shared" si="395"/>
        <v>0</v>
      </c>
      <c r="W11561" s="66" t="str">
        <f>IFERROR(VLOOKUP($O11561,'Customer List'!$A$1:$J$488,10,FALSE),"")</f>
        <v/>
      </c>
    </row>
    <row r="11562" spans="18:23">
      <c r="R11562" s="97">
        <f t="shared" si="395"/>
        <v>0</v>
      </c>
      <c r="W11562" s="66" t="str">
        <f>IFERROR(VLOOKUP($O11562,'Customer List'!$A$1:$J$488,10,FALSE),"")</f>
        <v/>
      </c>
    </row>
    <row r="11563" spans="18:23">
      <c r="R11563" s="97">
        <f t="shared" si="395"/>
        <v>0</v>
      </c>
      <c r="W11563" s="66" t="str">
        <f>IFERROR(VLOOKUP($O11563,'Customer List'!$A$1:$J$488,10,FALSE),"")</f>
        <v/>
      </c>
    </row>
    <row r="11564" spans="18:23">
      <c r="R11564" s="97">
        <f t="shared" si="395"/>
        <v>0</v>
      </c>
      <c r="W11564" s="66" t="str">
        <f>IFERROR(VLOOKUP($O11564,'Customer List'!$A$1:$J$488,10,FALSE),"")</f>
        <v/>
      </c>
    </row>
    <row r="11565" spans="18:23">
      <c r="R11565" s="97">
        <f t="shared" si="395"/>
        <v>0</v>
      </c>
      <c r="W11565" s="66" t="str">
        <f>IFERROR(VLOOKUP($O11565,'Customer List'!$A$1:$J$488,10,FALSE),"")</f>
        <v/>
      </c>
    </row>
    <row r="11566" spans="18:23">
      <c r="R11566" s="97">
        <f t="shared" si="395"/>
        <v>0</v>
      </c>
      <c r="W11566" s="66" t="str">
        <f>IFERROR(VLOOKUP($O11566,'Customer List'!$A$1:$J$488,10,FALSE),"")</f>
        <v/>
      </c>
    </row>
    <row r="11567" spans="18:23">
      <c r="R11567" s="97">
        <f t="shared" si="395"/>
        <v>0</v>
      </c>
      <c r="W11567" s="66" t="str">
        <f>IFERROR(VLOOKUP($O11567,'Customer List'!$A$1:$J$488,10,FALSE),"")</f>
        <v/>
      </c>
    </row>
    <row r="11568" spans="18:23">
      <c r="R11568" s="97">
        <f t="shared" si="395"/>
        <v>0</v>
      </c>
      <c r="W11568" s="66" t="str">
        <f>IFERROR(VLOOKUP($O11568,'Customer List'!$A$1:$J$488,10,FALSE),"")</f>
        <v/>
      </c>
    </row>
    <row r="11569" spans="18:23">
      <c r="R11569" s="97">
        <f t="shared" si="395"/>
        <v>0</v>
      </c>
      <c r="W11569" s="66" t="str">
        <f>IFERROR(VLOOKUP($O11569,'Customer List'!$A$1:$J$488,10,FALSE),"")</f>
        <v/>
      </c>
    </row>
    <row r="11570" spans="18:23">
      <c r="R11570" s="97">
        <f t="shared" si="395"/>
        <v>0</v>
      </c>
      <c r="W11570" s="66" t="str">
        <f>IFERROR(VLOOKUP($O11570,'Customer List'!$A$1:$J$488,10,FALSE),"")</f>
        <v/>
      </c>
    </row>
    <row r="11571" spans="18:23">
      <c r="R11571" s="97">
        <f t="shared" si="395"/>
        <v>0</v>
      </c>
      <c r="W11571" s="66" t="str">
        <f>IFERROR(VLOOKUP($O11571,'Customer List'!$A$1:$J$488,10,FALSE),"")</f>
        <v/>
      </c>
    </row>
    <row r="11572" spans="18:23">
      <c r="R11572" s="97">
        <f t="shared" si="395"/>
        <v>0</v>
      </c>
      <c r="W11572" s="66" t="str">
        <f>IFERROR(VLOOKUP($O11572,'Customer List'!$A$1:$J$488,10,FALSE),"")</f>
        <v/>
      </c>
    </row>
    <row r="11573" spans="18:23">
      <c r="R11573" s="97">
        <f t="shared" si="395"/>
        <v>0</v>
      </c>
      <c r="W11573" s="66" t="str">
        <f>IFERROR(VLOOKUP($O11573,'Customer List'!$A$1:$J$488,10,FALSE),"")</f>
        <v/>
      </c>
    </row>
    <row r="11574" spans="18:23">
      <c r="R11574" s="97">
        <f t="shared" si="395"/>
        <v>0</v>
      </c>
      <c r="W11574" s="66" t="str">
        <f>IFERROR(VLOOKUP($O11574,'Customer List'!$A$1:$J$488,10,FALSE),"")</f>
        <v/>
      </c>
    </row>
    <row r="11575" spans="18:23">
      <c r="R11575" s="97">
        <f t="shared" si="395"/>
        <v>0</v>
      </c>
      <c r="W11575" s="66" t="str">
        <f>IFERROR(VLOOKUP($O11575,'Customer List'!$A$1:$J$488,10,FALSE),"")</f>
        <v/>
      </c>
    </row>
    <row r="11576" spans="18:23">
      <c r="R11576" s="97">
        <f t="shared" si="395"/>
        <v>0</v>
      </c>
      <c r="W11576" s="66" t="str">
        <f>IFERROR(VLOOKUP($O11576,'Customer List'!$A$1:$J$488,10,FALSE),"")</f>
        <v/>
      </c>
    </row>
    <row r="11577" spans="18:23">
      <c r="R11577" s="97">
        <f t="shared" si="395"/>
        <v>0</v>
      </c>
      <c r="W11577" s="66" t="str">
        <f>IFERROR(VLOOKUP($O11577,'Customer List'!$A$1:$J$488,10,FALSE),"")</f>
        <v/>
      </c>
    </row>
    <row r="11578" spans="18:23">
      <c r="R11578" s="97">
        <f t="shared" si="395"/>
        <v>0</v>
      </c>
      <c r="W11578" s="66" t="str">
        <f>IFERROR(VLOOKUP($O11578,'Customer List'!$A$1:$J$488,10,FALSE),"")</f>
        <v/>
      </c>
    </row>
    <row r="11579" spans="18:23">
      <c r="R11579" s="97">
        <f t="shared" si="395"/>
        <v>0</v>
      </c>
      <c r="W11579" s="66" t="str">
        <f>IFERROR(VLOOKUP($O11579,'Customer List'!$A$1:$J$488,10,FALSE),"")</f>
        <v/>
      </c>
    </row>
    <row r="11580" spans="18:23">
      <c r="R11580" s="97">
        <f t="shared" si="395"/>
        <v>0</v>
      </c>
      <c r="W11580" s="66" t="str">
        <f>IFERROR(VLOOKUP($O11580,'Customer List'!$A$1:$J$488,10,FALSE),"")</f>
        <v/>
      </c>
    </row>
    <row r="11581" spans="18:23">
      <c r="R11581" s="97">
        <f t="shared" si="395"/>
        <v>0</v>
      </c>
      <c r="W11581" s="66" t="str">
        <f>IFERROR(VLOOKUP($O11581,'Customer List'!$A$1:$J$488,10,FALSE),"")</f>
        <v/>
      </c>
    </row>
    <row r="11582" spans="18:23">
      <c r="R11582" s="97">
        <f t="shared" si="395"/>
        <v>0</v>
      </c>
      <c r="W11582" s="66" t="str">
        <f>IFERROR(VLOOKUP($O11582,'Customer List'!$A$1:$J$488,10,FALSE),"")</f>
        <v/>
      </c>
    </row>
    <row r="11583" spans="18:23">
      <c r="R11583" s="97">
        <f t="shared" si="395"/>
        <v>0</v>
      </c>
      <c r="W11583" s="66" t="str">
        <f>IFERROR(VLOOKUP($O11583,'Customer List'!$A$1:$J$488,10,FALSE),"")</f>
        <v/>
      </c>
    </row>
    <row r="11584" spans="18:23">
      <c r="R11584" s="97">
        <f t="shared" si="395"/>
        <v>0</v>
      </c>
      <c r="W11584" s="66" t="str">
        <f>IFERROR(VLOOKUP($O11584,'Customer List'!$A$1:$J$488,10,FALSE),"")</f>
        <v/>
      </c>
    </row>
    <row r="11585" spans="18:23">
      <c r="R11585" s="97">
        <f t="shared" si="395"/>
        <v>0</v>
      </c>
      <c r="W11585" s="66" t="str">
        <f>IFERROR(VLOOKUP($O11585,'Customer List'!$A$1:$J$488,10,FALSE),"")</f>
        <v/>
      </c>
    </row>
    <row r="11586" spans="18:23">
      <c r="R11586" s="97">
        <f t="shared" si="395"/>
        <v>0</v>
      </c>
      <c r="W11586" s="66" t="str">
        <f>IFERROR(VLOOKUP($O11586,'Customer List'!$A$1:$J$488,10,FALSE),"")</f>
        <v/>
      </c>
    </row>
    <row r="11587" spans="18:23">
      <c r="R11587" s="97">
        <f t="shared" si="395"/>
        <v>0</v>
      </c>
      <c r="W11587" s="66" t="str">
        <f>IFERROR(VLOOKUP($O11587,'Customer List'!$A$1:$J$488,10,FALSE),"")</f>
        <v/>
      </c>
    </row>
    <row r="11588" spans="18:23">
      <c r="R11588" s="97">
        <f t="shared" si="395"/>
        <v>0</v>
      </c>
      <c r="W11588" s="66" t="str">
        <f>IFERROR(VLOOKUP($O11588,'Customer List'!$A$1:$J$488,10,FALSE),"")</f>
        <v/>
      </c>
    </row>
    <row r="11589" spans="18:23">
      <c r="R11589" s="97">
        <f t="shared" si="395"/>
        <v>0</v>
      </c>
      <c r="W11589" s="66" t="str">
        <f>IFERROR(VLOOKUP($O11589,'Customer List'!$A$1:$J$488,10,FALSE),"")</f>
        <v/>
      </c>
    </row>
    <row r="11590" spans="18:23">
      <c r="R11590" s="97">
        <f t="shared" si="395"/>
        <v>0</v>
      </c>
      <c r="W11590" s="66" t="str">
        <f>IFERROR(VLOOKUP($O11590,'Customer List'!$A$1:$J$488,10,FALSE),"")</f>
        <v/>
      </c>
    </row>
    <row r="11591" spans="18:23">
      <c r="R11591" s="97">
        <f t="shared" si="395"/>
        <v>0</v>
      </c>
      <c r="W11591" s="66" t="str">
        <f>IFERROR(VLOOKUP($O11591,'Customer List'!$A$1:$J$488,10,FALSE),"")</f>
        <v/>
      </c>
    </row>
    <row r="11592" spans="18:23">
      <c r="R11592" s="97">
        <f t="shared" si="395"/>
        <v>0</v>
      </c>
      <c r="W11592" s="66" t="str">
        <f>IFERROR(VLOOKUP($O11592,'Customer List'!$A$1:$J$488,10,FALSE),"")</f>
        <v/>
      </c>
    </row>
    <row r="11593" spans="18:23">
      <c r="R11593" s="97">
        <f t="shared" si="395"/>
        <v>0</v>
      </c>
      <c r="W11593" s="66" t="str">
        <f>IFERROR(VLOOKUP($O11593,'Customer List'!$A$1:$J$488,10,FALSE),"")</f>
        <v/>
      </c>
    </row>
    <row r="11594" spans="18:23">
      <c r="R11594" s="97">
        <f t="shared" si="395"/>
        <v>0</v>
      </c>
      <c r="W11594" s="66" t="str">
        <f>IFERROR(VLOOKUP($O11594,'Customer List'!$A$1:$J$488,10,FALSE),"")</f>
        <v/>
      </c>
    </row>
    <row r="11595" spans="18:23">
      <c r="R11595" s="97">
        <f t="shared" si="395"/>
        <v>0</v>
      </c>
      <c r="W11595" s="66" t="str">
        <f>IFERROR(VLOOKUP($O11595,'Customer List'!$A$1:$J$488,10,FALSE),"")</f>
        <v/>
      </c>
    </row>
    <row r="11596" spans="18:23">
      <c r="R11596" s="97">
        <f t="shared" si="395"/>
        <v>0</v>
      </c>
      <c r="W11596" s="66" t="str">
        <f>IFERROR(VLOOKUP($O11596,'Customer List'!$A$1:$J$488,10,FALSE),"")</f>
        <v/>
      </c>
    </row>
    <row r="11597" spans="18:23">
      <c r="R11597" s="97">
        <f t="shared" si="395"/>
        <v>0</v>
      </c>
      <c r="W11597" s="66" t="str">
        <f>IFERROR(VLOOKUP($O11597,'Customer List'!$A$1:$J$488,10,FALSE),"")</f>
        <v/>
      </c>
    </row>
    <row r="11598" spans="18:23">
      <c r="R11598" s="97">
        <f t="shared" si="395"/>
        <v>0</v>
      </c>
      <c r="W11598" s="66" t="str">
        <f>IFERROR(VLOOKUP($O11598,'Customer List'!$A$1:$J$488,10,FALSE),"")</f>
        <v/>
      </c>
    </row>
    <row r="11599" spans="18:23">
      <c r="R11599" s="97">
        <f t="shared" si="395"/>
        <v>0</v>
      </c>
      <c r="W11599" s="66" t="str">
        <f>IFERROR(VLOOKUP($O11599,'Customer List'!$A$1:$J$488,10,FALSE),"")</f>
        <v/>
      </c>
    </row>
    <row r="11600" spans="18:23">
      <c r="R11600" s="97">
        <f t="shared" si="395"/>
        <v>0</v>
      </c>
      <c r="W11600" s="66" t="str">
        <f>IFERROR(VLOOKUP($O11600,'Customer List'!$A$1:$J$488,10,FALSE),"")</f>
        <v/>
      </c>
    </row>
    <row r="11601" spans="18:23">
      <c r="R11601" s="97">
        <f t="shared" si="395"/>
        <v>0</v>
      </c>
      <c r="W11601" s="66" t="str">
        <f>IFERROR(VLOOKUP($O11601,'Customer List'!$A$1:$J$488,10,FALSE),"")</f>
        <v/>
      </c>
    </row>
    <row r="11602" spans="18:23">
      <c r="R11602" s="97">
        <f t="shared" si="395"/>
        <v>0</v>
      </c>
      <c r="W11602" s="66" t="str">
        <f>IFERROR(VLOOKUP($O11602,'Customer List'!$A$1:$J$488,10,FALSE),"")</f>
        <v/>
      </c>
    </row>
    <row r="11603" spans="18:23">
      <c r="R11603" s="97">
        <f t="shared" si="395"/>
        <v>0</v>
      </c>
      <c r="W11603" s="66" t="str">
        <f>IFERROR(VLOOKUP($O11603,'Customer List'!$A$1:$J$488,10,FALSE),"")</f>
        <v/>
      </c>
    </row>
    <row r="11604" spans="18:23">
      <c r="R11604" s="97">
        <f t="shared" si="395"/>
        <v>0</v>
      </c>
      <c r="W11604" s="66" t="str">
        <f>IFERROR(VLOOKUP($O11604,'Customer List'!$A$1:$J$488,10,FALSE),"")</f>
        <v/>
      </c>
    </row>
    <row r="11605" spans="18:23">
      <c r="R11605" s="97">
        <f t="shared" si="395"/>
        <v>0</v>
      </c>
      <c r="W11605" s="66" t="str">
        <f>IFERROR(VLOOKUP($O11605,'Customer List'!$A$1:$J$488,10,FALSE),"")</f>
        <v/>
      </c>
    </row>
    <row r="11606" spans="18:23">
      <c r="R11606" s="97">
        <f t="shared" si="395"/>
        <v>0</v>
      </c>
      <c r="W11606" s="66" t="str">
        <f>IFERROR(VLOOKUP($O11606,'Customer List'!$A$1:$J$488,10,FALSE),"")</f>
        <v/>
      </c>
    </row>
    <row r="11607" spans="18:23">
      <c r="R11607" s="97">
        <f t="shared" si="395"/>
        <v>0</v>
      </c>
      <c r="W11607" s="66" t="str">
        <f>IFERROR(VLOOKUP($O11607,'Customer List'!$A$1:$J$488,10,FALSE),"")</f>
        <v/>
      </c>
    </row>
    <row r="11608" spans="18:23">
      <c r="R11608" s="97">
        <f t="shared" si="395"/>
        <v>0</v>
      </c>
      <c r="W11608" s="66" t="str">
        <f>IFERROR(VLOOKUP($O11608,'Customer List'!$A$1:$J$488,10,FALSE),"")</f>
        <v/>
      </c>
    </row>
    <row r="11609" spans="18:23">
      <c r="R11609" s="97">
        <f t="shared" si="395"/>
        <v>0</v>
      </c>
      <c r="W11609" s="66" t="str">
        <f>IFERROR(VLOOKUP($O11609,'Customer List'!$A$1:$J$488,10,FALSE),"")</f>
        <v/>
      </c>
    </row>
    <row r="11610" spans="18:23">
      <c r="R11610" s="97">
        <f t="shared" si="395"/>
        <v>0</v>
      </c>
      <c r="W11610" s="66" t="str">
        <f>IFERROR(VLOOKUP($O11610,'Customer List'!$A$1:$J$488,10,FALSE),"")</f>
        <v/>
      </c>
    </row>
    <row r="11611" spans="18:23">
      <c r="R11611" s="97">
        <f t="shared" si="395"/>
        <v>0</v>
      </c>
      <c r="W11611" s="66" t="str">
        <f>IFERROR(VLOOKUP($O11611,'Customer List'!$A$1:$J$488,10,FALSE),"")</f>
        <v/>
      </c>
    </row>
    <row r="11612" spans="18:23">
      <c r="R11612" s="97">
        <f t="shared" si="395"/>
        <v>0</v>
      </c>
      <c r="W11612" s="66" t="str">
        <f>IFERROR(VLOOKUP($O11612,'Customer List'!$A$1:$J$488,10,FALSE),"")</f>
        <v/>
      </c>
    </row>
    <row r="11613" spans="18:23">
      <c r="R11613" s="97">
        <f t="shared" si="395"/>
        <v>0</v>
      </c>
      <c r="W11613" s="66" t="str">
        <f>IFERROR(VLOOKUP($O11613,'Customer List'!$A$1:$J$488,10,FALSE),"")</f>
        <v/>
      </c>
    </row>
    <row r="11614" spans="18:23">
      <c r="R11614" s="97">
        <f t="shared" si="395"/>
        <v>0</v>
      </c>
      <c r="W11614" s="66" t="str">
        <f>IFERROR(VLOOKUP($O11614,'Customer List'!$A$1:$J$488,10,FALSE),"")</f>
        <v/>
      </c>
    </row>
    <row r="11615" spans="18:23">
      <c r="R11615" s="97">
        <f t="shared" si="395"/>
        <v>0</v>
      </c>
      <c r="W11615" s="66" t="str">
        <f>IFERROR(VLOOKUP($O11615,'Customer List'!$A$1:$J$488,10,FALSE),"")</f>
        <v/>
      </c>
    </row>
    <row r="11616" spans="18:23">
      <c r="R11616" s="97">
        <f t="shared" si="395"/>
        <v>0</v>
      </c>
      <c r="W11616" s="66" t="str">
        <f>IFERROR(VLOOKUP($O11616,'Customer List'!$A$1:$J$488,10,FALSE),"")</f>
        <v/>
      </c>
    </row>
    <row r="11617" spans="18:23">
      <c r="R11617" s="97">
        <f t="shared" si="395"/>
        <v>0</v>
      </c>
      <c r="W11617" s="66" t="str">
        <f>IFERROR(VLOOKUP($O11617,'Customer List'!$A$1:$J$488,10,FALSE),"")</f>
        <v/>
      </c>
    </row>
    <row r="11618" spans="18:23">
      <c r="R11618" s="97">
        <f t="shared" si="395"/>
        <v>0</v>
      </c>
      <c r="W11618" s="66" t="str">
        <f>IFERROR(VLOOKUP($O11618,'Customer List'!$A$1:$J$488,10,FALSE),"")</f>
        <v/>
      </c>
    </row>
    <row r="11619" spans="18:23">
      <c r="R11619" s="97">
        <f t="shared" si="395"/>
        <v>0</v>
      </c>
      <c r="W11619" s="66" t="str">
        <f>IFERROR(VLOOKUP($O11619,'Customer List'!$A$1:$J$488,10,FALSE),"")</f>
        <v/>
      </c>
    </row>
    <row r="11620" spans="18:23">
      <c r="R11620" s="97">
        <f t="shared" si="395"/>
        <v>0</v>
      </c>
      <c r="W11620" s="66" t="str">
        <f>IFERROR(VLOOKUP($O11620,'Customer List'!$A$1:$J$488,10,FALSE),"")</f>
        <v/>
      </c>
    </row>
    <row r="11621" spans="18:23">
      <c r="R11621" s="97">
        <f t="shared" si="395"/>
        <v>0</v>
      </c>
      <c r="W11621" s="66" t="str">
        <f>IFERROR(VLOOKUP($O11621,'Customer List'!$A$1:$J$488,10,FALSE),"")</f>
        <v/>
      </c>
    </row>
    <row r="11622" spans="18:23">
      <c r="R11622" s="97">
        <f t="shared" si="395"/>
        <v>0</v>
      </c>
      <c r="W11622" s="66" t="str">
        <f>IFERROR(VLOOKUP($O11622,'Customer List'!$A$1:$J$488,10,FALSE),"")</f>
        <v/>
      </c>
    </row>
    <row r="11623" spans="18:23">
      <c r="R11623" s="97">
        <f t="shared" si="395"/>
        <v>0</v>
      </c>
      <c r="W11623" s="66" t="str">
        <f>IFERROR(VLOOKUP($O11623,'Customer List'!$A$1:$J$488,10,FALSE),"")</f>
        <v/>
      </c>
    </row>
    <row r="11624" spans="18:23">
      <c r="R11624" s="97">
        <f t="shared" ref="R11624:R11670" si="396">L11624-K11624</f>
        <v>0</v>
      </c>
      <c r="W11624" s="66" t="str">
        <f>IFERROR(VLOOKUP($O11624,'Customer List'!$A$1:$J$488,10,FALSE),"")</f>
        <v/>
      </c>
    </row>
    <row r="11625" spans="18:23">
      <c r="R11625" s="97">
        <f t="shared" si="396"/>
        <v>0</v>
      </c>
      <c r="W11625" s="66" t="str">
        <f>IFERROR(VLOOKUP($O11625,'Customer List'!$A$1:$J$488,10,FALSE),"")</f>
        <v/>
      </c>
    </row>
    <row r="11626" spans="18:23">
      <c r="R11626" s="97">
        <f t="shared" si="396"/>
        <v>0</v>
      </c>
      <c r="W11626" s="66" t="str">
        <f>IFERROR(VLOOKUP($O11626,'Customer List'!$A$1:$J$488,10,FALSE),"")</f>
        <v/>
      </c>
    </row>
    <row r="11627" spans="18:23">
      <c r="R11627" s="97">
        <f t="shared" si="396"/>
        <v>0</v>
      </c>
      <c r="W11627" s="66" t="str">
        <f>IFERROR(VLOOKUP($O11627,'Customer List'!$A$1:$J$488,10,FALSE),"")</f>
        <v/>
      </c>
    </row>
    <row r="11628" spans="18:23">
      <c r="R11628" s="97">
        <f t="shared" si="396"/>
        <v>0</v>
      </c>
      <c r="W11628" s="66" t="str">
        <f>IFERROR(VLOOKUP($O11628,'Customer List'!$A$1:$J$488,10,FALSE),"")</f>
        <v/>
      </c>
    </row>
    <row r="11629" spans="18:23">
      <c r="R11629" s="97">
        <f t="shared" si="396"/>
        <v>0</v>
      </c>
      <c r="W11629" s="66" t="str">
        <f>IFERROR(VLOOKUP($O11629,'Customer List'!$A$1:$J$488,10,FALSE),"")</f>
        <v/>
      </c>
    </row>
    <row r="11630" spans="18:23">
      <c r="R11630" s="97">
        <f t="shared" si="396"/>
        <v>0</v>
      </c>
      <c r="W11630" s="66" t="str">
        <f>IFERROR(VLOOKUP($O11630,'Customer List'!$A$1:$J$488,10,FALSE),"")</f>
        <v/>
      </c>
    </row>
    <row r="11631" spans="18:23">
      <c r="R11631" s="97">
        <f t="shared" si="396"/>
        <v>0</v>
      </c>
      <c r="W11631" s="66" t="str">
        <f>IFERROR(VLOOKUP($O11631,'Customer List'!$A$1:$J$488,10,FALSE),"")</f>
        <v/>
      </c>
    </row>
    <row r="11632" spans="18:23">
      <c r="R11632" s="97">
        <f t="shared" si="396"/>
        <v>0</v>
      </c>
      <c r="W11632" s="66" t="str">
        <f>IFERROR(VLOOKUP($O11632,'Customer List'!$A$1:$J$488,10,FALSE),"")</f>
        <v/>
      </c>
    </row>
    <row r="11633" spans="18:23">
      <c r="R11633" s="97">
        <f t="shared" si="396"/>
        <v>0</v>
      </c>
      <c r="W11633" s="66" t="str">
        <f>IFERROR(VLOOKUP($O11633,'Customer List'!$A$1:$J$488,10,FALSE),"")</f>
        <v/>
      </c>
    </row>
    <row r="11634" spans="18:23">
      <c r="R11634" s="97">
        <f t="shared" si="396"/>
        <v>0</v>
      </c>
      <c r="W11634" s="66" t="str">
        <f>IFERROR(VLOOKUP($O11634,'Customer List'!$A$1:$J$488,10,FALSE),"")</f>
        <v/>
      </c>
    </row>
    <row r="11635" spans="18:23">
      <c r="R11635" s="97">
        <f t="shared" si="396"/>
        <v>0</v>
      </c>
      <c r="W11635" s="66" t="str">
        <f>IFERROR(VLOOKUP($O11635,'Customer List'!$A$1:$J$488,10,FALSE),"")</f>
        <v/>
      </c>
    </row>
    <row r="11636" spans="18:23">
      <c r="R11636" s="97">
        <f t="shared" si="396"/>
        <v>0</v>
      </c>
      <c r="W11636" s="66" t="str">
        <f>IFERROR(VLOOKUP($O11636,'Customer List'!$A$1:$J$488,10,FALSE),"")</f>
        <v/>
      </c>
    </row>
    <row r="11637" spans="18:23">
      <c r="R11637" s="97">
        <f t="shared" si="396"/>
        <v>0</v>
      </c>
      <c r="W11637" s="66" t="str">
        <f>IFERROR(VLOOKUP($O11637,'Customer List'!$A$1:$J$488,10,FALSE),"")</f>
        <v/>
      </c>
    </row>
    <row r="11638" spans="18:23">
      <c r="R11638" s="97">
        <f t="shared" si="396"/>
        <v>0</v>
      </c>
      <c r="W11638" s="66" t="str">
        <f>IFERROR(VLOOKUP($O11638,'Customer List'!$A$1:$J$488,10,FALSE),"")</f>
        <v/>
      </c>
    </row>
    <row r="11639" spans="18:23">
      <c r="R11639" s="97">
        <f t="shared" si="396"/>
        <v>0</v>
      </c>
      <c r="W11639" s="66" t="str">
        <f>IFERROR(VLOOKUP($O11639,'Customer List'!$A$1:$J$488,10,FALSE),"")</f>
        <v/>
      </c>
    </row>
    <row r="11640" spans="18:23">
      <c r="R11640" s="97">
        <f t="shared" si="396"/>
        <v>0</v>
      </c>
      <c r="W11640" s="66" t="str">
        <f>IFERROR(VLOOKUP($O11640,'Customer List'!$A$1:$J$488,10,FALSE),"")</f>
        <v/>
      </c>
    </row>
    <row r="11641" spans="18:23">
      <c r="R11641" s="97">
        <f t="shared" si="396"/>
        <v>0</v>
      </c>
      <c r="W11641" s="66" t="str">
        <f>IFERROR(VLOOKUP($O11641,'Customer List'!$A$1:$J$488,10,FALSE),"")</f>
        <v/>
      </c>
    </row>
    <row r="11642" spans="18:23">
      <c r="R11642" s="97">
        <f t="shared" si="396"/>
        <v>0</v>
      </c>
      <c r="W11642" s="66" t="str">
        <f>IFERROR(VLOOKUP($O11642,'Customer List'!$A$1:$J$488,10,FALSE),"")</f>
        <v/>
      </c>
    </row>
    <row r="11643" spans="18:23">
      <c r="R11643" s="97">
        <f t="shared" si="396"/>
        <v>0</v>
      </c>
      <c r="W11643" s="66" t="str">
        <f>IFERROR(VLOOKUP($O11643,'Customer List'!$A$1:$J$488,10,FALSE),"")</f>
        <v/>
      </c>
    </row>
    <row r="11644" spans="18:23">
      <c r="R11644" s="97">
        <f t="shared" si="396"/>
        <v>0</v>
      </c>
      <c r="W11644" s="66" t="str">
        <f>IFERROR(VLOOKUP($O11644,'Customer List'!$A$1:$J$488,10,FALSE),"")</f>
        <v/>
      </c>
    </row>
    <row r="11645" spans="18:23">
      <c r="R11645" s="97">
        <f t="shared" si="396"/>
        <v>0</v>
      </c>
      <c r="W11645" s="66" t="str">
        <f>IFERROR(VLOOKUP($O11645,'Customer List'!$A$1:$J$488,10,FALSE),"")</f>
        <v/>
      </c>
    </row>
    <row r="11646" spans="18:23">
      <c r="R11646" s="97">
        <f t="shared" si="396"/>
        <v>0</v>
      </c>
      <c r="W11646" s="66" t="str">
        <f>IFERROR(VLOOKUP($O11646,'Customer List'!$A$1:$J$488,10,FALSE),"")</f>
        <v/>
      </c>
    </row>
    <row r="11647" spans="18:23">
      <c r="R11647" s="97">
        <f t="shared" si="396"/>
        <v>0</v>
      </c>
      <c r="W11647" s="66" t="str">
        <f>IFERROR(VLOOKUP($O11647,'Customer List'!$A$1:$J$488,10,FALSE),"")</f>
        <v/>
      </c>
    </row>
    <row r="11648" spans="18:23">
      <c r="R11648" s="97">
        <f t="shared" si="396"/>
        <v>0</v>
      </c>
      <c r="W11648" s="66" t="str">
        <f>IFERROR(VLOOKUP($O11648,'Customer List'!$A$1:$J$488,10,FALSE),"")</f>
        <v/>
      </c>
    </row>
    <row r="11649" spans="18:23">
      <c r="R11649" s="97">
        <f t="shared" si="396"/>
        <v>0</v>
      </c>
      <c r="W11649" s="66" t="str">
        <f>IFERROR(VLOOKUP($O11649,'Customer List'!$A$1:$J$488,10,FALSE),"")</f>
        <v/>
      </c>
    </row>
    <row r="11650" spans="18:23">
      <c r="R11650" s="97">
        <f t="shared" si="396"/>
        <v>0</v>
      </c>
      <c r="W11650" s="66" t="str">
        <f>IFERROR(VLOOKUP($O11650,'Customer List'!$A$1:$J$488,10,FALSE),"")</f>
        <v/>
      </c>
    </row>
    <row r="11651" spans="18:23">
      <c r="R11651" s="97">
        <f t="shared" si="396"/>
        <v>0</v>
      </c>
      <c r="W11651" s="66" t="str">
        <f>IFERROR(VLOOKUP($O11651,'Customer List'!$A$1:$J$488,10,FALSE),"")</f>
        <v/>
      </c>
    </row>
    <row r="11652" spans="18:23">
      <c r="R11652" s="97">
        <f t="shared" si="396"/>
        <v>0</v>
      </c>
      <c r="W11652" s="66" t="str">
        <f>IFERROR(VLOOKUP($O11652,'Customer List'!$A$1:$J$488,10,FALSE),"")</f>
        <v/>
      </c>
    </row>
    <row r="11653" spans="18:23">
      <c r="R11653" s="97">
        <f t="shared" si="396"/>
        <v>0</v>
      </c>
      <c r="W11653" s="66" t="str">
        <f>IFERROR(VLOOKUP($O11653,'Customer List'!$A$1:$J$488,10,FALSE),"")</f>
        <v/>
      </c>
    </row>
    <row r="11654" spans="18:23">
      <c r="R11654" s="97">
        <f t="shared" si="396"/>
        <v>0</v>
      </c>
      <c r="W11654" s="66" t="str">
        <f>IFERROR(VLOOKUP($O11654,'Customer List'!$A$1:$J$488,10,FALSE),"")</f>
        <v/>
      </c>
    </row>
    <row r="11655" spans="18:23">
      <c r="R11655" s="97">
        <f t="shared" si="396"/>
        <v>0</v>
      </c>
      <c r="W11655" s="66" t="str">
        <f>IFERROR(VLOOKUP($O11655,'Customer List'!$A$1:$J$488,10,FALSE),"")</f>
        <v/>
      </c>
    </row>
    <row r="11656" spans="18:23">
      <c r="R11656" s="97">
        <f t="shared" si="396"/>
        <v>0</v>
      </c>
      <c r="W11656" s="66" t="str">
        <f>IFERROR(VLOOKUP($O11656,'Customer List'!$A$1:$J$488,10,FALSE),"")</f>
        <v/>
      </c>
    </row>
    <row r="11657" spans="18:23">
      <c r="R11657" s="97">
        <f t="shared" si="396"/>
        <v>0</v>
      </c>
      <c r="W11657" s="66" t="str">
        <f>IFERROR(VLOOKUP($O11657,'Customer List'!$A$1:$J$488,10,FALSE),"")</f>
        <v/>
      </c>
    </row>
    <row r="11658" spans="18:23">
      <c r="R11658" s="97">
        <f t="shared" si="396"/>
        <v>0</v>
      </c>
      <c r="W11658" s="66" t="str">
        <f>IFERROR(VLOOKUP($O11658,'Customer List'!$A$1:$J$488,10,FALSE),"")</f>
        <v/>
      </c>
    </row>
    <row r="11659" spans="18:23">
      <c r="R11659" s="97">
        <f t="shared" si="396"/>
        <v>0</v>
      </c>
      <c r="W11659" s="66" t="str">
        <f>IFERROR(VLOOKUP($O11659,'Customer List'!$A$1:$J$488,10,FALSE),"")</f>
        <v/>
      </c>
    </row>
    <row r="11660" spans="18:23">
      <c r="R11660" s="97">
        <f t="shared" si="396"/>
        <v>0</v>
      </c>
      <c r="W11660" s="66" t="str">
        <f>IFERROR(VLOOKUP($O11660,'Customer List'!$A$1:$J$488,10,FALSE),"")</f>
        <v/>
      </c>
    </row>
    <row r="11661" spans="18:23">
      <c r="R11661" s="97">
        <f t="shared" si="396"/>
        <v>0</v>
      </c>
      <c r="W11661" s="66" t="str">
        <f>IFERROR(VLOOKUP($O11661,'Customer List'!$A$1:$J$488,10,FALSE),"")</f>
        <v/>
      </c>
    </row>
    <row r="11662" spans="18:23">
      <c r="R11662" s="97">
        <f t="shared" si="396"/>
        <v>0</v>
      </c>
      <c r="W11662" s="66" t="str">
        <f>IFERROR(VLOOKUP($O11662,'Customer List'!$A$1:$J$488,10,FALSE),"")</f>
        <v/>
      </c>
    </row>
    <row r="11663" spans="18:23">
      <c r="R11663" s="97">
        <f t="shared" si="396"/>
        <v>0</v>
      </c>
      <c r="W11663" s="66" t="str">
        <f>IFERROR(VLOOKUP($O11663,'Customer List'!$A$1:$J$488,10,FALSE),"")</f>
        <v/>
      </c>
    </row>
    <row r="11664" spans="18:23">
      <c r="R11664" s="97">
        <f t="shared" si="396"/>
        <v>0</v>
      </c>
      <c r="W11664" s="66" t="str">
        <f>IFERROR(VLOOKUP($O11664,'Customer List'!$A$1:$J$488,10,FALSE),"")</f>
        <v/>
      </c>
    </row>
    <row r="11665" spans="18:23">
      <c r="R11665" s="97">
        <f t="shared" si="396"/>
        <v>0</v>
      </c>
      <c r="W11665" s="66" t="str">
        <f>IFERROR(VLOOKUP($O11665,'Customer List'!$A$1:$J$488,10,FALSE),"")</f>
        <v/>
      </c>
    </row>
    <row r="11666" spans="18:23">
      <c r="R11666" s="97">
        <f t="shared" si="396"/>
        <v>0</v>
      </c>
      <c r="W11666" s="66" t="str">
        <f>IFERROR(VLOOKUP($O11666,'Customer List'!$A$1:$J$488,10,FALSE),"")</f>
        <v/>
      </c>
    </row>
    <row r="11667" spans="18:23">
      <c r="R11667" s="97">
        <f t="shared" si="396"/>
        <v>0</v>
      </c>
    </row>
    <row r="11668" spans="18:23">
      <c r="R11668" s="97">
        <f t="shared" si="396"/>
        <v>0</v>
      </c>
    </row>
    <row r="11669" spans="18:23">
      <c r="R11669" s="97">
        <f t="shared" si="396"/>
        <v>0</v>
      </c>
    </row>
    <row r="11670" spans="18:23">
      <c r="R11670" s="97">
        <f t="shared" si="396"/>
        <v>0</v>
      </c>
    </row>
  </sheetData>
  <protectedRanges>
    <protectedRange sqref="S2:S1048576" name="Range2"/>
    <protectedRange sqref="P848:Q11670 D301:H303 J301:K303 N302:N420 G432:I432 D432:D472 D481:D525 D211:K298 D210:J210 Q526:Q847 E304:K419 D304:D394 D400:D419 E432:F525 K432:K525 G433:J525 D134:K209 N135:N299 N433:N1048576 O11671:R1048576 M134:M298 M301:M419 M432:M525 C526:M1048576 O214:O11670" name="Range1"/>
    <protectedRange sqref="L432:L525 L301:L419 K210 L134:L298" name="Range1_1"/>
    <protectedRange sqref="N100:N134 O99:O213 D99:M133" name="Range1_2"/>
    <protectedRange sqref="Q432:Q525 N300:N301 D299:K300 Q39:Q419 P39:P847 R39:R11670 P2:R38 M299:M300" name="Range1_4"/>
    <protectedRange sqref="N421 D420:K420 M420" name="Range1_5"/>
    <protectedRange sqref="L420" name="Range1_1_3"/>
    <protectedRange sqref="Q420" name="Range1_4_2"/>
    <protectedRange sqref="D421:K421 N422 N432 Q421 Q431 D431:I431 K431 M431 M421" name="Range1_4_1"/>
    <protectedRange sqref="L421 L431" name="Range1_1_1"/>
    <protectedRange sqref="N423:N431 G424:I430 D422:F430 K422:K430 G422:J423 M422:M430" name="Range1_6"/>
    <protectedRange sqref="L422:L430" name="Range1_1_2"/>
    <protectedRange sqref="Q422:Q430" name="Range1_4_3"/>
    <protectedRange sqref="N35:N38 N40:N99 D39:M98 O39:O98 O37 D34:M37" name="Range1_2_1"/>
    <protectedRange sqref="N28:N34 D27:M33 O27:O36" name="Range1_7_1"/>
    <protectedRange sqref="D18:K26 K15:K17 D7:K11 N16:N27 O38 K5:K6 M4:M11 M15:M26 O14:O26 N2:N12 O3:O11" name="Range1_4_4"/>
    <protectedRange sqref="D15:J15" name="Range1_4_4_1"/>
    <protectedRange sqref="D16:J16" name="Range1_4_4_2"/>
    <protectedRange sqref="D17:J17" name="Range1_4_4_3"/>
    <protectedRange sqref="K12 M12 O12" name="Range1_4_4_4"/>
    <protectedRange sqref="D12:J12" name="Range1_4_4_2_1"/>
    <protectedRange sqref="N13" name="Range1_4_4_4_1"/>
    <protectedRange sqref="O13 K13:K14 M13:M14 K38 M38" name="Range1_4_4_5"/>
    <protectedRange sqref="D13:J14 D38:J38 D5:J6" name="Range1_4_4_2_1_1"/>
    <protectedRange sqref="N14:N15 N39" name="Range1_4_4_5_1"/>
    <protectedRange sqref="M2:M3 K2:K4 O2" name="Range1_4_4_6"/>
    <protectedRange sqref="D2:J4" name="Range1_4_4_2_1_1_1"/>
  </protectedRanges>
  <autoFilter ref="A1:W11670" xr:uid="{00000000-0001-0000-0100-000000000000}"/>
  <sortState xmlns:xlrd2="http://schemas.microsoft.com/office/spreadsheetml/2017/richdata2" ref="B2:O268">
    <sortCondition ref="O2:O268" customList="mre"/>
  </sortState>
  <dataConsolidate/>
  <phoneticPr fontId="34" type="noConversion"/>
  <conditionalFormatting sqref="O995:O1048576">
    <cfRule type="cellIs" dxfId="59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References!$B$3:$B$8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6" sqref="B6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146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142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143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144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155</v>
      </c>
      <c r="C6" s="167">
        <v>40</v>
      </c>
      <c r="G6" s="14">
        <v>511</v>
      </c>
      <c r="H6" t="s">
        <v>64</v>
      </c>
      <c r="I6" s="50" t="s">
        <v>63</v>
      </c>
    </row>
    <row r="7" spans="1:9">
      <c r="A7" s="16"/>
      <c r="B7" s="14" t="s">
        <v>226</v>
      </c>
      <c r="C7" s="167">
        <v>250</v>
      </c>
      <c r="G7" s="14">
        <v>512</v>
      </c>
      <c r="H7" t="s">
        <v>65</v>
      </c>
      <c r="I7" s="50" t="s">
        <v>63</v>
      </c>
    </row>
    <row r="8" spans="1:9" ht="15" thickBot="1">
      <c r="B8" s="15" t="s">
        <v>145</v>
      </c>
      <c r="C8" s="22">
        <v>50</v>
      </c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97" zoomScaleNormal="115" workbookViewId="0">
      <pane xSplit="1" topLeftCell="C1" activePane="topRight" state="frozen"/>
      <selection pane="topRight" activeCell="B18" sqref="B18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156</v>
      </c>
      <c r="B2" s="41" t="s">
        <v>158</v>
      </c>
      <c r="C2" s="1" t="s">
        <v>133</v>
      </c>
      <c r="D2" s="181" t="s">
        <v>140</v>
      </c>
      <c r="E2" s="1" t="s">
        <v>169</v>
      </c>
      <c r="F2" s="1" t="s">
        <v>191</v>
      </c>
      <c r="G2" s="1" t="s">
        <v>202</v>
      </c>
      <c r="H2" s="41" t="s">
        <v>111</v>
      </c>
      <c r="I2" s="177" t="s">
        <v>216</v>
      </c>
      <c r="J2" s="177" t="str">
        <f>IFERROR(VLOOKUP(Table2[[#This Row],[Funding Source]],References!$G$1:$I$48,3,FALSE),"")</f>
        <v>Other</v>
      </c>
      <c r="K2" s="182">
        <f ca="1">TODAY()+1</f>
        <v>46063</v>
      </c>
      <c r="L2" s="183"/>
    </row>
    <row r="3" spans="1:12" s="173" customFormat="1">
      <c r="A3" s="1" t="s">
        <v>157</v>
      </c>
      <c r="B3" s="41" t="s">
        <v>159</v>
      </c>
      <c r="C3" s="1" t="s">
        <v>200</v>
      </c>
      <c r="D3" s="1" t="s">
        <v>140</v>
      </c>
      <c r="E3" s="106" t="s">
        <v>194</v>
      </c>
      <c r="F3" s="1" t="s">
        <v>191</v>
      </c>
      <c r="G3" s="1" t="s">
        <v>202</v>
      </c>
      <c r="H3" s="1">
        <v>510</v>
      </c>
      <c r="I3" s="1" t="s">
        <v>217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 ht="12">
      <c r="A4" s="1" t="s">
        <v>160</v>
      </c>
      <c r="B4" s="41" t="s">
        <v>161</v>
      </c>
      <c r="C4" s="1" t="s">
        <v>162</v>
      </c>
      <c r="D4" s="1" t="s">
        <v>140</v>
      </c>
      <c r="E4" s="1" t="s">
        <v>168</v>
      </c>
      <c r="F4" s="1" t="s">
        <v>191</v>
      </c>
      <c r="G4" s="1" t="s">
        <v>202</v>
      </c>
      <c r="H4" s="41" t="s">
        <v>111</v>
      </c>
      <c r="I4" s="249" t="s">
        <v>242</v>
      </c>
      <c r="J4" s="1" t="str">
        <f>IFERROR(VLOOKUP(Table2[[#This Row],[Funding Source]],References!$G$1:$I$48,3,FALSE),"")</f>
        <v>Other</v>
      </c>
      <c r="K4" s="172">
        <f ca="1">TODAY()+1</f>
        <v>46063</v>
      </c>
    </row>
    <row r="5" spans="1:12" s="184" customFormat="1">
      <c r="A5" s="51" t="s">
        <v>164</v>
      </c>
      <c r="B5" s="174" t="s">
        <v>165</v>
      </c>
      <c r="C5" s="51" t="s">
        <v>163</v>
      </c>
      <c r="D5" s="51" t="s">
        <v>127</v>
      </c>
      <c r="E5" s="51" t="s">
        <v>201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 ht="14.4">
      <c r="A6" s="1" t="s">
        <v>167</v>
      </c>
      <c r="B6" s="41" t="s">
        <v>166</v>
      </c>
      <c r="C6" s="1" t="s">
        <v>170</v>
      </c>
      <c r="D6" s="1" t="s">
        <v>182</v>
      </c>
      <c r="E6" s="1" t="s">
        <v>184</v>
      </c>
      <c r="F6" s="241" t="s">
        <v>234</v>
      </c>
      <c r="G6" s="242" t="s">
        <v>235</v>
      </c>
      <c r="H6" s="41" t="s">
        <v>111</v>
      </c>
      <c r="I6" s="1" t="s">
        <v>218</v>
      </c>
      <c r="J6" s="1" t="str">
        <f>IFERROR(VLOOKUP(Table2[[#This Row],[Funding Source]],References!$G$1:$I$48,3,FALSE),"")</f>
        <v>Other</v>
      </c>
      <c r="K6" s="172">
        <f ca="1">TODAY()+1</f>
        <v>46063</v>
      </c>
    </row>
    <row r="7" spans="1:12" s="173" customFormat="1" ht="14.4">
      <c r="A7" s="1" t="s">
        <v>171</v>
      </c>
      <c r="B7" s="41" t="s">
        <v>176</v>
      </c>
      <c r="C7" s="1" t="s">
        <v>128</v>
      </c>
      <c r="D7" s="1" t="s">
        <v>141</v>
      </c>
      <c r="E7" s="1" t="s">
        <v>183</v>
      </c>
      <c r="F7" s="241" t="s">
        <v>234</v>
      </c>
      <c r="G7" s="242" t="s">
        <v>235</v>
      </c>
      <c r="H7" s="41" t="s">
        <v>111</v>
      </c>
      <c r="I7" s="1" t="s">
        <v>219</v>
      </c>
      <c r="J7" s="1" t="str">
        <f>IFERROR(VLOOKUP(Table2[[#This Row],[Funding Source]],References!$G$1:$I$48,3,FALSE),"")</f>
        <v>Other</v>
      </c>
      <c r="K7" s="172">
        <f ca="1">TODAY()+1</f>
        <v>46063</v>
      </c>
    </row>
    <row r="8" spans="1:12" s="173" customFormat="1" ht="14.4">
      <c r="A8" s="1" t="s">
        <v>172</v>
      </c>
      <c r="B8" s="41" t="s">
        <v>180</v>
      </c>
      <c r="C8" s="1" t="s">
        <v>181</v>
      </c>
      <c r="D8" s="1" t="s">
        <v>141</v>
      </c>
      <c r="E8" s="43" t="s">
        <v>134</v>
      </c>
      <c r="F8" s="241" t="s">
        <v>234</v>
      </c>
      <c r="G8" s="243" t="s">
        <v>236</v>
      </c>
      <c r="H8" s="1">
        <v>590</v>
      </c>
      <c r="I8" s="235" t="s">
        <v>215</v>
      </c>
      <c r="J8" s="1" t="str">
        <f>IFERROR(VLOOKUP(Table2[[#This Row],[Funding Source]],References!$G$1:$I$48,3,FALSE),"")</f>
        <v>HHS Grants</v>
      </c>
      <c r="K8" s="172">
        <v>46265</v>
      </c>
    </row>
    <row r="9" spans="1:12" s="173" customFormat="1" ht="14.4">
      <c r="A9" s="1" t="s">
        <v>173</v>
      </c>
      <c r="B9" s="41" t="s">
        <v>177</v>
      </c>
      <c r="C9" s="1" t="s">
        <v>181</v>
      </c>
      <c r="D9" s="1" t="s">
        <v>141</v>
      </c>
      <c r="E9" s="145" t="s">
        <v>139</v>
      </c>
      <c r="F9" s="241" t="s">
        <v>234</v>
      </c>
      <c r="G9" s="243" t="s">
        <v>236</v>
      </c>
      <c r="H9" s="1">
        <v>597</v>
      </c>
      <c r="I9" s="1" t="s">
        <v>220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174</v>
      </c>
      <c r="B10" s="41" t="s">
        <v>178</v>
      </c>
      <c r="C10" s="1" t="s">
        <v>189</v>
      </c>
      <c r="D10" s="1" t="s">
        <v>185</v>
      </c>
      <c r="E10" s="43" t="s">
        <v>186</v>
      </c>
      <c r="F10" s="173" t="s">
        <v>187</v>
      </c>
      <c r="G10" s="78" t="s">
        <v>188</v>
      </c>
      <c r="H10" s="78">
        <v>593</v>
      </c>
      <c r="I10" s="1" t="s">
        <v>221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175</v>
      </c>
      <c r="B11" s="41" t="s">
        <v>179</v>
      </c>
      <c r="C11" s="81" t="s">
        <v>163</v>
      </c>
      <c r="D11" s="81" t="s">
        <v>127</v>
      </c>
      <c r="E11" s="175" t="s">
        <v>190</v>
      </c>
      <c r="F11" s="1" t="s">
        <v>191</v>
      </c>
      <c r="G11" s="78" t="s">
        <v>192</v>
      </c>
      <c r="H11" s="1">
        <v>510</v>
      </c>
      <c r="I11" s="81" t="s">
        <v>222</v>
      </c>
      <c r="J11" s="1" t="s">
        <v>63</v>
      </c>
      <c r="K11" s="172">
        <v>45931</v>
      </c>
    </row>
    <row r="12" spans="1:12" s="173" customFormat="1">
      <c r="A12" s="1" t="s">
        <v>195</v>
      </c>
      <c r="B12" s="41" t="s">
        <v>196</v>
      </c>
      <c r="C12" s="1" t="s">
        <v>193</v>
      </c>
      <c r="D12" s="1" t="s">
        <v>140</v>
      </c>
      <c r="E12" s="106" t="s">
        <v>197</v>
      </c>
      <c r="F12" s="1" t="s">
        <v>191</v>
      </c>
      <c r="G12" s="78" t="s">
        <v>192</v>
      </c>
      <c r="H12" s="1">
        <v>510</v>
      </c>
      <c r="I12" s="81" t="s">
        <v>223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198</v>
      </c>
      <c r="B13" s="41" t="s">
        <v>199</v>
      </c>
      <c r="C13" s="1" t="s">
        <v>193</v>
      </c>
      <c r="D13" s="1" t="s">
        <v>140</v>
      </c>
      <c r="E13" s="106" t="s">
        <v>194</v>
      </c>
      <c r="F13" s="1" t="s">
        <v>191</v>
      </c>
      <c r="G13" s="78" t="s">
        <v>192</v>
      </c>
      <c r="H13" s="1">
        <v>510</v>
      </c>
      <c r="I13" s="81" t="s">
        <v>223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203</v>
      </c>
      <c r="B14" s="41" t="s">
        <v>205</v>
      </c>
      <c r="C14" s="1" t="s">
        <v>133</v>
      </c>
      <c r="D14" s="181" t="s">
        <v>140</v>
      </c>
      <c r="E14" s="195" t="s">
        <v>204</v>
      </c>
      <c r="F14" s="1" t="s">
        <v>191</v>
      </c>
      <c r="G14" s="78" t="s">
        <v>192</v>
      </c>
      <c r="H14" s="41" t="s">
        <v>111</v>
      </c>
      <c r="I14" s="79" t="s">
        <v>224</v>
      </c>
      <c r="J14" s="1" t="str">
        <f>IFERROR(VLOOKUP(Table2[[#This Row],[Funding Source]],References!$G$1:$I$48,3,FALSE),"")</f>
        <v>Other</v>
      </c>
      <c r="K14" s="172">
        <f ca="1">TODAY()+1</f>
        <v>46063</v>
      </c>
    </row>
    <row r="15" spans="1:12" s="173" customFormat="1" ht="14.4">
      <c r="A15" s="1" t="s">
        <v>206</v>
      </c>
      <c r="B15" s="41" t="s">
        <v>207</v>
      </c>
      <c r="C15" s="1" t="s">
        <v>193</v>
      </c>
      <c r="D15" s="1" t="s">
        <v>140</v>
      </c>
      <c r="E15" s="244" t="s">
        <v>208</v>
      </c>
      <c r="F15" s="1" t="s">
        <v>191</v>
      </c>
      <c r="G15" s="78" t="s">
        <v>192</v>
      </c>
      <c r="H15" s="1">
        <v>559</v>
      </c>
      <c r="I15" s="245" t="s">
        <v>227</v>
      </c>
      <c r="J15" s="1" t="str">
        <f>IFERROR(VLOOKUP(Table2[[#This Row],[Funding Source]],References!$G$1:$I$48,3,FALSE),"")</f>
        <v>Direct Federal Awards</v>
      </c>
      <c r="K15" s="172">
        <v>46857</v>
      </c>
    </row>
    <row r="16" spans="1:12" s="173" customFormat="1" ht="13.8">
      <c r="A16" s="1" t="s">
        <v>209</v>
      </c>
      <c r="B16" s="41" t="s">
        <v>210</v>
      </c>
      <c r="C16" s="1" t="s">
        <v>211</v>
      </c>
      <c r="D16" s="1" t="s">
        <v>212</v>
      </c>
      <c r="E16" s="239" t="s">
        <v>213</v>
      </c>
      <c r="F16" s="1" t="s">
        <v>191</v>
      </c>
      <c r="G16" s="78" t="s">
        <v>192</v>
      </c>
      <c r="H16" s="41" t="s">
        <v>111</v>
      </c>
      <c r="I16" s="240" t="s">
        <v>225</v>
      </c>
      <c r="J16" s="1" t="str">
        <f>IFERROR(VLOOKUP(Table2[[#This Row],[Funding Source]],References!$G$1:$I$48,3,FALSE),"")</f>
        <v>Other</v>
      </c>
      <c r="K16" s="172">
        <f ca="1">TODAY()+1</f>
        <v>46063</v>
      </c>
    </row>
    <row r="17" spans="1:11" s="173" customFormat="1" ht="14.4">
      <c r="A17" s="1" t="s">
        <v>228</v>
      </c>
      <c r="B17" s="41" t="s">
        <v>229</v>
      </c>
      <c r="C17" s="1" t="s">
        <v>193</v>
      </c>
      <c r="D17" s="1" t="s">
        <v>212</v>
      </c>
      <c r="E17" s="246" t="s">
        <v>230</v>
      </c>
      <c r="F17" s="1" t="s">
        <v>191</v>
      </c>
      <c r="G17" s="78" t="s">
        <v>192</v>
      </c>
      <c r="H17" s="1">
        <v>549</v>
      </c>
      <c r="I17" s="247" t="s">
        <v>231</v>
      </c>
      <c r="J17" s="248" t="s">
        <v>80</v>
      </c>
      <c r="K17" s="172">
        <v>45961</v>
      </c>
    </row>
    <row r="18" spans="1:11" s="173" customFormat="1" ht="12">
      <c r="A18" s="1" t="s">
        <v>232</v>
      </c>
      <c r="B18" s="41">
        <v>17</v>
      </c>
      <c r="C18" s="250" t="s">
        <v>128</v>
      </c>
      <c r="D18" s="250" t="s">
        <v>233</v>
      </c>
      <c r="E18" s="250" t="s">
        <v>237</v>
      </c>
      <c r="F18" s="251" t="s">
        <v>234</v>
      </c>
      <c r="G18" s="1" t="s">
        <v>235</v>
      </c>
      <c r="H18" s="41" t="s">
        <v>111</v>
      </c>
      <c r="I18" s="250" t="s">
        <v>238</v>
      </c>
      <c r="J18" s="1" t="s">
        <v>18</v>
      </c>
      <c r="K18" s="172">
        <f ca="1">TODAY()+1</f>
        <v>46063</v>
      </c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129</v>
      </c>
      <c r="B211" s="1">
        <v>454</v>
      </c>
      <c r="C211" s="1" t="s">
        <v>130</v>
      </c>
      <c r="D211" s="1" t="s">
        <v>131</v>
      </c>
      <c r="E211" s="1" t="s">
        <v>132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135</v>
      </c>
      <c r="B364" s="1">
        <v>625</v>
      </c>
      <c r="C364" s="1" t="s">
        <v>136</v>
      </c>
      <c r="D364" s="1" t="s">
        <v>126</v>
      </c>
      <c r="E364" s="1" t="s">
        <v>137</v>
      </c>
      <c r="F364" s="1" t="s">
        <v>124</v>
      </c>
      <c r="G364" s="42" t="s">
        <v>125</v>
      </c>
      <c r="H364" s="57" t="s">
        <v>111</v>
      </c>
      <c r="I364" s="47" t="s">
        <v>138</v>
      </c>
      <c r="J364" s="47" t="str">
        <f>IFERROR(VLOOKUP(Table2[[#This Row],[Funding Source]],References!$G$1:$I$48,3,FALSE),"")</f>
        <v>Other</v>
      </c>
      <c r="K364" s="72">
        <f ca="1">TODAY()+1</f>
        <v>46063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8" r:id="rId2" display="carla.ortiz@hsc.utah.edu" xr:uid="{7010BFAD-09F9-446C-B3AE-0596C77E0770}"/>
    <hyperlink ref="G10" r:id="rId3" xr:uid="{A6CB9D5D-E479-4FAD-BCF7-D75627465FD1}"/>
    <hyperlink ref="G6" r:id="rId4" display="mailto:justin.jorgensen@hsc.utah.edu" xr:uid="{CA5E3353-4E3E-4F82-A856-35BFE90C6E0B}"/>
    <hyperlink ref="G7" r:id="rId5" display="mailto:justin.jorgensen@hsc.utah.edu" xr:uid="{088367B0-FCC3-4778-B2B5-0DD2709A9204}"/>
    <hyperlink ref="G9" r:id="rId6" display="carla.ortiz@hsc.utah.edu" xr:uid="{19FEAE82-DE22-4EF0-910E-1E9795CF9F1D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89AC2-9C22-414D-BA0A-EC030E2075F2}">
  <dimension ref="A1"/>
  <sheetViews>
    <sheetView workbookViewId="0"/>
  </sheetViews>
  <sheetFormatPr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2A4F6B-7EE8-42D2-879B-23121CB29063}">
  <ds:schemaRefs>
    <ds:schemaRef ds:uri="http://schemas.microsoft.com/office/2006/documentManagement/types"/>
    <ds:schemaRef ds:uri="http://schemas.microsoft.com/sharepoint/v3"/>
    <ds:schemaRef ds:uri="http://schemas.microsoft.com/office/2006/metadata/properties"/>
    <ds:schemaRef ds:uri="http://www.w3.org/XML/1998/namespace"/>
    <ds:schemaRef ds:uri="http://purl.org/dc/terms/"/>
    <ds:schemaRef ds:uri="http://schemas.openxmlformats.org/package/2006/metadata/core-properties"/>
    <ds:schemaRef ds:uri="http://purl.org/dc/elements/1.1/"/>
    <ds:schemaRef ds:uri="http://schemas.microsoft.com/sharepoint/v4"/>
    <ds:schemaRef ds:uri="http://schemas.microsoft.com/office/infopath/2007/PartnerControls"/>
    <ds:schemaRef ds:uri="402b49ca-617a-4412-a136-22a821ef8eb4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docMetadata/LabelInfo.xml><?xml version="1.0" encoding="utf-8"?>
<clbl:labelList xmlns:clbl="http://schemas.microsoft.com/office/2020/mipLabelMetadata">
  <clbl:label id="{5217e0e7-539d-4563-b1bf-7c6dcf074f91}" enabled="0" method="" siteId="{5217e0e7-539d-4563-b1bf-7c6dcf074f9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Invoice</vt:lpstr>
      <vt:lpstr>Raw Data</vt:lpstr>
      <vt:lpstr>References</vt:lpstr>
      <vt:lpstr>Customer List</vt:lpstr>
      <vt:lpstr>Sheet1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2026-02-09T21:42:03Z</cp:lastPrinted>
  <dcterms:created xsi:type="dcterms:W3CDTF">2018-12-28T21:20:57Z</dcterms:created>
  <dcterms:modified xsi:type="dcterms:W3CDTF">2026-02-09T21:42:55Z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